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namedSheetViews/namedSheetView1.xml" ContentType="application/vnd.ms-excel.namedsheetviews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https://uoa-my.sharepoint.com/personal/bmad528_uoa_auckland_ac_nz/Documents/Quarter - 2 (BUSINFO700 - BUSINFO705)/BUSINFO705/Project/Excel Files/"/>
    </mc:Choice>
  </mc:AlternateContent>
  <xr:revisionPtr revIDLastSave="1528" documentId="8_{6251DB9E-0A15-4555-856C-9E731E7B8829}" xr6:coauthVersionLast="47" xr6:coauthVersionMax="47" xr10:uidLastSave="{568FDC8E-253E-0341-AA3E-7A6B0FB991E5}"/>
  <bookViews>
    <workbookView xWindow="0" yWindow="780" windowWidth="34200" windowHeight="21360" xr2:uid="{EBBBBD6A-6EF3-43FC-A698-7F08059C3EA4}"/>
  </bookViews>
  <sheets>
    <sheet name="Pre-Retirement_cal" sheetId="1" r:id="rId1"/>
    <sheet name="Post-Retirement_Cal" sheetId="5" state="hidden" r:id="rId2"/>
    <sheet name="Tax rate cal" sheetId="2" r:id="rId3"/>
    <sheet name="Fund Allocation Strategy" sheetId="3" r:id="rId4"/>
    <sheet name="Lifestyle Strategy" sheetId="4" r:id="rId5"/>
  </sheets>
  <definedNames>
    <definedName name="_xlnm._FilterDatabase" localSheetId="1" hidden="1">'Post-Retirement_Cal'!$A$1:$K$21</definedName>
    <definedName name="_xlnm._FilterDatabase" localSheetId="0" hidden="1">'Pre-Retirement_cal'!$BL$49:$BR$5049</definedName>
    <definedName name="_xlchart.v1.0" hidden="1">'Pre-Retirement_cal'!$BO$49</definedName>
    <definedName name="_xlchart.v1.1" hidden="1">'Pre-Retirement_cal'!$BO$50:$BO$5049</definedName>
    <definedName name="_xlchart.v1.10" hidden="1">'Pre-Retirement_cal'!$BN$49</definedName>
    <definedName name="_xlchart.v1.11" hidden="1">'Pre-Retirement_cal'!$BN$50:$BN$5049</definedName>
    <definedName name="_xlchart.v1.12" hidden="1">'Pre-Retirement_cal'!$BN$49</definedName>
    <definedName name="_xlchart.v1.13" hidden="1">'Pre-Retirement_cal'!$BN$50:$BN$5049</definedName>
    <definedName name="_xlchart.v1.14" hidden="1">'Pre-Retirement_cal'!$BM$49</definedName>
    <definedName name="_xlchart.v1.15" hidden="1">'Pre-Retirement_cal'!$BM$50:$BM$5049</definedName>
    <definedName name="_xlchart.v1.16" hidden="1">'Pre-Retirement_cal'!$BM$49</definedName>
    <definedName name="_xlchart.v1.17" hidden="1">'Pre-Retirement_cal'!$BM$50:$BM$5049</definedName>
    <definedName name="_xlchart.v1.18" hidden="1">'Pre-Retirement_cal'!$BO$49</definedName>
    <definedName name="_xlchart.v1.19" hidden="1">'Pre-Retirement_cal'!$BO$50:$BO$5049</definedName>
    <definedName name="_xlchart.v1.2" hidden="1">'Pre-Retirement_cal'!$BO$49</definedName>
    <definedName name="_xlchart.v1.20" hidden="1">'Pre-Retirement_cal'!$BO$49</definedName>
    <definedName name="_xlchart.v1.21" hidden="1">'Pre-Retirement_cal'!$BO$50:$BO$5049</definedName>
    <definedName name="_xlchart.v1.22" hidden="1">'Pre-Retirement_cal'!$BO$49</definedName>
    <definedName name="_xlchart.v1.23" hidden="1">'Pre-Retirement_cal'!$BO$50:$BO$5049</definedName>
    <definedName name="_xlchart.v1.24" hidden="1">'Pre-Retirement_cal'!$BO$49</definedName>
    <definedName name="_xlchart.v1.25" hidden="1">'Pre-Retirement_cal'!$BO$50:$BO$5049</definedName>
    <definedName name="_xlchart.v1.26" hidden="1">'Pre-Retirement_cal'!$BO$49</definedName>
    <definedName name="_xlchart.v1.27" hidden="1">'Pre-Retirement_cal'!$BO$50:$BO$5049</definedName>
    <definedName name="_xlchart.v1.3" hidden="1">'Pre-Retirement_cal'!$BO$50:$BO$5049</definedName>
    <definedName name="_xlchart.v1.4" hidden="1">'Pre-Retirement_cal'!$BO$49</definedName>
    <definedName name="_xlchart.v1.5" hidden="1">'Pre-Retirement_cal'!$BO$50:$BO$5049</definedName>
    <definedName name="_xlchart.v1.6" hidden="1">'Pre-Retirement_cal'!$BO$49</definedName>
    <definedName name="_xlchart.v1.7" hidden="1">'Pre-Retirement_cal'!$BO$50:$BO$5049</definedName>
    <definedName name="_xlchart.v1.8" hidden="1">'Pre-Retirement_cal'!$BO$49</definedName>
    <definedName name="_xlchart.v1.9" hidden="1">'Pre-Retirement_cal'!$BO$50:$BO$5049</definedName>
    <definedName name="Lifestyle_upgrade_every_5y_Max">'Lifestyle Strategy'!$M$6</definedName>
    <definedName name="Lifestyle_upgrade_every_5y_Min">'Lifestyle Strategy'!$M$5</definedName>
    <definedName name="Lifestyle_upgrade_every_5y_Mostlikely">'Lifestyle Strategy'!$M$7</definedName>
    <definedName name="Lifestyle_upgrade_every_5y_Triangular_Distribution">'Lifestyle Strategy'!$M$4</definedName>
    <definedName name="Post_retirement_Lifestyle_Upgrade_every_5y_Max">'Lifestyle Strategy'!$M$19</definedName>
    <definedName name="Post_retirement_Lifestyle_Upgrade_every_5y_Min">'Lifestyle Strategy'!$M$18</definedName>
    <definedName name="Post_retirement_Lifestyle_Upgrade_every_5y_Mostlikely">'Lifestyle Strategy'!$M$20</definedName>
    <definedName name="solver_eng" localSheetId="1" hidden="1">1</definedName>
    <definedName name="solver_neg" localSheetId="1" hidden="1">1</definedName>
    <definedName name="solver_num" localSheetId="1" hidden="1">0</definedName>
    <definedName name="solver_opt" localSheetId="1" hidden="1">'Post-Retirement_Cal'!$A$25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6" i="1" l="1"/>
  <c r="B12" i="3"/>
  <c r="B11" i="3"/>
  <c r="B13" i="3"/>
  <c r="B14" i="3"/>
  <c r="B15" i="3"/>
  <c r="C12" i="3"/>
  <c r="C13" i="3"/>
  <c r="C14" i="3"/>
  <c r="C15" i="3"/>
  <c r="C11" i="3"/>
  <c r="CB35" i="1"/>
  <c r="BV35" i="1"/>
  <c r="CB34" i="1"/>
  <c r="BV34" i="1"/>
  <c r="CB33" i="1"/>
  <c r="BV33" i="1"/>
  <c r="CB32" i="1"/>
  <c r="BV32" i="1"/>
  <c r="CB31" i="1"/>
  <c r="BV31" i="1"/>
  <c r="CB30" i="1"/>
  <c r="BV30" i="1"/>
  <c r="CB29" i="1"/>
  <c r="BV29" i="1"/>
  <c r="CB28" i="1"/>
  <c r="BV28" i="1"/>
  <c r="CB27" i="1"/>
  <c r="BV27" i="1"/>
  <c r="CB26" i="1"/>
  <c r="BV26" i="1"/>
  <c r="CB25" i="1"/>
  <c r="BV25" i="1"/>
  <c r="CB24" i="1"/>
  <c r="BV24" i="1"/>
  <c r="CB23" i="1"/>
  <c r="BV23" i="1"/>
  <c r="CB22" i="1"/>
  <c r="BV22" i="1"/>
  <c r="BV21" i="1"/>
  <c r="BV20" i="1"/>
  <c r="BV19" i="1"/>
  <c r="BV18" i="1"/>
  <c r="BV17" i="1"/>
  <c r="BV16" i="1"/>
  <c r="C21" i="3"/>
  <c r="Z4" i="1"/>
  <c r="M29" i="4" s="1"/>
  <c r="M28" i="4" s="1"/>
  <c r="Z3" i="1"/>
  <c r="Q2" i="4" s="1"/>
  <c r="M4" i="4"/>
  <c r="X5" i="1"/>
  <c r="E7" i="1" s="1"/>
  <c r="X4" i="1"/>
  <c r="E4" i="1" s="1"/>
  <c r="X3" i="1"/>
  <c r="B7" i="1" s="1"/>
  <c r="B5" i="1" s="1"/>
  <c r="V6" i="1"/>
  <c r="Q11" i="4" s="1"/>
  <c r="V5" i="1"/>
  <c r="B14" i="4" s="1"/>
  <c r="V4" i="1"/>
  <c r="V3" i="1"/>
  <c r="F3" i="4"/>
  <c r="G3" i="4"/>
  <c r="F4" i="4"/>
  <c r="G4" i="4"/>
  <c r="F5" i="4"/>
  <c r="G5" i="4"/>
  <c r="F6" i="4"/>
  <c r="G6" i="4"/>
  <c r="F7" i="4"/>
  <c r="G7" i="4"/>
  <c r="F8" i="4"/>
  <c r="G8" i="4"/>
  <c r="G2" i="4"/>
  <c r="F2" i="4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" i="5"/>
  <c r="M24" i="4"/>
  <c r="M17" i="4"/>
  <c r="M14" i="4"/>
  <c r="N2" i="4"/>
  <c r="D44" i="2"/>
  <c r="D25" i="2"/>
  <c r="D27" i="2"/>
  <c r="D11" i="2"/>
  <c r="H3" i="4"/>
  <c r="C20" i="4"/>
  <c r="H2" i="4"/>
  <c r="I2" i="4"/>
  <c r="D12" i="2"/>
  <c r="D40" i="2"/>
  <c r="D41" i="2"/>
  <c r="C24" i="4"/>
  <c r="N21" i="4"/>
  <c r="N7" i="4"/>
  <c r="H8" i="4"/>
  <c r="D23" i="2"/>
  <c r="N16" i="4"/>
  <c r="N3" i="4"/>
  <c r="C25" i="4"/>
  <c r="N25" i="4"/>
  <c r="I6" i="4"/>
  <c r="R12" i="4"/>
  <c r="H7" i="4"/>
  <c r="N18" i="4"/>
  <c r="D24" i="2"/>
  <c r="C18" i="4"/>
  <c r="D19" i="2"/>
  <c r="I8" i="4"/>
  <c r="D26" i="2"/>
  <c r="N19" i="4"/>
  <c r="D18" i="2"/>
  <c r="D21" i="2"/>
  <c r="N4" i="4"/>
  <c r="D17" i="2"/>
  <c r="I3" i="4"/>
  <c r="H5" i="4"/>
  <c r="I5" i="4"/>
  <c r="N27" i="4"/>
  <c r="D39" i="2"/>
  <c r="N29" i="4"/>
  <c r="D35" i="2"/>
  <c r="D10" i="2"/>
  <c r="D45" i="2"/>
  <c r="C22" i="4"/>
  <c r="N5" i="4"/>
  <c r="N26" i="4"/>
  <c r="D36" i="2"/>
  <c r="N28" i="4"/>
  <c r="N15" i="4"/>
  <c r="N24" i="4"/>
  <c r="D33" i="2"/>
  <c r="I7" i="4"/>
  <c r="D20" i="2"/>
  <c r="N22" i="4"/>
  <c r="D15" i="2"/>
  <c r="N14" i="4"/>
  <c r="C14" i="4"/>
  <c r="D29" i="2"/>
  <c r="D30" i="2"/>
  <c r="C17" i="4"/>
  <c r="N6" i="4"/>
  <c r="C16" i="4"/>
  <c r="D32" i="2"/>
  <c r="D13" i="2"/>
  <c r="C15" i="4"/>
  <c r="N17" i="4"/>
  <c r="D14" i="2"/>
  <c r="C21" i="4"/>
  <c r="D22" i="2"/>
  <c r="C19" i="4"/>
  <c r="D31" i="2"/>
  <c r="H6" i="4"/>
  <c r="D34" i="2"/>
  <c r="D42" i="2"/>
  <c r="D43" i="2"/>
  <c r="N20" i="4"/>
  <c r="H4" i="4"/>
  <c r="D38" i="2"/>
  <c r="D37" i="2"/>
  <c r="N23" i="4"/>
  <c r="D16" i="2"/>
  <c r="C23" i="4"/>
  <c r="D28" i="2"/>
  <c r="I4" i="4"/>
  <c r="AA48" i="1" l="1"/>
  <c r="W48" i="1"/>
  <c r="S48" i="1"/>
  <c r="W13" i="1"/>
  <c r="M27" i="4"/>
  <c r="P48" i="1"/>
  <c r="P28" i="1"/>
  <c r="J48" i="1"/>
  <c r="Q10" i="4"/>
  <c r="BY29" i="1" l="1"/>
  <c r="BY19" i="1"/>
  <c r="BY30" i="1"/>
  <c r="BY20" i="1"/>
  <c r="BY16" i="1"/>
  <c r="BY31" i="1"/>
  <c r="BY21" i="1"/>
  <c r="BY23" i="1"/>
  <c r="BY35" i="1"/>
  <c r="BY25" i="1"/>
  <c r="BY32" i="1"/>
  <c r="BY22" i="1"/>
  <c r="BY27" i="1"/>
  <c r="BY17" i="1"/>
  <c r="BY18" i="1"/>
  <c r="BY33" i="1"/>
  <c r="BY34" i="1"/>
  <c r="BY24" i="1"/>
  <c r="BY26" i="1"/>
  <c r="BY28" i="1"/>
  <c r="I2" i="5"/>
  <c r="I3" i="5"/>
  <c r="I13" i="5"/>
  <c r="I17" i="5"/>
  <c r="I4" i="5"/>
  <c r="I14" i="5"/>
  <c r="I7" i="5"/>
  <c r="I18" i="5"/>
  <c r="I12" i="5"/>
  <c r="I5" i="5"/>
  <c r="I15" i="5"/>
  <c r="I6" i="5"/>
  <c r="I16" i="5"/>
  <c r="I9" i="5"/>
  <c r="I20" i="5"/>
  <c r="I11" i="5"/>
  <c r="I21" i="5"/>
  <c r="I8" i="5"/>
  <c r="I19" i="5"/>
  <c r="I10" i="5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13" i="1"/>
  <c r="B15" i="4"/>
  <c r="B16" i="4" s="1"/>
  <c r="Q3" i="4"/>
  <c r="Q5" i="4" s="1"/>
  <c r="Q6" i="4" s="1"/>
  <c r="Q12" i="4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26" i="1"/>
  <c r="S27" i="1"/>
  <c r="S28" i="1"/>
  <c r="S29" i="1"/>
  <c r="S30" i="1"/>
  <c r="S31" i="1"/>
  <c r="S32" i="1"/>
  <c r="S33" i="1"/>
  <c r="S34" i="1"/>
  <c r="S14" i="1"/>
  <c r="S15" i="1"/>
  <c r="S16" i="1"/>
  <c r="S17" i="1"/>
  <c r="S18" i="1"/>
  <c r="S19" i="1"/>
  <c r="S20" i="1"/>
  <c r="S21" i="1"/>
  <c r="S22" i="1"/>
  <c r="S23" i="1"/>
  <c r="S24" i="1"/>
  <c r="S25" i="1"/>
  <c r="S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13" i="1"/>
  <c r="D13" i="1"/>
  <c r="B10" i="2" s="1"/>
  <c r="C10" i="2" s="1"/>
  <c r="G13" i="1" s="1"/>
  <c r="R5" i="4"/>
  <c r="R9" i="4"/>
  <c r="R6" i="4"/>
  <c r="R2" i="4"/>
  <c r="R3" i="4"/>
  <c r="R11" i="4"/>
  <c r="R4" i="4"/>
  <c r="R10" i="4"/>
  <c r="Q9" i="4" l="1"/>
  <c r="Q4" i="4"/>
  <c r="AZ48" i="1"/>
  <c r="AY14" i="1"/>
  <c r="AZ19" i="1"/>
  <c r="AZ35" i="1"/>
  <c r="BA19" i="1"/>
  <c r="AZ30" i="1"/>
  <c r="AY20" i="1"/>
  <c r="AZ25" i="1"/>
  <c r="AZ41" i="1"/>
  <c r="AZ20" i="1"/>
  <c r="AZ36" i="1"/>
  <c r="BA20" i="1"/>
  <c r="AZ31" i="1"/>
  <c r="AY21" i="1"/>
  <c r="AZ37" i="1"/>
  <c r="AZ27" i="1"/>
  <c r="AZ43" i="1"/>
  <c r="AZ22" i="1"/>
  <c r="BA22" i="1"/>
  <c r="AZ33" i="1"/>
  <c r="AZ44" i="1"/>
  <c r="AZ23" i="1"/>
  <c r="AZ14" i="1"/>
  <c r="AZ46" i="1"/>
  <c r="AZ47" i="1"/>
  <c r="AZ26" i="1"/>
  <c r="AZ42" i="1"/>
  <c r="AZ21" i="1"/>
  <c r="BA21" i="1"/>
  <c r="AZ32" i="1"/>
  <c r="AY22" i="1"/>
  <c r="AZ38" i="1"/>
  <c r="BA13" i="1"/>
  <c r="AZ13" i="1"/>
  <c r="AZ28" i="1"/>
  <c r="AY13" i="1"/>
  <c r="AZ39" i="1"/>
  <c r="AZ34" i="1"/>
  <c r="AZ29" i="1"/>
  <c r="AZ45" i="1"/>
  <c r="AZ24" i="1"/>
  <c r="AZ40" i="1"/>
  <c r="BA14" i="1"/>
  <c r="AY15" i="1"/>
  <c r="AZ15" i="1"/>
  <c r="BA15" i="1"/>
  <c r="AZ16" i="1"/>
  <c r="AY17" i="1"/>
  <c r="AZ17" i="1"/>
  <c r="BA17" i="1"/>
  <c r="AY18" i="1"/>
  <c r="AZ18" i="1"/>
  <c r="BA18" i="1"/>
  <c r="AY19" i="1"/>
  <c r="H13" i="1"/>
  <c r="I13" i="1" s="1"/>
  <c r="AP13" i="1" s="1"/>
  <c r="D14" i="1"/>
  <c r="AW48" i="1" l="1"/>
  <c r="O13" i="1"/>
  <c r="L13" i="1" s="1"/>
  <c r="AW23" i="1"/>
  <c r="AW36" i="1"/>
  <c r="AW35" i="1"/>
  <c r="AW34" i="1"/>
  <c r="AW21" i="1"/>
  <c r="AW13" i="1"/>
  <c r="AW28" i="1"/>
  <c r="AW37" i="1"/>
  <c r="AW15" i="1"/>
  <c r="AW40" i="1"/>
  <c r="AW14" i="1"/>
  <c r="AW25" i="1"/>
  <c r="AW39" i="1"/>
  <c r="AW20" i="1"/>
  <c r="AW41" i="1"/>
  <c r="AW16" i="1"/>
  <c r="AW30" i="1"/>
  <c r="AW26" i="1"/>
  <c r="AW42" i="1"/>
  <c r="AW46" i="1"/>
  <c r="AW38" i="1"/>
  <c r="AW24" i="1"/>
  <c r="AW47" i="1"/>
  <c r="AW29" i="1"/>
  <c r="AW17" i="1"/>
  <c r="AW43" i="1"/>
  <c r="AW18" i="1"/>
  <c r="AW45" i="1"/>
  <c r="AW44" i="1"/>
  <c r="AW27" i="1"/>
  <c r="AW31" i="1"/>
  <c r="AW22" i="1"/>
  <c r="AW32" i="1"/>
  <c r="AW19" i="1"/>
  <c r="AW33" i="1"/>
  <c r="AU13" i="1"/>
  <c r="AT13" i="1"/>
  <c r="AS13" i="1"/>
  <c r="AR13" i="1"/>
  <c r="AQ13" i="1"/>
  <c r="M13" i="1"/>
  <c r="N13" i="1"/>
  <c r="E14" i="1"/>
  <c r="F14" i="1" s="1"/>
  <c r="H14" i="1"/>
  <c r="D15" i="1"/>
  <c r="B11" i="2"/>
  <c r="C11" i="2" s="1"/>
  <c r="G14" i="1" s="1"/>
  <c r="Q13" i="1" l="1"/>
  <c r="I14" i="1"/>
  <c r="B12" i="2"/>
  <c r="C12" i="2" s="1"/>
  <c r="G15" i="1" s="1"/>
  <c r="H15" i="1"/>
  <c r="E15" i="1"/>
  <c r="F15" i="1" s="1"/>
  <c r="D16" i="1"/>
  <c r="R13" i="1" l="1"/>
  <c r="T13" i="1" s="1"/>
  <c r="U13" i="1" s="1"/>
  <c r="O14" i="1"/>
  <c r="L14" i="1" s="1"/>
  <c r="AT14" i="1"/>
  <c r="AU14" i="1"/>
  <c r="AR14" i="1"/>
  <c r="AS14" i="1"/>
  <c r="AP14" i="1"/>
  <c r="AQ14" i="1"/>
  <c r="M14" i="1"/>
  <c r="N14" i="1"/>
  <c r="AG13" i="1"/>
  <c r="AD13" i="1"/>
  <c r="Z13" i="1"/>
  <c r="AB13" i="1" s="1"/>
  <c r="AC13" i="1" s="1"/>
  <c r="V13" i="1"/>
  <c r="I15" i="1"/>
  <c r="B13" i="2"/>
  <c r="C13" i="2" s="1"/>
  <c r="G16" i="1" s="1"/>
  <c r="H16" i="1"/>
  <c r="E16" i="1"/>
  <c r="F16" i="1" s="1"/>
  <c r="D17" i="1"/>
  <c r="X13" i="1" l="1"/>
  <c r="Y13" i="1" s="1"/>
  <c r="Q14" i="1"/>
  <c r="O15" i="1"/>
  <c r="L15" i="1" s="1"/>
  <c r="AT15" i="1"/>
  <c r="AU15" i="1"/>
  <c r="AR15" i="1"/>
  <c r="AS15" i="1"/>
  <c r="AP15" i="1"/>
  <c r="AQ15" i="1"/>
  <c r="M15" i="1"/>
  <c r="N15" i="1"/>
  <c r="I16" i="1"/>
  <c r="B14" i="2"/>
  <c r="C14" i="2" s="1"/>
  <c r="G17" i="1" s="1"/>
  <c r="H17" i="1"/>
  <c r="E17" i="1"/>
  <c r="F17" i="1" s="1"/>
  <c r="D18" i="1"/>
  <c r="AE14" i="1" l="1"/>
  <c r="AE13" i="1"/>
  <c r="AF13" i="1" s="1"/>
  <c r="AM13" i="1" s="1"/>
  <c r="AE47" i="1"/>
  <c r="AE42" i="1"/>
  <c r="AE29" i="1"/>
  <c r="AE24" i="1"/>
  <c r="AE21" i="1"/>
  <c r="AE18" i="1"/>
  <c r="AE23" i="1"/>
  <c r="AE30" i="1"/>
  <c r="AE34" i="1"/>
  <c r="AE31" i="1"/>
  <c r="AE28" i="1"/>
  <c r="AE33" i="1"/>
  <c r="AE44" i="1"/>
  <c r="AE15" i="1"/>
  <c r="AE38" i="1"/>
  <c r="AE43" i="1"/>
  <c r="AE46" i="1"/>
  <c r="AE32" i="1"/>
  <c r="AE25" i="1"/>
  <c r="AE16" i="1"/>
  <c r="AE48" i="1"/>
  <c r="AE19" i="1"/>
  <c r="AE36" i="1"/>
  <c r="AE27" i="1"/>
  <c r="AE22" i="1"/>
  <c r="AE39" i="1"/>
  <c r="AE35" i="1"/>
  <c r="AE26" i="1"/>
  <c r="AE20" i="1"/>
  <c r="AE41" i="1"/>
  <c r="AE45" i="1"/>
  <c r="AE40" i="1"/>
  <c r="AE17" i="1"/>
  <c r="AE37" i="1"/>
  <c r="Q15" i="1"/>
  <c r="AD15" i="1" s="1"/>
  <c r="AD14" i="1"/>
  <c r="O16" i="1"/>
  <c r="L16" i="1" s="1"/>
  <c r="AT16" i="1"/>
  <c r="AU16" i="1"/>
  <c r="AR16" i="1"/>
  <c r="AS16" i="1"/>
  <c r="AP16" i="1"/>
  <c r="AQ16" i="1"/>
  <c r="Z14" i="1"/>
  <c r="AB14" i="1" s="1"/>
  <c r="AC14" i="1" s="1"/>
  <c r="R14" i="1"/>
  <c r="T14" i="1" s="1"/>
  <c r="U14" i="1" s="1"/>
  <c r="V14" i="1"/>
  <c r="AG14" i="1"/>
  <c r="M16" i="1"/>
  <c r="N16" i="1"/>
  <c r="I17" i="1"/>
  <c r="B15" i="2"/>
  <c r="C15" i="2" s="1"/>
  <c r="G18" i="1" s="1"/>
  <c r="H18" i="1"/>
  <c r="E18" i="1"/>
  <c r="F18" i="1" s="1"/>
  <c r="D19" i="1"/>
  <c r="X14" i="1" l="1"/>
  <c r="Y14" i="1" s="1"/>
  <c r="Q16" i="1"/>
  <c r="AD16" i="1" s="1"/>
  <c r="O17" i="1"/>
  <c r="L17" i="1" s="1"/>
  <c r="AT17" i="1"/>
  <c r="AU17" i="1"/>
  <c r="AR17" i="1"/>
  <c r="AS17" i="1"/>
  <c r="AP17" i="1"/>
  <c r="AQ17" i="1"/>
  <c r="AG15" i="1"/>
  <c r="V15" i="1"/>
  <c r="X15" i="1" s="1"/>
  <c r="Z15" i="1"/>
  <c r="AB15" i="1" s="1"/>
  <c r="R15" i="1"/>
  <c r="M17" i="1"/>
  <c r="N17" i="1"/>
  <c r="I18" i="1"/>
  <c r="B16" i="2"/>
  <c r="C16" i="2" s="1"/>
  <c r="G19" i="1" s="1"/>
  <c r="H19" i="1"/>
  <c r="E19" i="1"/>
  <c r="F19" i="1" s="1"/>
  <c r="D20" i="1"/>
  <c r="AH48" i="1" l="1"/>
  <c r="AH20" i="1"/>
  <c r="AH30" i="1"/>
  <c r="AH40" i="1"/>
  <c r="AH38" i="1"/>
  <c r="AH21" i="1"/>
  <c r="AH31" i="1"/>
  <c r="AH41" i="1"/>
  <c r="AH16" i="1"/>
  <c r="AH46" i="1"/>
  <c r="AH37" i="1"/>
  <c r="AH18" i="1"/>
  <c r="AH28" i="1"/>
  <c r="AH13" i="1"/>
  <c r="AI13" i="1" s="1"/>
  <c r="AH22" i="1"/>
  <c r="AH32" i="1"/>
  <c r="AH42" i="1"/>
  <c r="AH26" i="1"/>
  <c r="AH27" i="1"/>
  <c r="AH29" i="1"/>
  <c r="AH23" i="1"/>
  <c r="AH33" i="1"/>
  <c r="AH43" i="1"/>
  <c r="AH17" i="1"/>
  <c r="AH47" i="1"/>
  <c r="AH39" i="1"/>
  <c r="AH14" i="1"/>
  <c r="AH24" i="1"/>
  <c r="AH34" i="1"/>
  <c r="AH44" i="1"/>
  <c r="AH36" i="1"/>
  <c r="AH19" i="1"/>
  <c r="AH15" i="1"/>
  <c r="AH25" i="1"/>
  <c r="AH35" i="1"/>
  <c r="AH45" i="1"/>
  <c r="Q17" i="1"/>
  <c r="AD17" i="1" s="1"/>
  <c r="O18" i="1"/>
  <c r="L18" i="1" s="1"/>
  <c r="AT18" i="1"/>
  <c r="AU18" i="1"/>
  <c r="AR18" i="1"/>
  <c r="AS18" i="1"/>
  <c r="AP18" i="1"/>
  <c r="AQ18" i="1"/>
  <c r="AC15" i="1"/>
  <c r="Y15" i="1"/>
  <c r="T15" i="1"/>
  <c r="U15" i="1" s="1"/>
  <c r="AG16" i="1"/>
  <c r="V16" i="1"/>
  <c r="Z16" i="1"/>
  <c r="R16" i="1"/>
  <c r="M18" i="1"/>
  <c r="N18" i="1"/>
  <c r="I19" i="1"/>
  <c r="B17" i="2"/>
  <c r="C17" i="2" s="1"/>
  <c r="G20" i="1" s="1"/>
  <c r="H20" i="1"/>
  <c r="E20" i="1"/>
  <c r="F20" i="1" s="1"/>
  <c r="D21" i="1"/>
  <c r="AJ13" i="1" l="1"/>
  <c r="AI14" i="1"/>
  <c r="Q18" i="1"/>
  <c r="AD18" i="1" s="1"/>
  <c r="O19" i="1"/>
  <c r="L19" i="1" s="1"/>
  <c r="AT19" i="1"/>
  <c r="AU19" i="1"/>
  <c r="AR19" i="1"/>
  <c r="AS19" i="1"/>
  <c r="AP19" i="1"/>
  <c r="AQ19" i="1"/>
  <c r="AB16" i="1"/>
  <c r="AC16" i="1" s="1"/>
  <c r="X16" i="1"/>
  <c r="Y16" i="1" s="1"/>
  <c r="T16" i="1"/>
  <c r="U16" i="1" s="1"/>
  <c r="AG17" i="1"/>
  <c r="V17" i="1"/>
  <c r="Z17" i="1"/>
  <c r="R17" i="1"/>
  <c r="M19" i="1"/>
  <c r="N19" i="1"/>
  <c r="I20" i="1"/>
  <c r="B18" i="2"/>
  <c r="C18" i="2" s="1"/>
  <c r="G21" i="1" s="1"/>
  <c r="H21" i="1"/>
  <c r="E21" i="1"/>
  <c r="F21" i="1" s="1"/>
  <c r="D22" i="1"/>
  <c r="AJ14" i="1" l="1"/>
  <c r="AI15" i="1"/>
  <c r="AI16" i="1" s="1"/>
  <c r="AI17" i="1" s="1"/>
  <c r="Q19" i="1"/>
  <c r="AD19" i="1" s="1"/>
  <c r="O20" i="1"/>
  <c r="L20" i="1" s="1"/>
  <c r="AT20" i="1"/>
  <c r="AU20" i="1"/>
  <c r="AR20" i="1"/>
  <c r="AS20" i="1"/>
  <c r="AP20" i="1"/>
  <c r="AQ20" i="1"/>
  <c r="AB17" i="1"/>
  <c r="AC17" i="1" s="1"/>
  <c r="X17" i="1"/>
  <c r="Y17" i="1" s="1"/>
  <c r="T17" i="1"/>
  <c r="U17" i="1" s="1"/>
  <c r="AG18" i="1"/>
  <c r="V18" i="1"/>
  <c r="Z18" i="1"/>
  <c r="R18" i="1"/>
  <c r="M20" i="1"/>
  <c r="N20" i="1"/>
  <c r="I21" i="1"/>
  <c r="B19" i="2"/>
  <c r="C19" i="2" s="1"/>
  <c r="G22" i="1" s="1"/>
  <c r="H22" i="1"/>
  <c r="E22" i="1"/>
  <c r="F22" i="1" s="1"/>
  <c r="D23" i="1"/>
  <c r="AI18" i="1" l="1"/>
  <c r="AJ15" i="1"/>
  <c r="AJ16" i="1" s="1"/>
  <c r="AJ17" i="1" s="1"/>
  <c r="Q20" i="1"/>
  <c r="AD20" i="1" s="1"/>
  <c r="O21" i="1"/>
  <c r="L21" i="1" s="1"/>
  <c r="AT21" i="1"/>
  <c r="AU21" i="1"/>
  <c r="AR21" i="1"/>
  <c r="AS21" i="1"/>
  <c r="AP21" i="1"/>
  <c r="AQ21" i="1"/>
  <c r="AB18" i="1"/>
  <c r="AC18" i="1" s="1"/>
  <c r="X18" i="1"/>
  <c r="Y18" i="1" s="1"/>
  <c r="T18" i="1"/>
  <c r="U18" i="1" s="1"/>
  <c r="AG19" i="1"/>
  <c r="V19" i="1"/>
  <c r="Z19" i="1"/>
  <c r="R19" i="1"/>
  <c r="M21" i="1"/>
  <c r="N21" i="1"/>
  <c r="I22" i="1"/>
  <c r="B20" i="2"/>
  <c r="C20" i="2" s="1"/>
  <c r="G23" i="1" s="1"/>
  <c r="H23" i="1"/>
  <c r="E23" i="1"/>
  <c r="F23" i="1" s="1"/>
  <c r="D24" i="1"/>
  <c r="AI19" i="1" l="1"/>
  <c r="AJ18" i="1"/>
  <c r="Q21" i="1"/>
  <c r="AD21" i="1" s="1"/>
  <c r="O22" i="1"/>
  <c r="L22" i="1" s="1"/>
  <c r="AT22" i="1"/>
  <c r="AU22" i="1"/>
  <c r="AR22" i="1"/>
  <c r="AS22" i="1"/>
  <c r="AP22" i="1"/>
  <c r="AQ22" i="1"/>
  <c r="AB19" i="1"/>
  <c r="AC19" i="1" s="1"/>
  <c r="X19" i="1"/>
  <c r="Y19" i="1" s="1"/>
  <c r="T19" i="1"/>
  <c r="U19" i="1" s="1"/>
  <c r="AG20" i="1"/>
  <c r="V20" i="1"/>
  <c r="Z20" i="1"/>
  <c r="R20" i="1"/>
  <c r="M22" i="1"/>
  <c r="N22" i="1"/>
  <c r="I23" i="1"/>
  <c r="B21" i="2"/>
  <c r="C21" i="2" s="1"/>
  <c r="G24" i="1" s="1"/>
  <c r="H24" i="1"/>
  <c r="E24" i="1"/>
  <c r="F24" i="1" s="1"/>
  <c r="D25" i="1"/>
  <c r="AI20" i="1" l="1"/>
  <c r="AJ19" i="1"/>
  <c r="Q22" i="1"/>
  <c r="AD22" i="1" s="1"/>
  <c r="O23" i="1"/>
  <c r="L23" i="1" s="1"/>
  <c r="AT23" i="1"/>
  <c r="AU23" i="1"/>
  <c r="AR23" i="1"/>
  <c r="AS23" i="1"/>
  <c r="AP23" i="1"/>
  <c r="AQ23" i="1"/>
  <c r="AB20" i="1"/>
  <c r="AC20" i="1" s="1"/>
  <c r="X20" i="1"/>
  <c r="Y20" i="1" s="1"/>
  <c r="T20" i="1"/>
  <c r="U20" i="1" s="1"/>
  <c r="AG21" i="1"/>
  <c r="AI21" i="1" s="1"/>
  <c r="V21" i="1"/>
  <c r="Z21" i="1"/>
  <c r="R21" i="1"/>
  <c r="M23" i="1"/>
  <c r="N23" i="1"/>
  <c r="I24" i="1"/>
  <c r="B22" i="2"/>
  <c r="C22" i="2" s="1"/>
  <c r="G25" i="1" s="1"/>
  <c r="H25" i="1"/>
  <c r="E25" i="1"/>
  <c r="F25" i="1" s="1"/>
  <c r="D26" i="1"/>
  <c r="AJ20" i="1" l="1"/>
  <c r="AJ21" i="1" s="1"/>
  <c r="Q23" i="1"/>
  <c r="AD23" i="1" s="1"/>
  <c r="O24" i="1"/>
  <c r="L24" i="1" s="1"/>
  <c r="AT24" i="1"/>
  <c r="AU24" i="1"/>
  <c r="AR24" i="1"/>
  <c r="AS24" i="1"/>
  <c r="AP24" i="1"/>
  <c r="AQ24" i="1"/>
  <c r="AB21" i="1"/>
  <c r="AC21" i="1" s="1"/>
  <c r="X21" i="1"/>
  <c r="Y21" i="1" s="1"/>
  <c r="T21" i="1"/>
  <c r="U21" i="1" s="1"/>
  <c r="AG22" i="1"/>
  <c r="AI22" i="1" s="1"/>
  <c r="V22" i="1"/>
  <c r="Z22" i="1"/>
  <c r="R22" i="1"/>
  <c r="M24" i="1"/>
  <c r="N24" i="1"/>
  <c r="I25" i="1"/>
  <c r="B23" i="2"/>
  <c r="C23" i="2" s="1"/>
  <c r="G26" i="1" s="1"/>
  <c r="H26" i="1"/>
  <c r="E26" i="1"/>
  <c r="F26" i="1" s="1"/>
  <c r="D27" i="1"/>
  <c r="Q24" i="1" l="1"/>
  <c r="AD24" i="1" s="1"/>
  <c r="O25" i="1"/>
  <c r="L25" i="1" s="1"/>
  <c r="AT25" i="1"/>
  <c r="AU25" i="1"/>
  <c r="AR25" i="1"/>
  <c r="AS25" i="1"/>
  <c r="AP25" i="1"/>
  <c r="AQ25" i="1"/>
  <c r="AB22" i="1"/>
  <c r="AC22" i="1" s="1"/>
  <c r="AJ22" i="1"/>
  <c r="X22" i="1"/>
  <c r="Y22" i="1" s="1"/>
  <c r="T22" i="1"/>
  <c r="U22" i="1" s="1"/>
  <c r="AG23" i="1"/>
  <c r="AI23" i="1" s="1"/>
  <c r="V23" i="1"/>
  <c r="Z23" i="1"/>
  <c r="R23" i="1"/>
  <c r="M25" i="1"/>
  <c r="N25" i="1"/>
  <c r="I26" i="1"/>
  <c r="B24" i="2"/>
  <c r="C24" i="2" s="1"/>
  <c r="G27" i="1" s="1"/>
  <c r="H27" i="1"/>
  <c r="E27" i="1"/>
  <c r="F27" i="1" s="1"/>
  <c r="D28" i="1"/>
  <c r="Q25" i="1" l="1"/>
  <c r="AD25" i="1" s="1"/>
  <c r="O26" i="1"/>
  <c r="L26" i="1" s="1"/>
  <c r="AT26" i="1"/>
  <c r="AU26" i="1"/>
  <c r="AR26" i="1"/>
  <c r="AS26" i="1"/>
  <c r="AP26" i="1"/>
  <c r="AQ26" i="1"/>
  <c r="AJ23" i="1"/>
  <c r="AB23" i="1"/>
  <c r="AC23" i="1" s="1"/>
  <c r="X23" i="1"/>
  <c r="Y23" i="1" s="1"/>
  <c r="T23" i="1"/>
  <c r="U23" i="1" s="1"/>
  <c r="AG24" i="1"/>
  <c r="AI24" i="1" s="1"/>
  <c r="V24" i="1"/>
  <c r="Z24" i="1"/>
  <c r="R24" i="1"/>
  <c r="M26" i="1"/>
  <c r="N26" i="1"/>
  <c r="I27" i="1"/>
  <c r="B25" i="2"/>
  <c r="C25" i="2" s="1"/>
  <c r="G28" i="1" s="1"/>
  <c r="H28" i="1"/>
  <c r="E28" i="1"/>
  <c r="F28" i="1" s="1"/>
  <c r="D29" i="1"/>
  <c r="Q26" i="1" l="1"/>
  <c r="AD26" i="1" s="1"/>
  <c r="O27" i="1"/>
  <c r="L27" i="1" s="1"/>
  <c r="AT27" i="1"/>
  <c r="AU27" i="1"/>
  <c r="AR27" i="1"/>
  <c r="AS27" i="1"/>
  <c r="AP27" i="1"/>
  <c r="AQ27" i="1"/>
  <c r="AJ24" i="1"/>
  <c r="AB24" i="1"/>
  <c r="AC24" i="1" s="1"/>
  <c r="X24" i="1"/>
  <c r="Y24" i="1" s="1"/>
  <c r="T24" i="1"/>
  <c r="U24" i="1" s="1"/>
  <c r="AG25" i="1"/>
  <c r="AI25" i="1" s="1"/>
  <c r="V25" i="1"/>
  <c r="Z25" i="1"/>
  <c r="R25" i="1"/>
  <c r="M27" i="1"/>
  <c r="N27" i="1"/>
  <c r="I28" i="1"/>
  <c r="B26" i="2"/>
  <c r="C26" i="2" s="1"/>
  <c r="G29" i="1" s="1"/>
  <c r="H29" i="1"/>
  <c r="E29" i="1"/>
  <c r="F29" i="1" s="1"/>
  <c r="D30" i="1"/>
  <c r="Q27" i="1" l="1"/>
  <c r="AD27" i="1" s="1"/>
  <c r="O28" i="1"/>
  <c r="L28" i="1" s="1"/>
  <c r="AT28" i="1"/>
  <c r="AU28" i="1"/>
  <c r="AR28" i="1"/>
  <c r="AS28" i="1"/>
  <c r="AP28" i="1"/>
  <c r="AQ28" i="1"/>
  <c r="AB25" i="1"/>
  <c r="AC25" i="1" s="1"/>
  <c r="AJ25" i="1"/>
  <c r="X25" i="1"/>
  <c r="Y25" i="1" s="1"/>
  <c r="T25" i="1"/>
  <c r="U25" i="1" s="1"/>
  <c r="AG26" i="1"/>
  <c r="AI26" i="1" s="1"/>
  <c r="V26" i="1"/>
  <c r="Z26" i="1"/>
  <c r="R26" i="1"/>
  <c r="M28" i="1"/>
  <c r="N28" i="1"/>
  <c r="I29" i="1"/>
  <c r="E30" i="1"/>
  <c r="F30" i="1" s="1"/>
  <c r="B27" i="2"/>
  <c r="C27" i="2" s="1"/>
  <c r="G30" i="1" s="1"/>
  <c r="H30" i="1"/>
  <c r="D31" i="1"/>
  <c r="Q28" i="1" l="1"/>
  <c r="AD28" i="1" s="1"/>
  <c r="O29" i="1"/>
  <c r="L29" i="1" s="1"/>
  <c r="AT29" i="1"/>
  <c r="AU29" i="1"/>
  <c r="AR29" i="1"/>
  <c r="AS29" i="1"/>
  <c r="AP29" i="1"/>
  <c r="AQ29" i="1"/>
  <c r="AB26" i="1"/>
  <c r="AC26" i="1" s="1"/>
  <c r="AJ26" i="1"/>
  <c r="X26" i="1"/>
  <c r="Y26" i="1" s="1"/>
  <c r="T26" i="1"/>
  <c r="U26" i="1" s="1"/>
  <c r="AG27" i="1"/>
  <c r="AI27" i="1" s="1"/>
  <c r="V27" i="1"/>
  <c r="Z27" i="1"/>
  <c r="R27" i="1"/>
  <c r="M29" i="1"/>
  <c r="N29" i="1"/>
  <c r="I30" i="1"/>
  <c r="B28" i="2"/>
  <c r="C28" i="2" s="1"/>
  <c r="G31" i="1" s="1"/>
  <c r="H31" i="1"/>
  <c r="E31" i="1"/>
  <c r="F31" i="1" s="1"/>
  <c r="D32" i="1"/>
  <c r="Q29" i="1" l="1"/>
  <c r="AD29" i="1" s="1"/>
  <c r="O30" i="1"/>
  <c r="L30" i="1" s="1"/>
  <c r="AT30" i="1"/>
  <c r="AU30" i="1"/>
  <c r="AR30" i="1"/>
  <c r="AS30" i="1"/>
  <c r="AP30" i="1"/>
  <c r="AQ30" i="1"/>
  <c r="AJ27" i="1"/>
  <c r="AB27" i="1"/>
  <c r="AC27" i="1" s="1"/>
  <c r="X27" i="1"/>
  <c r="Y27" i="1" s="1"/>
  <c r="T27" i="1"/>
  <c r="U27" i="1" s="1"/>
  <c r="AG28" i="1"/>
  <c r="AI28" i="1" s="1"/>
  <c r="V28" i="1"/>
  <c r="Z28" i="1"/>
  <c r="R28" i="1"/>
  <c r="M30" i="1"/>
  <c r="N30" i="1"/>
  <c r="I31" i="1"/>
  <c r="B29" i="2"/>
  <c r="C29" i="2" s="1"/>
  <c r="G32" i="1" s="1"/>
  <c r="H32" i="1"/>
  <c r="E32" i="1"/>
  <c r="F32" i="1" s="1"/>
  <c r="D33" i="1"/>
  <c r="Q30" i="1" l="1"/>
  <c r="AD30" i="1" s="1"/>
  <c r="O31" i="1"/>
  <c r="L31" i="1" s="1"/>
  <c r="AT31" i="1"/>
  <c r="AU31" i="1"/>
  <c r="AR31" i="1"/>
  <c r="AS31" i="1"/>
  <c r="AP31" i="1"/>
  <c r="AQ31" i="1"/>
  <c r="AJ28" i="1"/>
  <c r="AB28" i="1"/>
  <c r="AC28" i="1" s="1"/>
  <c r="X28" i="1"/>
  <c r="Y28" i="1" s="1"/>
  <c r="T28" i="1"/>
  <c r="U28" i="1" s="1"/>
  <c r="AG29" i="1"/>
  <c r="AI29" i="1" s="1"/>
  <c r="V29" i="1"/>
  <c r="Z29" i="1"/>
  <c r="R29" i="1"/>
  <c r="M31" i="1"/>
  <c r="N31" i="1"/>
  <c r="I32" i="1"/>
  <c r="B30" i="2"/>
  <c r="C30" i="2" s="1"/>
  <c r="G33" i="1" s="1"/>
  <c r="H33" i="1"/>
  <c r="E33" i="1"/>
  <c r="F33" i="1" s="1"/>
  <c r="D34" i="1"/>
  <c r="Q31" i="1" l="1"/>
  <c r="AD31" i="1" s="1"/>
  <c r="O32" i="1"/>
  <c r="L32" i="1" s="1"/>
  <c r="AT32" i="1"/>
  <c r="AU32" i="1"/>
  <c r="AR32" i="1"/>
  <c r="AS32" i="1"/>
  <c r="AP32" i="1"/>
  <c r="AQ32" i="1"/>
  <c r="AB29" i="1"/>
  <c r="AC29" i="1" s="1"/>
  <c r="AJ29" i="1"/>
  <c r="X29" i="1"/>
  <c r="Y29" i="1" s="1"/>
  <c r="T29" i="1"/>
  <c r="U29" i="1" s="1"/>
  <c r="AG30" i="1"/>
  <c r="AI30" i="1" s="1"/>
  <c r="V30" i="1"/>
  <c r="Z30" i="1"/>
  <c r="R30" i="1"/>
  <c r="M32" i="1"/>
  <c r="N32" i="1"/>
  <c r="I33" i="1"/>
  <c r="E34" i="1"/>
  <c r="F34" i="1" s="1"/>
  <c r="B31" i="2"/>
  <c r="C31" i="2" s="1"/>
  <c r="G34" i="1" s="1"/>
  <c r="H34" i="1"/>
  <c r="D35" i="1"/>
  <c r="Q32" i="1" l="1"/>
  <c r="AD32" i="1" s="1"/>
  <c r="O33" i="1"/>
  <c r="L33" i="1" s="1"/>
  <c r="AT33" i="1"/>
  <c r="AU33" i="1"/>
  <c r="AR33" i="1"/>
  <c r="AS33" i="1"/>
  <c r="AP33" i="1"/>
  <c r="AQ33" i="1"/>
  <c r="AB30" i="1"/>
  <c r="AC30" i="1" s="1"/>
  <c r="AJ30" i="1"/>
  <c r="X30" i="1"/>
  <c r="Y30" i="1" s="1"/>
  <c r="T30" i="1"/>
  <c r="U30" i="1" s="1"/>
  <c r="AG31" i="1"/>
  <c r="AI31" i="1" s="1"/>
  <c r="V31" i="1"/>
  <c r="Z31" i="1"/>
  <c r="R31" i="1"/>
  <c r="I34" i="1"/>
  <c r="M33" i="1"/>
  <c r="N33" i="1"/>
  <c r="D36" i="1"/>
  <c r="H36" i="1" s="1"/>
  <c r="B32" i="2"/>
  <c r="C32" i="2" s="1"/>
  <c r="G35" i="1" s="1"/>
  <c r="H35" i="1"/>
  <c r="E35" i="1"/>
  <c r="F35" i="1" s="1"/>
  <c r="Q33" i="1" l="1"/>
  <c r="AD33" i="1" s="1"/>
  <c r="O34" i="1"/>
  <c r="L34" i="1" s="1"/>
  <c r="AT34" i="1"/>
  <c r="AU34" i="1"/>
  <c r="AR34" i="1"/>
  <c r="AS34" i="1"/>
  <c r="AP34" i="1"/>
  <c r="AQ34" i="1"/>
  <c r="M34" i="1"/>
  <c r="AB31" i="1"/>
  <c r="AC31" i="1" s="1"/>
  <c r="AJ31" i="1"/>
  <c r="X31" i="1"/>
  <c r="Y31" i="1" s="1"/>
  <c r="T31" i="1"/>
  <c r="U31" i="1" s="1"/>
  <c r="AG32" i="1"/>
  <c r="AI32" i="1" s="1"/>
  <c r="D37" i="1"/>
  <c r="E37" i="1" s="1"/>
  <c r="F37" i="1" s="1"/>
  <c r="E36" i="1"/>
  <c r="F36" i="1" s="1"/>
  <c r="V32" i="1"/>
  <c r="Z32" i="1"/>
  <c r="R32" i="1"/>
  <c r="N34" i="1"/>
  <c r="B33" i="2"/>
  <c r="C33" i="2" s="1"/>
  <c r="G36" i="1" s="1"/>
  <c r="I36" i="1" s="1"/>
  <c r="I35" i="1"/>
  <c r="Q34" i="1" l="1"/>
  <c r="AD34" i="1" s="1"/>
  <c r="O35" i="1"/>
  <c r="L35" i="1" s="1"/>
  <c r="O36" i="1"/>
  <c r="L36" i="1" s="1"/>
  <c r="AT35" i="1"/>
  <c r="AU35" i="1"/>
  <c r="AT36" i="1"/>
  <c r="AU36" i="1"/>
  <c r="AR36" i="1"/>
  <c r="AS36" i="1"/>
  <c r="AR35" i="1"/>
  <c r="AS35" i="1"/>
  <c r="AP36" i="1"/>
  <c r="AQ36" i="1"/>
  <c r="AP35" i="1"/>
  <c r="AQ35" i="1"/>
  <c r="AB32" i="1"/>
  <c r="AC32" i="1" s="1"/>
  <c r="AJ32" i="1"/>
  <c r="B34" i="2"/>
  <c r="C34" i="2" s="1"/>
  <c r="G37" i="1" s="1"/>
  <c r="H37" i="1"/>
  <c r="D38" i="1"/>
  <c r="H38" i="1" s="1"/>
  <c r="X32" i="1"/>
  <c r="Y32" i="1" s="1"/>
  <c r="T32" i="1"/>
  <c r="U32" i="1" s="1"/>
  <c r="AG33" i="1"/>
  <c r="AI33" i="1" s="1"/>
  <c r="V33" i="1"/>
  <c r="Z33" i="1"/>
  <c r="R33" i="1"/>
  <c r="M36" i="1"/>
  <c r="N36" i="1"/>
  <c r="M35" i="1"/>
  <c r="N35" i="1"/>
  <c r="Q35" i="1" l="1"/>
  <c r="AD35" i="1" s="1"/>
  <c r="Q36" i="1"/>
  <c r="AD36" i="1" s="1"/>
  <c r="AG34" i="1"/>
  <c r="AI34" i="1" s="1"/>
  <c r="R34" i="1"/>
  <c r="Z34" i="1"/>
  <c r="V34" i="1"/>
  <c r="AB33" i="1"/>
  <c r="AC33" i="1" s="1"/>
  <c r="AJ33" i="1"/>
  <c r="E38" i="1"/>
  <c r="F38" i="1" s="1"/>
  <c r="I37" i="1"/>
  <c r="D39" i="1"/>
  <c r="E39" i="1" s="1"/>
  <c r="F39" i="1" s="1"/>
  <c r="B35" i="2"/>
  <c r="C35" i="2" s="1"/>
  <c r="G38" i="1" s="1"/>
  <c r="I38" i="1" s="1"/>
  <c r="X33" i="1"/>
  <c r="Y33" i="1" s="1"/>
  <c r="T33" i="1"/>
  <c r="U33" i="1" s="1"/>
  <c r="O38" i="1" l="1"/>
  <c r="L38" i="1" s="1"/>
  <c r="O37" i="1"/>
  <c r="L37" i="1" s="1"/>
  <c r="N37" i="1"/>
  <c r="M37" i="1"/>
  <c r="AT38" i="1"/>
  <c r="AU38" i="1"/>
  <c r="AT37" i="1"/>
  <c r="AU37" i="1"/>
  <c r="AR38" i="1"/>
  <c r="AS38" i="1"/>
  <c r="AR37" i="1"/>
  <c r="AS37" i="1"/>
  <c r="AP38" i="1"/>
  <c r="AQ38" i="1"/>
  <c r="AP37" i="1"/>
  <c r="AQ37" i="1"/>
  <c r="H39" i="1"/>
  <c r="B36" i="2"/>
  <c r="C36" i="2" s="1"/>
  <c r="G39" i="1" s="1"/>
  <c r="D40" i="1"/>
  <c r="H40" i="1" s="1"/>
  <c r="AJ34" i="1"/>
  <c r="AB34" i="1"/>
  <c r="AC34" i="1" s="1"/>
  <c r="X34" i="1"/>
  <c r="Y34" i="1" s="1"/>
  <c r="T34" i="1"/>
  <c r="U34" i="1" s="1"/>
  <c r="AG36" i="1"/>
  <c r="AG35" i="1"/>
  <c r="AI35" i="1" s="1"/>
  <c r="V36" i="1"/>
  <c r="Z36" i="1"/>
  <c r="V35" i="1"/>
  <c r="Z35" i="1"/>
  <c r="R36" i="1"/>
  <c r="R35" i="1"/>
  <c r="M38" i="1"/>
  <c r="N38" i="1"/>
  <c r="Q37" i="1" l="1"/>
  <c r="AD37" i="1" s="1"/>
  <c r="Q38" i="1"/>
  <c r="AD38" i="1"/>
  <c r="I39" i="1"/>
  <c r="E40" i="1"/>
  <c r="F40" i="1" s="1"/>
  <c r="D41" i="1"/>
  <c r="B38" i="2" s="1"/>
  <c r="C38" i="2" s="1"/>
  <c r="G41" i="1" s="1"/>
  <c r="AI36" i="1"/>
  <c r="B37" i="2"/>
  <c r="C37" i="2" s="1"/>
  <c r="G40" i="1" s="1"/>
  <c r="I40" i="1" s="1"/>
  <c r="AJ35" i="1"/>
  <c r="AB35" i="1"/>
  <c r="AC35" i="1" s="1"/>
  <c r="X35" i="1"/>
  <c r="Y35" i="1" s="1"/>
  <c r="T35" i="1"/>
  <c r="U35" i="1" s="1"/>
  <c r="R37" i="1" l="1"/>
  <c r="V37" i="1"/>
  <c r="AG37" i="1"/>
  <c r="AI37" i="1" s="1"/>
  <c r="Z37" i="1"/>
  <c r="O40" i="1"/>
  <c r="L40" i="1" s="1"/>
  <c r="O39" i="1"/>
  <c r="L39" i="1" s="1"/>
  <c r="AT40" i="1"/>
  <c r="AU40" i="1"/>
  <c r="AT39" i="1"/>
  <c r="AU39" i="1"/>
  <c r="AR40" i="1"/>
  <c r="AS40" i="1"/>
  <c r="AR39" i="1"/>
  <c r="AS39" i="1"/>
  <c r="AP40" i="1"/>
  <c r="AQ40" i="1"/>
  <c r="AP39" i="1"/>
  <c r="AQ39" i="1"/>
  <c r="AJ36" i="1"/>
  <c r="M40" i="1"/>
  <c r="M39" i="1"/>
  <c r="N39" i="1"/>
  <c r="E41" i="1"/>
  <c r="F41" i="1" s="1"/>
  <c r="D42" i="1"/>
  <c r="H42" i="1" s="1"/>
  <c r="H41" i="1"/>
  <c r="I41" i="1" s="1"/>
  <c r="AB36" i="1"/>
  <c r="AC36" i="1" s="1"/>
  <c r="X36" i="1"/>
  <c r="Y36" i="1" s="1"/>
  <c r="T36" i="1"/>
  <c r="U36" i="1" s="1"/>
  <c r="AG38" i="1"/>
  <c r="V38" i="1"/>
  <c r="Z38" i="1"/>
  <c r="R38" i="1"/>
  <c r="N40" i="1"/>
  <c r="AI38" i="1" l="1"/>
  <c r="Q40" i="1"/>
  <c r="AD40" i="1" s="1"/>
  <c r="Q39" i="1"/>
  <c r="AJ37" i="1"/>
  <c r="AJ38" i="1" s="1"/>
  <c r="O41" i="1"/>
  <c r="L41" i="1" s="1"/>
  <c r="AG39" i="1"/>
  <c r="AI39" i="1" s="1"/>
  <c r="AT41" i="1"/>
  <c r="AU41" i="1"/>
  <c r="AR41" i="1"/>
  <c r="AS41" i="1"/>
  <c r="AP41" i="1"/>
  <c r="AQ41" i="1"/>
  <c r="B39" i="2"/>
  <c r="C39" i="2" s="1"/>
  <c r="G42" i="1" s="1"/>
  <c r="I42" i="1" s="1"/>
  <c r="E42" i="1"/>
  <c r="F42" i="1" s="1"/>
  <c r="D43" i="1"/>
  <c r="B40" i="2" s="1"/>
  <c r="C40" i="2" s="1"/>
  <c r="G43" i="1" s="1"/>
  <c r="AB37" i="1"/>
  <c r="AC37" i="1" s="1"/>
  <c r="X37" i="1"/>
  <c r="Y37" i="1" s="1"/>
  <c r="T37" i="1"/>
  <c r="U37" i="1" s="1"/>
  <c r="M41" i="1"/>
  <c r="N41" i="1"/>
  <c r="Q41" i="1" l="1"/>
  <c r="AD39" i="1"/>
  <c r="O42" i="1"/>
  <c r="L42" i="1" s="1"/>
  <c r="Z39" i="1"/>
  <c r="V39" i="1"/>
  <c r="AT42" i="1"/>
  <c r="AU42" i="1"/>
  <c r="R39" i="1"/>
  <c r="AR42" i="1"/>
  <c r="AS42" i="1"/>
  <c r="AP42" i="1"/>
  <c r="AQ42" i="1"/>
  <c r="V40" i="1"/>
  <c r="AG40" i="1"/>
  <c r="AI40" i="1" s="1"/>
  <c r="R40" i="1"/>
  <c r="Z40" i="1"/>
  <c r="E43" i="1"/>
  <c r="F43" i="1" s="1"/>
  <c r="D44" i="1"/>
  <c r="D45" i="1" s="1"/>
  <c r="H43" i="1"/>
  <c r="I43" i="1" s="1"/>
  <c r="AJ39" i="1"/>
  <c r="AB38" i="1"/>
  <c r="AC38" i="1" s="1"/>
  <c r="X38" i="1"/>
  <c r="Y38" i="1" s="1"/>
  <c r="T38" i="1"/>
  <c r="U38" i="1" s="1"/>
  <c r="AD41" i="1"/>
  <c r="M42" i="1"/>
  <c r="N42" i="1"/>
  <c r="Q42" i="1" l="1"/>
  <c r="O43" i="1"/>
  <c r="L43" i="1" s="1"/>
  <c r="AD42" i="1"/>
  <c r="AT43" i="1"/>
  <c r="AU43" i="1"/>
  <c r="AR43" i="1"/>
  <c r="AS43" i="1"/>
  <c r="AP43" i="1"/>
  <c r="AQ43" i="1"/>
  <c r="B41" i="2"/>
  <c r="C41" i="2" s="1"/>
  <c r="G44" i="1" s="1"/>
  <c r="H44" i="1"/>
  <c r="E44" i="1"/>
  <c r="F44" i="1" s="1"/>
  <c r="AJ40" i="1"/>
  <c r="AB39" i="1"/>
  <c r="AC39" i="1" s="1"/>
  <c r="X39" i="1"/>
  <c r="Y39" i="1" s="1"/>
  <c r="T39" i="1"/>
  <c r="U39" i="1" s="1"/>
  <c r="AG41" i="1"/>
  <c r="AI41" i="1" s="1"/>
  <c r="V41" i="1"/>
  <c r="Z41" i="1"/>
  <c r="R41" i="1"/>
  <c r="M43" i="1"/>
  <c r="N43" i="1"/>
  <c r="B42" i="2"/>
  <c r="C42" i="2" s="1"/>
  <c r="G45" i="1" s="1"/>
  <c r="H45" i="1"/>
  <c r="D46" i="1"/>
  <c r="D47" i="1" s="1"/>
  <c r="D48" i="1" s="1"/>
  <c r="E45" i="1"/>
  <c r="F45" i="1" s="1"/>
  <c r="Q43" i="1" l="1"/>
  <c r="AD43" i="1" s="1"/>
  <c r="E48" i="1"/>
  <c r="F48" i="1" s="1"/>
  <c r="H48" i="1"/>
  <c r="I44" i="1"/>
  <c r="N44" i="1" s="1"/>
  <c r="B45" i="2"/>
  <c r="C45" i="2" s="1"/>
  <c r="AJ41" i="1"/>
  <c r="AB40" i="1"/>
  <c r="AC40" i="1" s="1"/>
  <c r="X40" i="1"/>
  <c r="Y40" i="1" s="1"/>
  <c r="T40" i="1"/>
  <c r="U40" i="1" s="1"/>
  <c r="AG42" i="1"/>
  <c r="AI42" i="1" s="1"/>
  <c r="V42" i="1"/>
  <c r="Z42" i="1"/>
  <c r="R42" i="1"/>
  <c r="I45" i="1"/>
  <c r="B43" i="2"/>
  <c r="C43" i="2" s="1"/>
  <c r="G46" i="1" s="1"/>
  <c r="H46" i="1"/>
  <c r="E46" i="1"/>
  <c r="F46" i="1" s="1"/>
  <c r="G48" i="1" l="1"/>
  <c r="I48" i="1" s="1"/>
  <c r="M44" i="1"/>
  <c r="O45" i="1"/>
  <c r="L45" i="1" s="1"/>
  <c r="O44" i="1"/>
  <c r="AT44" i="1"/>
  <c r="AU44" i="1"/>
  <c r="AT45" i="1"/>
  <c r="AU45" i="1"/>
  <c r="AR45" i="1"/>
  <c r="AS45" i="1"/>
  <c r="AR44" i="1"/>
  <c r="AS44" i="1"/>
  <c r="AP45" i="1"/>
  <c r="AQ45" i="1"/>
  <c r="AP44" i="1"/>
  <c r="AQ44" i="1"/>
  <c r="AJ42" i="1"/>
  <c r="AB41" i="1"/>
  <c r="AC41" i="1" s="1"/>
  <c r="X41" i="1"/>
  <c r="Y41" i="1" s="1"/>
  <c r="T41" i="1"/>
  <c r="U41" i="1" s="1"/>
  <c r="AG43" i="1"/>
  <c r="AI43" i="1" s="1"/>
  <c r="V43" i="1"/>
  <c r="Z43" i="1"/>
  <c r="R43" i="1"/>
  <c r="M45" i="1"/>
  <c r="N45" i="1"/>
  <c r="I46" i="1"/>
  <c r="B44" i="2"/>
  <c r="C44" i="2" s="1"/>
  <c r="G47" i="1" s="1"/>
  <c r="H47" i="1"/>
  <c r="E47" i="1"/>
  <c r="F47" i="1" s="1"/>
  <c r="Q45" i="1" l="1"/>
  <c r="AD45" i="1" s="1"/>
  <c r="Q44" i="1"/>
  <c r="AD44" i="1" s="1"/>
  <c r="L44" i="1"/>
  <c r="AP48" i="1"/>
  <c r="AQ48" i="1"/>
  <c r="AR48" i="1"/>
  <c r="M48" i="1"/>
  <c r="AS48" i="1"/>
  <c r="N48" i="1"/>
  <c r="AT48" i="1"/>
  <c r="AU48" i="1"/>
  <c r="O48" i="1"/>
  <c r="O46" i="1"/>
  <c r="L46" i="1" s="1"/>
  <c r="AT46" i="1"/>
  <c r="AU46" i="1"/>
  <c r="AR46" i="1"/>
  <c r="AS46" i="1"/>
  <c r="AP46" i="1"/>
  <c r="AQ46" i="1"/>
  <c r="AJ43" i="1"/>
  <c r="AB42" i="1"/>
  <c r="AC42" i="1" s="1"/>
  <c r="X42" i="1"/>
  <c r="Y42" i="1" s="1"/>
  <c r="T42" i="1"/>
  <c r="U42" i="1" s="1"/>
  <c r="M46" i="1"/>
  <c r="N46" i="1"/>
  <c r="I47" i="1"/>
  <c r="Q48" i="1" l="1"/>
  <c r="Q46" i="1"/>
  <c r="AD46" i="1" s="1"/>
  <c r="Z44" i="1"/>
  <c r="AG44" i="1"/>
  <c r="AI44" i="1" s="1"/>
  <c r="R44" i="1"/>
  <c r="V44" i="1"/>
  <c r="L48" i="1"/>
  <c r="O47" i="1"/>
  <c r="L47" i="1" s="1"/>
  <c r="AU47" i="1"/>
  <c r="AS47" i="1"/>
  <c r="AT47" i="1"/>
  <c r="AQ47" i="1"/>
  <c r="AR47" i="1"/>
  <c r="B17" i="4"/>
  <c r="B22" i="4" s="1"/>
  <c r="B23" i="4" s="1"/>
  <c r="B24" i="4" s="1"/>
  <c r="AP47" i="1"/>
  <c r="AB43" i="1"/>
  <c r="AC43" i="1" s="1"/>
  <c r="X43" i="1"/>
  <c r="Y43" i="1" s="1"/>
  <c r="T43" i="1"/>
  <c r="U43" i="1" s="1"/>
  <c r="AG45" i="1"/>
  <c r="V45" i="1"/>
  <c r="Z45" i="1"/>
  <c r="R45" i="1"/>
  <c r="M47" i="1"/>
  <c r="N47" i="1"/>
  <c r="Q47" i="1" l="1"/>
  <c r="AI45" i="1"/>
  <c r="AJ44" i="1"/>
  <c r="V48" i="1"/>
  <c r="Z48" i="1"/>
  <c r="AD48" i="1"/>
  <c r="AG48" i="1"/>
  <c r="R48" i="1"/>
  <c r="AD47" i="1"/>
  <c r="B25" i="4"/>
  <c r="AV46" i="1" s="1"/>
  <c r="AO46" i="1" s="1"/>
  <c r="AX46" i="1" s="1"/>
  <c r="AB44" i="1"/>
  <c r="AC44" i="1" s="1"/>
  <c r="X44" i="1"/>
  <c r="Y44" i="1" s="1"/>
  <c r="T44" i="1"/>
  <c r="U44" i="1" s="1"/>
  <c r="AG46" i="1"/>
  <c r="V46" i="1"/>
  <c r="Z46" i="1"/>
  <c r="R46" i="1"/>
  <c r="AV14" i="1" l="1"/>
  <c r="AO14" i="1" s="1"/>
  <c r="AX14" i="1" s="1"/>
  <c r="AV13" i="1"/>
  <c r="AO13" i="1" s="1"/>
  <c r="AX13" i="1" s="1"/>
  <c r="AV44" i="1"/>
  <c r="AO44" i="1" s="1"/>
  <c r="AX44" i="1" s="1"/>
  <c r="AJ45" i="1"/>
  <c r="AI46" i="1"/>
  <c r="AV47" i="1"/>
  <c r="AO47" i="1" s="1"/>
  <c r="AX47" i="1" s="1"/>
  <c r="I7" i="1"/>
  <c r="I3" i="1" s="1"/>
  <c r="AV42" i="1"/>
  <c r="AO42" i="1" s="1"/>
  <c r="AX42" i="1" s="1"/>
  <c r="AV48" i="1"/>
  <c r="AO48" i="1" s="1"/>
  <c r="AX48" i="1" s="1"/>
  <c r="AV43" i="1"/>
  <c r="AO43" i="1" s="1"/>
  <c r="AX43" i="1" s="1"/>
  <c r="AV45" i="1"/>
  <c r="AO45" i="1" s="1"/>
  <c r="AX45" i="1" s="1"/>
  <c r="AV15" i="1"/>
  <c r="AO15" i="1" s="1"/>
  <c r="AX15" i="1" s="1"/>
  <c r="AV16" i="1"/>
  <c r="AO16" i="1" s="1"/>
  <c r="AX16" i="1" s="1"/>
  <c r="AV25" i="1"/>
  <c r="AO25" i="1" s="1"/>
  <c r="AX25" i="1" s="1"/>
  <c r="AV21" i="1"/>
  <c r="AO21" i="1" s="1"/>
  <c r="AX21" i="1" s="1"/>
  <c r="AV17" i="1"/>
  <c r="AO17" i="1" s="1"/>
  <c r="AX17" i="1" s="1"/>
  <c r="AV38" i="1"/>
  <c r="AO38" i="1" s="1"/>
  <c r="AX38" i="1" s="1"/>
  <c r="AV35" i="1"/>
  <c r="AO35" i="1" s="1"/>
  <c r="AX35" i="1" s="1"/>
  <c r="AV33" i="1"/>
  <c r="AO33" i="1" s="1"/>
  <c r="AX33" i="1" s="1"/>
  <c r="AV26" i="1"/>
  <c r="AO26" i="1" s="1"/>
  <c r="AX26" i="1" s="1"/>
  <c r="AV34" i="1"/>
  <c r="AO34" i="1" s="1"/>
  <c r="AX34" i="1" s="1"/>
  <c r="AV22" i="1"/>
  <c r="AO22" i="1" s="1"/>
  <c r="AX22" i="1" s="1"/>
  <c r="AV23" i="1"/>
  <c r="AO23" i="1" s="1"/>
  <c r="AX23" i="1" s="1"/>
  <c r="AV24" i="1"/>
  <c r="AO24" i="1" s="1"/>
  <c r="AX24" i="1" s="1"/>
  <c r="AV36" i="1"/>
  <c r="AO36" i="1" s="1"/>
  <c r="AX36" i="1" s="1"/>
  <c r="AV20" i="1"/>
  <c r="AO20" i="1" s="1"/>
  <c r="AX20" i="1" s="1"/>
  <c r="AV28" i="1"/>
  <c r="AO28" i="1" s="1"/>
  <c r="AX28" i="1" s="1"/>
  <c r="AV32" i="1"/>
  <c r="AO32" i="1" s="1"/>
  <c r="AX32" i="1" s="1"/>
  <c r="AV18" i="1"/>
  <c r="AO18" i="1" s="1"/>
  <c r="AX18" i="1" s="1"/>
  <c r="AV40" i="1"/>
  <c r="AO40" i="1" s="1"/>
  <c r="AX40" i="1" s="1"/>
  <c r="AV27" i="1"/>
  <c r="AO27" i="1" s="1"/>
  <c r="AX27" i="1" s="1"/>
  <c r="AV30" i="1"/>
  <c r="AO30" i="1" s="1"/>
  <c r="AX30" i="1" s="1"/>
  <c r="AV29" i="1"/>
  <c r="AO29" i="1" s="1"/>
  <c r="AX29" i="1" s="1"/>
  <c r="AV19" i="1"/>
  <c r="AO19" i="1" s="1"/>
  <c r="AX19" i="1" s="1"/>
  <c r="AV39" i="1"/>
  <c r="AO39" i="1" s="1"/>
  <c r="AX39" i="1" s="1"/>
  <c r="AV41" i="1"/>
  <c r="AO41" i="1" s="1"/>
  <c r="AX41" i="1" s="1"/>
  <c r="AV31" i="1"/>
  <c r="AO31" i="1" s="1"/>
  <c r="AX31" i="1" s="1"/>
  <c r="AV37" i="1"/>
  <c r="AO37" i="1" s="1"/>
  <c r="AX37" i="1" s="1"/>
  <c r="AB45" i="1"/>
  <c r="AC45" i="1" s="1"/>
  <c r="X45" i="1"/>
  <c r="Y45" i="1" s="1"/>
  <c r="T45" i="1"/>
  <c r="U45" i="1" s="1"/>
  <c r="AG47" i="1"/>
  <c r="V47" i="1"/>
  <c r="Z47" i="1"/>
  <c r="R47" i="1"/>
  <c r="M15" i="4" l="1"/>
  <c r="BT24" i="1" s="1"/>
  <c r="BT16" i="1"/>
  <c r="AJ46" i="1"/>
  <c r="AI47" i="1"/>
  <c r="AI48" i="1" s="1"/>
  <c r="AB46" i="1"/>
  <c r="AC46" i="1" s="1"/>
  <c r="X46" i="1"/>
  <c r="Y46" i="1" s="1"/>
  <c r="T46" i="1"/>
  <c r="U46" i="1" s="1"/>
  <c r="D10" i="5" l="1"/>
  <c r="D5" i="5"/>
  <c r="G5" i="5" s="1"/>
  <c r="D12" i="5"/>
  <c r="G12" i="5" s="1"/>
  <c r="D21" i="5"/>
  <c r="G21" i="5" s="1"/>
  <c r="D18" i="5"/>
  <c r="G18" i="5" s="1"/>
  <c r="D3" i="5"/>
  <c r="G3" i="5" s="1"/>
  <c r="D4" i="5"/>
  <c r="G4" i="5" s="1"/>
  <c r="D11" i="5"/>
  <c r="G11" i="5" s="1"/>
  <c r="D17" i="5"/>
  <c r="G17" i="5" s="1"/>
  <c r="D16" i="5"/>
  <c r="G16" i="5" s="1"/>
  <c r="D9" i="5"/>
  <c r="G9" i="5" s="1"/>
  <c r="D15" i="5"/>
  <c r="G15" i="5" s="1"/>
  <c r="D7" i="5"/>
  <c r="G7" i="5" s="1"/>
  <c r="D13" i="5"/>
  <c r="G13" i="5" s="1"/>
  <c r="D6" i="5"/>
  <c r="G6" i="5" s="1"/>
  <c r="D20" i="5"/>
  <c r="G20" i="5" s="1"/>
  <c r="D19" i="5"/>
  <c r="G19" i="5" s="1"/>
  <c r="BW16" i="1"/>
  <c r="BT21" i="1"/>
  <c r="BW21" i="1" s="1"/>
  <c r="BT19" i="1"/>
  <c r="BW19" i="1" s="1"/>
  <c r="D14" i="5"/>
  <c r="G14" i="5" s="1"/>
  <c r="D8" i="5"/>
  <c r="G8" i="5" s="1"/>
  <c r="BT17" i="1"/>
  <c r="BW17" i="1" s="1"/>
  <c r="BT20" i="1"/>
  <c r="BW20" i="1" s="1"/>
  <c r="BT18" i="1"/>
  <c r="BW18" i="1" s="1"/>
  <c r="BT22" i="1"/>
  <c r="BW22" i="1" s="1"/>
  <c r="BT25" i="1"/>
  <c r="BW25" i="1" s="1"/>
  <c r="BT23" i="1"/>
  <c r="BW23" i="1" s="1"/>
  <c r="BT26" i="1"/>
  <c r="BW26" i="1" s="1"/>
  <c r="BT27" i="1"/>
  <c r="BW27" i="1" s="1"/>
  <c r="BT29" i="1"/>
  <c r="BW29" i="1" s="1"/>
  <c r="BT34" i="1"/>
  <c r="BW34" i="1" s="1"/>
  <c r="BT28" i="1"/>
  <c r="BW28" i="1" s="1"/>
  <c r="BT33" i="1"/>
  <c r="BW33" i="1" s="1"/>
  <c r="BT30" i="1"/>
  <c r="BW30" i="1" s="1"/>
  <c r="BT35" i="1"/>
  <c r="BW35" i="1" s="1"/>
  <c r="BT31" i="1"/>
  <c r="BW31" i="1" s="1"/>
  <c r="BT32" i="1"/>
  <c r="BW32" i="1" s="1"/>
  <c r="BW24" i="1"/>
  <c r="AJ47" i="1"/>
  <c r="AJ48" i="1" s="1"/>
  <c r="G10" i="5"/>
  <c r="D2" i="5"/>
  <c r="AB47" i="1"/>
  <c r="AC47" i="1" s="1"/>
  <c r="X47" i="1"/>
  <c r="Y47" i="1" s="1"/>
  <c r="T47" i="1"/>
  <c r="U47" i="1" s="1"/>
  <c r="AL13" i="1"/>
  <c r="AK13" i="1"/>
  <c r="AN13" i="1" s="1"/>
  <c r="BB13" i="1" s="1"/>
  <c r="AF14" i="1"/>
  <c r="AM14" i="1" s="1"/>
  <c r="BU42" i="1" l="1"/>
  <c r="BP50" i="1" s="1"/>
  <c r="BX49" i="1" s="1"/>
  <c r="G2" i="5"/>
  <c r="X48" i="1"/>
  <c r="Y48" i="1" s="1"/>
  <c r="AB48" i="1"/>
  <c r="AC48" i="1" s="1"/>
  <c r="T48" i="1"/>
  <c r="U48" i="1" s="1"/>
  <c r="AF15" i="1"/>
  <c r="AM15" i="1" s="1"/>
  <c r="AK14" i="1"/>
  <c r="AN14" i="1" s="1"/>
  <c r="AL14" i="1"/>
  <c r="BX47" i="1" l="1"/>
  <c r="BX48" i="1"/>
  <c r="BX45" i="1"/>
  <c r="BX46" i="1"/>
  <c r="BB14" i="1"/>
  <c r="BC14" i="1" s="1"/>
  <c r="BC13" i="1"/>
  <c r="AK15" i="1"/>
  <c r="AN15" i="1" s="1"/>
  <c r="AF16" i="1"/>
  <c r="AM16" i="1" s="1"/>
  <c r="AL15" i="1"/>
  <c r="BB15" i="1" l="1"/>
  <c r="BC15" i="1" s="1"/>
  <c r="AK16" i="1"/>
  <c r="AN16" i="1" s="1"/>
  <c r="AL16" i="1"/>
  <c r="AF17" i="1"/>
  <c r="AM17" i="1" s="1"/>
  <c r="AY16" i="1" l="1"/>
  <c r="BA16" i="1" s="1"/>
  <c r="AL17" i="1"/>
  <c r="AK17" i="1"/>
  <c r="AN17" i="1" s="1"/>
  <c r="AF18" i="1"/>
  <c r="AM18" i="1" s="1"/>
  <c r="BB17" i="1" l="1"/>
  <c r="BC17" i="1" s="1"/>
  <c r="BB16" i="1"/>
  <c r="BC16" i="1" s="1"/>
  <c r="AL18" i="1"/>
  <c r="AF19" i="1"/>
  <c r="AM19" i="1" s="1"/>
  <c r="AK18" i="1"/>
  <c r="AN18" i="1" s="1"/>
  <c r="BB18" i="1" l="1"/>
  <c r="BC18" i="1" s="1"/>
  <c r="AF20" i="1"/>
  <c r="AM20" i="1" s="1"/>
  <c r="AL19" i="1"/>
  <c r="AK19" i="1"/>
  <c r="AN19" i="1" s="1"/>
  <c r="BB19" i="1" l="1"/>
  <c r="BC19" i="1" s="1"/>
  <c r="AK20" i="1"/>
  <c r="AN20" i="1" s="1"/>
  <c r="AL20" i="1"/>
  <c r="AF21" i="1"/>
  <c r="AM21" i="1" s="1"/>
  <c r="BB20" i="1" l="1"/>
  <c r="BC20" i="1" s="1"/>
  <c r="AF22" i="1"/>
  <c r="AM22" i="1" s="1"/>
  <c r="AK21" i="1"/>
  <c r="AN21" i="1" s="1"/>
  <c r="AL21" i="1"/>
  <c r="BB21" i="1" l="1"/>
  <c r="BC21" i="1" s="1"/>
  <c r="AK22" i="1"/>
  <c r="AN22" i="1" s="1"/>
  <c r="AF23" i="1"/>
  <c r="AM23" i="1" s="1"/>
  <c r="AL22" i="1"/>
  <c r="BB22" i="1" l="1"/>
  <c r="BC22" i="1" s="1"/>
  <c r="AL23" i="1"/>
  <c r="AF24" i="1"/>
  <c r="AM24" i="1" s="1"/>
  <c r="AK23" i="1"/>
  <c r="AN23" i="1" s="1"/>
  <c r="AY23" i="1" l="1"/>
  <c r="BA23" i="1" s="1"/>
  <c r="AF25" i="1"/>
  <c r="AM25" i="1" s="1"/>
  <c r="AK24" i="1"/>
  <c r="AN24" i="1" s="1"/>
  <c r="AL24" i="1"/>
  <c r="BB23" i="1" l="1"/>
  <c r="BC23" i="1" s="1"/>
  <c r="AY24" i="1"/>
  <c r="BA24" i="1" s="1"/>
  <c r="AL25" i="1"/>
  <c r="AF26" i="1"/>
  <c r="AM26" i="1" s="1"/>
  <c r="AK25" i="1"/>
  <c r="AN25" i="1" s="1"/>
  <c r="BB24" i="1" l="1"/>
  <c r="BC24" i="1" s="1"/>
  <c r="AY25" i="1"/>
  <c r="BA25" i="1" s="1"/>
  <c r="AL26" i="1"/>
  <c r="AF27" i="1"/>
  <c r="AM27" i="1" s="1"/>
  <c r="AK26" i="1"/>
  <c r="AN26" i="1" s="1"/>
  <c r="BB25" i="1" l="1"/>
  <c r="BC25" i="1" s="1"/>
  <c r="AY26" i="1"/>
  <c r="BA26" i="1" s="1"/>
  <c r="AL27" i="1"/>
  <c r="AK27" i="1"/>
  <c r="AN27" i="1" s="1"/>
  <c r="AF28" i="1"/>
  <c r="AM28" i="1" s="1"/>
  <c r="BB26" i="1" l="1"/>
  <c r="BC26" i="1" s="1"/>
  <c r="AY27" i="1"/>
  <c r="BA27" i="1" s="1"/>
  <c r="AF29" i="1"/>
  <c r="AM29" i="1" s="1"/>
  <c r="AK28" i="1"/>
  <c r="AN28" i="1" s="1"/>
  <c r="AL28" i="1"/>
  <c r="BB27" i="1" l="1"/>
  <c r="BC27" i="1" s="1"/>
  <c r="AY28" i="1"/>
  <c r="BA28" i="1" s="1"/>
  <c r="AK29" i="1"/>
  <c r="AN29" i="1" s="1"/>
  <c r="AL29" i="1"/>
  <c r="AF30" i="1"/>
  <c r="AM30" i="1" s="1"/>
  <c r="BB28" i="1" l="1"/>
  <c r="BC28" i="1" s="1"/>
  <c r="AY29" i="1"/>
  <c r="BA29" i="1" s="1"/>
  <c r="AL30" i="1"/>
  <c r="AK30" i="1"/>
  <c r="AN30" i="1" s="1"/>
  <c r="AF31" i="1"/>
  <c r="AM31" i="1" s="1"/>
  <c r="BB29" i="1" l="1"/>
  <c r="BC29" i="1" s="1"/>
  <c r="AY30" i="1"/>
  <c r="BA30" i="1" s="1"/>
  <c r="AK31" i="1"/>
  <c r="AN31" i="1" s="1"/>
  <c r="AL31" i="1"/>
  <c r="AF32" i="1"/>
  <c r="AM32" i="1" s="1"/>
  <c r="BB30" i="1" l="1"/>
  <c r="BC30" i="1" s="1"/>
  <c r="AY31" i="1"/>
  <c r="BA31" i="1" s="1"/>
  <c r="AF33" i="1"/>
  <c r="AM33" i="1" s="1"/>
  <c r="AL32" i="1"/>
  <c r="AK32" i="1"/>
  <c r="AN32" i="1" s="1"/>
  <c r="BB31" i="1" l="1"/>
  <c r="BC31" i="1" s="1"/>
  <c r="AY32" i="1"/>
  <c r="BA32" i="1" s="1"/>
  <c r="AF34" i="1"/>
  <c r="AM34" i="1" s="1"/>
  <c r="AK33" i="1"/>
  <c r="AN33" i="1" s="1"/>
  <c r="AL33" i="1"/>
  <c r="BB32" i="1" l="1"/>
  <c r="BC32" i="1" s="1"/>
  <c r="AY33" i="1"/>
  <c r="BA33" i="1" s="1"/>
  <c r="AK34" i="1"/>
  <c r="AN34" i="1" s="1"/>
  <c r="AL34" i="1"/>
  <c r="AF35" i="1"/>
  <c r="AM35" i="1" s="1"/>
  <c r="BB33" i="1" l="1"/>
  <c r="BC33" i="1" s="1"/>
  <c r="AY34" i="1"/>
  <c r="BA34" i="1" s="1"/>
  <c r="AF36" i="1"/>
  <c r="AM36" i="1" s="1"/>
  <c r="AL35" i="1"/>
  <c r="AK35" i="1"/>
  <c r="AN35" i="1" s="1"/>
  <c r="BB34" i="1" l="1"/>
  <c r="BC34" i="1" s="1"/>
  <c r="AY35" i="1"/>
  <c r="BA35" i="1" s="1"/>
  <c r="AF37" i="1"/>
  <c r="AM37" i="1" s="1"/>
  <c r="AK36" i="1"/>
  <c r="AN36" i="1" s="1"/>
  <c r="AL36" i="1"/>
  <c r="BB35" i="1" l="1"/>
  <c r="BC35" i="1" s="1"/>
  <c r="AY36" i="1"/>
  <c r="BA36" i="1" s="1"/>
  <c r="AF38" i="1"/>
  <c r="AM38" i="1" s="1"/>
  <c r="AK37" i="1"/>
  <c r="AN37" i="1" s="1"/>
  <c r="AL37" i="1"/>
  <c r="BB36" i="1" l="1"/>
  <c r="BC36" i="1" s="1"/>
  <c r="AY37" i="1"/>
  <c r="BA37" i="1" s="1"/>
  <c r="AF39" i="1"/>
  <c r="AM39" i="1" s="1"/>
  <c r="AL38" i="1"/>
  <c r="AK38" i="1"/>
  <c r="AN38" i="1" s="1"/>
  <c r="BB37" i="1" l="1"/>
  <c r="BC37" i="1" s="1"/>
  <c r="AY38" i="1"/>
  <c r="BA38" i="1" s="1"/>
  <c r="AL39" i="1"/>
  <c r="AF40" i="1"/>
  <c r="AM40" i="1" s="1"/>
  <c r="AK39" i="1"/>
  <c r="AN39" i="1" s="1"/>
  <c r="BB38" i="1" l="1"/>
  <c r="BC38" i="1" s="1"/>
  <c r="AY39" i="1"/>
  <c r="BA39" i="1" s="1"/>
  <c r="AK40" i="1"/>
  <c r="AN40" i="1" s="1"/>
  <c r="AF41" i="1"/>
  <c r="AM41" i="1" s="1"/>
  <c r="AL40" i="1"/>
  <c r="BB39" i="1" l="1"/>
  <c r="BC39" i="1" s="1"/>
  <c r="AY40" i="1"/>
  <c r="BA40" i="1" s="1"/>
  <c r="AL41" i="1"/>
  <c r="AF42" i="1"/>
  <c r="AM42" i="1" s="1"/>
  <c r="AK41" i="1"/>
  <c r="AN41" i="1" s="1"/>
  <c r="BB40" i="1" l="1"/>
  <c r="BC40" i="1" s="1"/>
  <c r="AY41" i="1"/>
  <c r="BA41" i="1" s="1"/>
  <c r="AF43" i="1"/>
  <c r="AM43" i="1" s="1"/>
  <c r="AL42" i="1"/>
  <c r="AK42" i="1"/>
  <c r="AN42" i="1" s="1"/>
  <c r="BB41" i="1" l="1"/>
  <c r="BC41" i="1" s="1"/>
  <c r="AY42" i="1"/>
  <c r="BA42" i="1" s="1"/>
  <c r="AF44" i="1"/>
  <c r="AM44" i="1" s="1"/>
  <c r="AL43" i="1"/>
  <c r="AK43" i="1"/>
  <c r="AN43" i="1" s="1"/>
  <c r="BB42" i="1" l="1"/>
  <c r="BC42" i="1" s="1"/>
  <c r="AY43" i="1"/>
  <c r="BA43" i="1" s="1"/>
  <c r="AK44" i="1"/>
  <c r="AN44" i="1" s="1"/>
  <c r="AL44" i="1"/>
  <c r="AF45" i="1"/>
  <c r="AM45" i="1" s="1"/>
  <c r="BB43" i="1" l="1"/>
  <c r="BC43" i="1" s="1"/>
  <c r="AY44" i="1"/>
  <c r="BA44" i="1" s="1"/>
  <c r="AF46" i="1"/>
  <c r="AM46" i="1" s="1"/>
  <c r="AK45" i="1"/>
  <c r="AN45" i="1" s="1"/>
  <c r="AL45" i="1"/>
  <c r="BB44" i="1" l="1"/>
  <c r="BC44" i="1" s="1"/>
  <c r="AY45" i="1"/>
  <c r="BA45" i="1" s="1"/>
  <c r="AK46" i="1"/>
  <c r="AN46" i="1" s="1"/>
  <c r="AF47" i="1"/>
  <c r="AM47" i="1" s="1"/>
  <c r="AL46" i="1"/>
  <c r="BB45" i="1" l="1"/>
  <c r="BC45" i="1" s="1"/>
  <c r="AF48" i="1"/>
  <c r="AM48" i="1" s="1"/>
  <c r="AY46" i="1"/>
  <c r="BA46" i="1" s="1"/>
  <c r="AL47" i="1"/>
  <c r="AK47" i="1"/>
  <c r="AN47" i="1" s="1"/>
  <c r="BB46" i="1" l="1"/>
  <c r="BC46" i="1" s="1"/>
  <c r="AK48" i="1"/>
  <c r="AN48" i="1" s="1"/>
  <c r="AL48" i="1"/>
  <c r="AY47" i="1"/>
  <c r="BA47" i="1" s="1"/>
  <c r="BB47" i="1" l="1"/>
  <c r="BC47" i="1" s="1"/>
  <c r="AY48" i="1"/>
  <c r="BA48" i="1" s="1"/>
  <c r="BB48" i="1" l="1"/>
  <c r="BU40" i="1" s="1"/>
  <c r="BM50" i="1" l="1"/>
  <c r="BC48" i="1"/>
  <c r="M26" i="4"/>
  <c r="BZ16" i="1" s="1"/>
  <c r="CA16" i="1" l="1"/>
  <c r="BZ17" i="1" s="1"/>
  <c r="CA17" i="1" s="1"/>
  <c r="J2" i="5"/>
  <c r="K2" i="5" s="1"/>
  <c r="BX16" i="1" l="1"/>
  <c r="BU16" i="1"/>
  <c r="BZ18" i="1"/>
  <c r="CA18" i="1" s="1"/>
  <c r="BU17" i="1"/>
  <c r="BX17" i="1"/>
  <c r="J3" i="5"/>
  <c r="K3" i="5" s="1"/>
  <c r="H2" i="5"/>
  <c r="L2" i="5"/>
  <c r="E2" i="5"/>
  <c r="BZ19" i="1" l="1"/>
  <c r="CA19" i="1" s="1"/>
  <c r="BU18" i="1"/>
  <c r="BX18" i="1"/>
  <c r="J4" i="5"/>
  <c r="K4" i="5" s="1"/>
  <c r="E3" i="5"/>
  <c r="H3" i="5"/>
  <c r="L3" i="5"/>
  <c r="BZ20" i="1" l="1"/>
  <c r="CA20" i="1" s="1"/>
  <c r="BU19" i="1"/>
  <c r="BX19" i="1"/>
  <c r="L4" i="5"/>
  <c r="H4" i="5"/>
  <c r="J5" i="5"/>
  <c r="K5" i="5" s="1"/>
  <c r="BZ21" i="1" l="1"/>
  <c r="BU20" i="1"/>
  <c r="BX20" i="1"/>
  <c r="E4" i="5"/>
  <c r="J6" i="5"/>
  <c r="K6" i="5" s="1"/>
  <c r="E5" i="5"/>
  <c r="H5" i="5"/>
  <c r="L5" i="5"/>
  <c r="CA21" i="1" l="1"/>
  <c r="BZ22" i="1" s="1"/>
  <c r="CA22" i="1" s="1"/>
  <c r="H6" i="5"/>
  <c r="J7" i="5"/>
  <c r="K7" i="5" s="1"/>
  <c r="L6" i="5"/>
  <c r="BX21" i="1" l="1"/>
  <c r="BU21" i="1"/>
  <c r="BZ23" i="1"/>
  <c r="CA23" i="1" s="1"/>
  <c r="BU22" i="1"/>
  <c r="BX22" i="1"/>
  <c r="E6" i="5"/>
  <c r="L7" i="5"/>
  <c r="E7" i="5"/>
  <c r="H7" i="5"/>
  <c r="J8" i="5"/>
  <c r="K8" i="5" s="1"/>
  <c r="BZ24" i="1" l="1"/>
  <c r="CA24" i="1" s="1"/>
  <c r="BU23" i="1"/>
  <c r="BX23" i="1"/>
  <c r="L8" i="5"/>
  <c r="J9" i="5"/>
  <c r="K9" i="5" s="1"/>
  <c r="BZ25" i="1" l="1"/>
  <c r="CA25" i="1" s="1"/>
  <c r="BU24" i="1"/>
  <c r="BX24" i="1"/>
  <c r="L9" i="5"/>
  <c r="E8" i="5"/>
  <c r="H8" i="5"/>
  <c r="E9" i="5"/>
  <c r="H9" i="5"/>
  <c r="J10" i="5"/>
  <c r="K10" i="5" s="1"/>
  <c r="BZ26" i="1" l="1"/>
  <c r="CA26" i="1" s="1"/>
  <c r="BU25" i="1"/>
  <c r="BX25" i="1"/>
  <c r="L10" i="5"/>
  <c r="E10" i="5"/>
  <c r="J11" i="5"/>
  <c r="K11" i="5" s="1"/>
  <c r="H10" i="5"/>
  <c r="BZ27" i="1" l="1"/>
  <c r="CA27" i="1" s="1"/>
  <c r="BU26" i="1"/>
  <c r="BX26" i="1"/>
  <c r="L11" i="5"/>
  <c r="E11" i="5"/>
  <c r="J12" i="5"/>
  <c r="K12" i="5" s="1"/>
  <c r="BZ28" i="1" l="1"/>
  <c r="CA28" i="1" s="1"/>
  <c r="BU27" i="1"/>
  <c r="BX27" i="1"/>
  <c r="H11" i="5"/>
  <c r="L12" i="5"/>
  <c r="H12" i="5"/>
  <c r="J13" i="5"/>
  <c r="K13" i="5" s="1"/>
  <c r="BZ29" i="1" l="1"/>
  <c r="CA29" i="1" s="1"/>
  <c r="BU28" i="1"/>
  <c r="BX28" i="1"/>
  <c r="L13" i="5"/>
  <c r="E12" i="5"/>
  <c r="E13" i="5"/>
  <c r="H13" i="5"/>
  <c r="J14" i="5"/>
  <c r="K14" i="5" s="1"/>
  <c r="BZ30" i="1" l="1"/>
  <c r="CA30" i="1" s="1"/>
  <c r="BU29" i="1"/>
  <c r="BX29" i="1"/>
  <c r="L14" i="5"/>
  <c r="BZ31" i="1" l="1"/>
  <c r="CA31" i="1" s="1"/>
  <c r="BU30" i="1"/>
  <c r="BX30" i="1"/>
  <c r="J15" i="5"/>
  <c r="K15" i="5" s="1"/>
  <c r="H14" i="5"/>
  <c r="E14" i="5"/>
  <c r="BZ32" i="1" l="1"/>
  <c r="CA32" i="1" s="1"/>
  <c r="BU31" i="1"/>
  <c r="BX31" i="1"/>
  <c r="E15" i="5"/>
  <c r="H15" i="5"/>
  <c r="J16" i="5"/>
  <c r="K16" i="5" s="1"/>
  <c r="CB16" i="1" s="1"/>
  <c r="L15" i="5"/>
  <c r="BZ33" i="1" l="1"/>
  <c r="CA33" i="1" s="1"/>
  <c r="BU32" i="1"/>
  <c r="BX32" i="1"/>
  <c r="L16" i="5"/>
  <c r="BZ34" i="1" l="1"/>
  <c r="CA34" i="1" s="1"/>
  <c r="BU33" i="1"/>
  <c r="BX33" i="1"/>
  <c r="E16" i="5"/>
  <c r="J17" i="5"/>
  <c r="K17" i="5" s="1"/>
  <c r="CB17" i="1" s="1"/>
  <c r="H16" i="5"/>
  <c r="BZ35" i="1" l="1"/>
  <c r="BU41" i="1" s="1"/>
  <c r="BU34" i="1"/>
  <c r="BX34" i="1"/>
  <c r="L17" i="5"/>
  <c r="BN50" i="1" l="1"/>
  <c r="BV45" i="1" s="1"/>
  <c r="BU39" i="1"/>
  <c r="BO50" i="1" s="1"/>
  <c r="CA35" i="1"/>
  <c r="BU35" i="1" s="1"/>
  <c r="E17" i="5"/>
  <c r="H17" i="5"/>
  <c r="J18" i="5"/>
  <c r="K18" i="5" s="1"/>
  <c r="CB18" i="1" s="1"/>
  <c r="BX35" i="1" l="1"/>
  <c r="BW46" i="1"/>
  <c r="BW45" i="1"/>
  <c r="BW49" i="1"/>
  <c r="BW48" i="1"/>
  <c r="BW47" i="1"/>
  <c r="BQ50" i="1"/>
  <c r="BR50" i="1" s="1"/>
  <c r="BV48" i="1"/>
  <c r="BV47" i="1"/>
  <c r="BV46" i="1"/>
  <c r="BV49" i="1"/>
  <c r="BU45" i="1"/>
  <c r="BU47" i="1"/>
  <c r="BU46" i="1"/>
  <c r="BU49" i="1"/>
  <c r="BU48" i="1"/>
  <c r="H18" i="5"/>
  <c r="E18" i="5"/>
  <c r="J19" i="5"/>
  <c r="K19" i="5" s="1"/>
  <c r="CB19" i="1" s="1"/>
  <c r="L18" i="5"/>
  <c r="BU55" i="1" l="1"/>
  <c r="BV52" i="1"/>
  <c r="BV51" i="1"/>
  <c r="N7" i="1" s="1"/>
  <c r="N3" i="1" s="1"/>
  <c r="BW52" i="1"/>
  <c r="BW51" i="1"/>
  <c r="O7" i="1" s="1"/>
  <c r="BU51" i="1"/>
  <c r="M7" i="1" s="1"/>
  <c r="BU52" i="1"/>
  <c r="H19" i="5"/>
  <c r="J20" i="5"/>
  <c r="K20" i="5" s="1"/>
  <c r="CB20" i="1" s="1"/>
  <c r="E19" i="5"/>
  <c r="L19" i="5"/>
  <c r="O3" i="1" l="1"/>
  <c r="K7" i="1"/>
  <c r="K3" i="1" s="1"/>
  <c r="M3" i="1"/>
  <c r="L20" i="5"/>
  <c r="E20" i="5" l="1"/>
  <c r="H20" i="5"/>
  <c r="J21" i="5"/>
  <c r="K21" i="5" s="1"/>
  <c r="CB21" i="1" s="1"/>
  <c r="L21" i="5" l="1"/>
  <c r="H21" i="5"/>
  <c r="B25" i="5"/>
  <c r="E21" i="5"/>
  <c r="BX52" i="1" l="1"/>
  <c r="BX51" i="1"/>
  <c r="P7" i="1" s="1"/>
  <c r="G27" i="5"/>
  <c r="G29" i="5"/>
  <c r="G24" i="5"/>
  <c r="G26" i="5"/>
  <c r="G28" i="5"/>
  <c r="G30" i="5"/>
  <c r="P3" i="1" l="1"/>
  <c r="R3" i="1"/>
  <c r="G32" i="5"/>
  <c r="G33" i="5"/>
</calcChain>
</file>

<file path=xl/sharedStrings.xml><?xml version="1.0" encoding="utf-8"?>
<sst xmlns="http://schemas.openxmlformats.org/spreadsheetml/2006/main" count="316" uniqueCount="249">
  <si>
    <t>Emily's Basic Information</t>
  </si>
  <si>
    <t>Employee Contribution</t>
  </si>
  <si>
    <t>Total Contribution</t>
  </si>
  <si>
    <t>Total Profit</t>
  </si>
  <si>
    <t>Corpus at Retirement</t>
  </si>
  <si>
    <t>Expected Corpus for Post Retirement</t>
  </si>
  <si>
    <t>Key Feature Selected</t>
  </si>
  <si>
    <t>Count</t>
  </si>
  <si>
    <t>Salary</t>
  </si>
  <si>
    <t>Starting rate</t>
  </si>
  <si>
    <t>Max</t>
  </si>
  <si>
    <t>Hike Rise</t>
  </si>
  <si>
    <t>Increase every year</t>
  </si>
  <si>
    <t>Has_Partner_Contributed</t>
  </si>
  <si>
    <t>Min</t>
  </si>
  <si>
    <t>Salary std. dev</t>
  </si>
  <si>
    <t>Increase percentage</t>
  </si>
  <si>
    <t>Has_Children</t>
  </si>
  <si>
    <t>Percentile 50%</t>
  </si>
  <si>
    <t>Std</t>
  </si>
  <si>
    <t>Double Promotion Year</t>
  </si>
  <si>
    <t>Max rate</t>
  </si>
  <si>
    <t>Has_Purchase_New_Home</t>
  </si>
  <si>
    <t>Mean</t>
  </si>
  <si>
    <t>ACC Levy</t>
  </si>
  <si>
    <t>Lumpsum Every Year</t>
  </si>
  <si>
    <t>Lumpsum Amount</t>
  </si>
  <si>
    <t>CI @95%</t>
  </si>
  <si>
    <t>Index</t>
  </si>
  <si>
    <t>Year</t>
  </si>
  <si>
    <t>Age</t>
  </si>
  <si>
    <t>Gross Salary</t>
  </si>
  <si>
    <t>Salary Hike Value</t>
  </si>
  <si>
    <t>Salary Hike %</t>
  </si>
  <si>
    <t>Income Tax</t>
  </si>
  <si>
    <t>Net Salary</t>
  </si>
  <si>
    <t>Employee Contribution Rate %</t>
  </si>
  <si>
    <t>Employer Contribution Rate %</t>
  </si>
  <si>
    <t>Partner Contribution</t>
  </si>
  <si>
    <t>Employer Contribution</t>
  </si>
  <si>
    <t>Lump Sum Added</t>
  </si>
  <si>
    <t>Harboursafe Contribution</t>
  </si>
  <si>
    <t>Harboursafe Return</t>
  </si>
  <si>
    <t>Harbour safe return_value</t>
  </si>
  <si>
    <t>Harboursafe_corpus</t>
  </si>
  <si>
    <t>Horizon Contribution</t>
  </si>
  <si>
    <t>Horizon Return</t>
  </si>
  <si>
    <t>Horizon return value</t>
  </si>
  <si>
    <t>Horizon Corpus</t>
  </si>
  <si>
    <t>SkyHigh Contribution</t>
  </si>
  <si>
    <t>SkyHigh Return</t>
  </si>
  <si>
    <t>SkyHigh return value</t>
  </si>
  <si>
    <t>SkyHigh corpus</t>
  </si>
  <si>
    <t>Foreign_Equities Contribution</t>
  </si>
  <si>
    <t>Foreign_Equities Return</t>
  </si>
  <si>
    <t>Foreign return value</t>
  </si>
  <si>
    <t>Bitcoin Contribution</t>
  </si>
  <si>
    <t>Bitcoin Return</t>
  </si>
  <si>
    <t>Bitcoin return value</t>
  </si>
  <si>
    <t>Bitcoin Corpus</t>
  </si>
  <si>
    <t>FIF Tax (NZD)</t>
  </si>
  <si>
    <t>FIF Tax % of Foreign Value</t>
  </si>
  <si>
    <t>Foreign corpus</t>
  </si>
  <si>
    <t>Foreign corpus after FIF tax</t>
  </si>
  <si>
    <t>Rent</t>
  </si>
  <si>
    <t>Groceries</t>
  </si>
  <si>
    <t>Travel</t>
  </si>
  <si>
    <t>Utilities</t>
  </si>
  <si>
    <t>Insurance</t>
  </si>
  <si>
    <t>Leisure</t>
  </si>
  <si>
    <t>Misc</t>
  </si>
  <si>
    <t>Owns Home_EMI</t>
  </si>
  <si>
    <t>Children Expense</t>
  </si>
  <si>
    <t>Total Spent</t>
  </si>
  <si>
    <t>Unforeseen Withdrawal</t>
  </si>
  <si>
    <t>Requested Withdrawal</t>
  </si>
  <si>
    <t>Withdrawal Shortfall</t>
  </si>
  <si>
    <t>Final Corpus Fund Value</t>
  </si>
  <si>
    <t>Corpus Amount in Millions</t>
  </si>
  <si>
    <t>Post-Retirement Year</t>
  </si>
  <si>
    <t>Target Lifestyle Spending</t>
  </si>
  <si>
    <t>Target Spending % of Corpus</t>
  </si>
  <si>
    <t>Govt Support (NZ Super)</t>
  </si>
  <si>
    <t>Withdrawal from Fund</t>
  </si>
  <si>
    <t>Withdrawal % of Corpus</t>
  </si>
  <si>
    <t>Annual Return Rate (%)</t>
  </si>
  <si>
    <t>Growth (NZD)</t>
  </si>
  <si>
    <t>Remaining Corpus</t>
  </si>
  <si>
    <t>Expected Corpus</t>
  </si>
  <si>
    <t>Start Salary</t>
  </si>
  <si>
    <t>Tax slab</t>
  </si>
  <si>
    <t>Salary Growth rate</t>
  </si>
  <si>
    <t>Inflation rate</t>
  </si>
  <si>
    <t>Years</t>
  </si>
  <si>
    <t>tax</t>
  </si>
  <si>
    <t>Formula</t>
  </si>
  <si>
    <t>Year Range</t>
  </si>
  <si>
    <t>Harboursafe</t>
  </si>
  <si>
    <t>Horizon</t>
  </si>
  <si>
    <t>SkyHigh</t>
  </si>
  <si>
    <t>Foreign_Equities</t>
  </si>
  <si>
    <t>Bitcoin</t>
  </si>
  <si>
    <t>1–5</t>
  </si>
  <si>
    <t>6–10</t>
  </si>
  <si>
    <t>11–15</t>
  </si>
  <si>
    <t>16–20</t>
  </si>
  <si>
    <t>21–25</t>
  </si>
  <si>
    <t>26–30</t>
  </si>
  <si>
    <t>31–35</t>
  </si>
  <si>
    <t>Std Dev</t>
  </si>
  <si>
    <t>Lifestyle Strategy</t>
  </si>
  <si>
    <t>Alpha</t>
  </si>
  <si>
    <t>Beta</t>
  </si>
  <si>
    <t>Lifestyle Upgrade Units</t>
  </si>
  <si>
    <t>Partner and Child Strategy</t>
  </si>
  <si>
    <t>Rent Upgrade 2y</t>
  </si>
  <si>
    <t>has_Partner</t>
  </si>
  <si>
    <t>Groceries Base</t>
  </si>
  <si>
    <t>Rent Upgrade 5y</t>
  </si>
  <si>
    <t>Partner_Start_Year</t>
  </si>
  <si>
    <t>Travel Base</t>
  </si>
  <si>
    <t>Lifestyle upgrade every 5y_Triangular Distribution</t>
  </si>
  <si>
    <t>has_children</t>
  </si>
  <si>
    <t>Utilities Base</t>
  </si>
  <si>
    <t>Lifestyle upgrade every 5y_Min</t>
  </si>
  <si>
    <t>Children_start_Year</t>
  </si>
  <si>
    <t>Insurance Base</t>
  </si>
  <si>
    <t>Lifestyle upgrade every 5y_Max</t>
  </si>
  <si>
    <t>Child_End_Age</t>
  </si>
  <si>
    <t>Leisure Base</t>
  </si>
  <si>
    <t>Lifestyle upgrade every 5y_Mostlikely</t>
  </si>
  <si>
    <t>Child_Duration</t>
  </si>
  <si>
    <t>Misc Base</t>
  </si>
  <si>
    <t>Base_Child_Cost</t>
  </si>
  <si>
    <t>Partner_contribution_%</t>
  </si>
  <si>
    <t>Unforeseen Withdrawal_Year</t>
  </si>
  <si>
    <t>Unforeseen_Withdrawal_Amount</t>
  </si>
  <si>
    <t>Home Loan Calculation</t>
  </si>
  <si>
    <t>Post Retirement Calculation</t>
  </si>
  <si>
    <t>Owns_Home</t>
  </si>
  <si>
    <t>Post_retirement_start_year</t>
  </si>
  <si>
    <t>Category</t>
  </si>
  <si>
    <t>Min–Max Range</t>
  </si>
  <si>
    <t>α, β</t>
  </si>
  <si>
    <t>Skew Direction</t>
  </si>
  <si>
    <t>Behavior Insight</t>
  </si>
  <si>
    <t>Real-World Interpretation</t>
  </si>
  <si>
    <t>Own_Home_Start_Year</t>
  </si>
  <si>
    <t>Post_retirement_Base_Lifestyle_exp</t>
  </si>
  <si>
    <t>20%–25%</t>
  </si>
  <si>
    <t>(3,2)</t>
  </si>
  <si>
    <t>Left-skewed</t>
  </si>
  <si>
    <t>High volatility, peaks at higher proportions</t>
  </si>
  <si>
    <t>Rent costs can fluctuate significantly with lifestyle upgrades (e.g., moving to a better location).</t>
  </si>
  <si>
    <t>Own_Home_End_Year</t>
  </si>
  <si>
    <t>Post _retirement_Inflation</t>
  </si>
  <si>
    <t>10%–15%</t>
  </si>
  <si>
    <t>(4,4)</t>
  </si>
  <si>
    <t>Symmetric</t>
  </si>
  <si>
    <t>Stable and balanced</t>
  </si>
  <si>
    <t>Essential living cost, stable consumption regardless of income shifts.</t>
  </si>
  <si>
    <t>Salary at Purchasing Home</t>
  </si>
  <si>
    <t>Post_retirement_Lifestyle Upgrade every 5y_Triangular dist</t>
  </si>
  <si>
    <t>5%–10%</t>
  </si>
  <si>
    <t>Tends to lean high, with occasional dips</t>
  </si>
  <si>
    <t>Lifestyle-driven spending; holidays and work trips can cause surges.</t>
  </si>
  <si>
    <t>EMI Allocation %</t>
  </si>
  <si>
    <t>Post_retirement_Lifestyle Upgrade every 5y_Min</t>
  </si>
  <si>
    <t>4%–6%</t>
  </si>
  <si>
    <t>Very stable</t>
  </si>
  <si>
    <t>Essential cost; minor fluctuations from usage or tariffs.</t>
  </si>
  <si>
    <t>Loan Term (Years)</t>
  </si>
  <si>
    <t>Post_retirement_Lifestyle Upgrade every 5y_Max</t>
  </si>
  <si>
    <t>(6,6)</t>
  </si>
  <si>
    <t>Extremely stable</t>
  </si>
  <si>
    <t>Fixed payments (e.g., health, property); predictable.</t>
  </si>
  <si>
    <t>Annual Interest Rate</t>
  </si>
  <si>
    <t>Post_retirement_Lifestyle Upgrade every 5y_Mostlikely</t>
  </si>
  <si>
    <t>8%–12%</t>
  </si>
  <si>
    <t>Flexible and likely to skew high</t>
  </si>
  <si>
    <t>Entertainment, hobbies—tends to increase with lifestyle upgrades.</t>
  </si>
  <si>
    <t>Downpayment in %</t>
  </si>
  <si>
    <t>Miscellaneous</t>
  </si>
  <si>
    <t>3%–7%</t>
  </si>
  <si>
    <t>Right-skewed</t>
  </si>
  <si>
    <t>Generally lower, but flexible</t>
  </si>
  <si>
    <t>Unplanned expenses; tends to be minimal but can occasionally spike.</t>
  </si>
  <si>
    <t>Loan Amount</t>
  </si>
  <si>
    <t>NZ_Super_Annuity_Today_BaseValue $</t>
  </si>
  <si>
    <t>Home Budget</t>
  </si>
  <si>
    <t>NZ_Super_Annuity_Accumulation_Years</t>
  </si>
  <si>
    <t>Downpayment $</t>
  </si>
  <si>
    <t>NZ_Super_Annuity_2060</t>
  </si>
  <si>
    <t>Yearly EMI</t>
  </si>
  <si>
    <t>Accumulated Total corpus at 65th  Year</t>
  </si>
  <si>
    <t>Post retirement corpus fund growth rate</t>
  </si>
  <si>
    <t>Post retirement corpus fund std dev</t>
  </si>
  <si>
    <t>Double Promotion Year_Considered</t>
  </si>
  <si>
    <t>Std. dev</t>
  </si>
  <si>
    <t>Alpha Formula</t>
  </si>
  <si>
    <t>Beta Formula</t>
  </si>
  <si>
    <t>Formula tab</t>
  </si>
  <si>
    <t>Formula Tab</t>
  </si>
  <si>
    <t>Value</t>
  </si>
  <si>
    <t>(2,1)</t>
  </si>
  <si>
    <t>(1,2)</t>
  </si>
  <si>
    <t>Amount Left Over at Emily's Portfolio after 85th Age</t>
  </si>
  <si>
    <t>Has Partner_contribution or not</t>
  </si>
  <si>
    <t>Yes</t>
  </si>
  <si>
    <t>No</t>
  </si>
  <si>
    <t>Random</t>
  </si>
  <si>
    <t>Best Scenario</t>
  </si>
  <si>
    <t>Neutral Scenario</t>
  </si>
  <si>
    <t>Worst Scenario</t>
  </si>
  <si>
    <t>Selected Scenario</t>
  </si>
  <si>
    <t>Has_Unforeseen Withdrawal</t>
  </si>
  <si>
    <t>Has_Double_Promotion</t>
  </si>
  <si>
    <t>Has_Increase_in_Contribution</t>
  </si>
  <si>
    <t>Has_Lumpsum_Deposit</t>
  </si>
  <si>
    <t>Has_Lifestyle_Upgrade</t>
  </si>
  <si>
    <t xml:space="preserve">Has_Invested_Post_Retirement </t>
  </si>
  <si>
    <t>Has_Partner</t>
  </si>
  <si>
    <t>Has_Invested_Post_Retirement</t>
  </si>
  <si>
    <t>Fund Name</t>
  </si>
  <si>
    <t>Currency Mean</t>
  </si>
  <si>
    <t>Currency Std Dev</t>
  </si>
  <si>
    <t>index</t>
  </si>
  <si>
    <t>diff</t>
  </si>
  <si>
    <t>Std dev</t>
  </si>
  <si>
    <t>CI@95</t>
  </si>
  <si>
    <t>Pre</t>
  </si>
  <si>
    <t>Post</t>
  </si>
  <si>
    <t>Decision Status'</t>
  </si>
  <si>
    <t>Decision - Yes</t>
  </si>
  <si>
    <t>Column1</t>
  </si>
  <si>
    <t xml:space="preserve"> </t>
  </si>
  <si>
    <t>Total Spend aft post ret.</t>
  </si>
  <si>
    <t>Post Spent Exp.</t>
  </si>
  <si>
    <t>Post Ret. Corpus</t>
  </si>
  <si>
    <t>Tota Corpus</t>
  </si>
  <si>
    <t>Total Corpus</t>
  </si>
  <si>
    <t>Total corpus</t>
  </si>
  <si>
    <t>Pre Ret.</t>
  </si>
  <si>
    <t>Post Ret.</t>
  </si>
  <si>
    <t>Sustainable Post Retirement ?</t>
  </si>
  <si>
    <t>Pre Retirement Fund Calculation</t>
  </si>
  <si>
    <t>Post Retirement Fund Calculation</t>
  </si>
  <si>
    <t>Pre Ret. Corpus</t>
  </si>
  <si>
    <t>Post Ret. Spent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</si>
</sst>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.00_ ;_ * \-#,##0.00_ ;_ * &quot;-&quot;??_ ;_ @_ "/>
    <numFmt numFmtId="165" formatCode="0.0%"/>
    <numFmt numFmtId="166" formatCode="0.0000"/>
    <numFmt numFmtId="167" formatCode="_ * #,##0_ ;_ * \-#,##0_ ;_ * &quot;-&quot;??_ ;_ @_ 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8"/>
      <color theme="1"/>
      <name val="Times New Roman"/>
      <family val="1"/>
    </font>
    <font>
      <b/>
      <sz val="24"/>
      <color rgb="FF7030A0"/>
      <name val="Times New Roman"/>
      <family val="1"/>
    </font>
    <font>
      <sz val="36"/>
      <color theme="0"/>
      <name val="Times New Roman"/>
      <family val="1"/>
    </font>
    <font>
      <sz val="11"/>
      <color rgb="FFFF0000"/>
      <name val="Aptos Narrow"/>
      <family val="2"/>
      <scheme val="minor"/>
    </font>
    <font>
      <b/>
      <sz val="18"/>
      <color rgb="FFFF0000"/>
      <name val="Times New Roman"/>
      <family val="1"/>
    </font>
    <font>
      <sz val="12"/>
      <color theme="0"/>
      <name val="Aptos Narrow"/>
      <family val="2"/>
      <scheme val="minor"/>
    </font>
    <font>
      <sz val="16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8"/>
      <color theme="0"/>
      <name val="Times New Roman"/>
      <family val="1"/>
    </font>
    <font>
      <sz val="11"/>
      <color theme="3"/>
      <name val="Aptos Narrow"/>
      <family val="2"/>
      <scheme val="minor"/>
    </font>
    <font>
      <b/>
      <sz val="11"/>
      <color theme="3"/>
      <name val="Aptos Narrow"/>
      <scheme val="minor"/>
    </font>
    <font>
      <b/>
      <u/>
      <sz val="11"/>
      <color theme="3"/>
      <name val="Aptos Narrow"/>
      <scheme val="minor"/>
    </font>
    <font>
      <b/>
      <sz val="18"/>
      <color theme="3"/>
      <name val="Times New Roman"/>
      <family val="1"/>
    </font>
    <font>
      <sz val="28"/>
      <color theme="0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8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1" fillId="13" borderId="0" applyNumberFormat="0" applyBorder="0" applyAlignment="0" applyProtection="0"/>
    <xf numFmtId="0" fontId="13" fillId="0" borderId="0" applyNumberFormat="0" applyFill="0" applyBorder="0" applyAlignment="0" applyProtection="0"/>
  </cellStyleXfs>
  <cellXfs count="147">
    <xf numFmtId="0" fontId="0" fillId="0" borderId="0" xfId="0"/>
    <xf numFmtId="0" fontId="0" fillId="2" borderId="0" xfId="0" applyFill="1"/>
    <xf numFmtId="1" fontId="0" fillId="0" borderId="0" xfId="0" applyNumberFormat="1"/>
    <xf numFmtId="9" fontId="0" fillId="0" borderId="0" xfId="1" applyFont="1"/>
    <xf numFmtId="2" fontId="0" fillId="0" borderId="0" xfId="0" applyNumberFormat="1"/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/>
    </xf>
    <xf numFmtId="10" fontId="0" fillId="0" borderId="0" xfId="1" applyNumberFormat="1" applyFont="1" applyAlignment="1">
      <alignment vertical="center" wrapText="1"/>
    </xf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1" fontId="0" fillId="0" borderId="1" xfId="0" applyNumberFormat="1" applyBorder="1"/>
    <xf numFmtId="9" fontId="0" fillId="0" borderId="1" xfId="1" applyFont="1" applyBorder="1"/>
    <xf numFmtId="165" fontId="0" fillId="0" borderId="1" xfId="1" applyNumberFormat="1" applyFont="1" applyBorder="1"/>
    <xf numFmtId="0" fontId="0" fillId="0" borderId="1" xfId="0" applyBorder="1" applyAlignment="1">
      <alignment horizontal="right"/>
    </xf>
    <xf numFmtId="9" fontId="0" fillId="0" borderId="1" xfId="1" applyFont="1" applyFill="1" applyBorder="1"/>
    <xf numFmtId="165" fontId="0" fillId="0" borderId="1" xfId="1" applyNumberFormat="1" applyFont="1" applyFill="1" applyBorder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9" fontId="0" fillId="0" borderId="0" xfId="0" applyNumberFormat="1"/>
    <xf numFmtId="165" fontId="0" fillId="0" borderId="0" xfId="1" applyNumberFormat="1" applyFont="1"/>
    <xf numFmtId="1" fontId="0" fillId="0" borderId="1" xfId="2" applyNumberFormat="1" applyFont="1" applyBorder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2" fillId="0" borderId="0" xfId="0" applyFont="1"/>
    <xf numFmtId="9" fontId="0" fillId="0" borderId="0" xfId="1" applyFont="1" applyFill="1" applyBorder="1"/>
    <xf numFmtId="165" fontId="0" fillId="0" borderId="0" xfId="1" applyNumberFormat="1" applyFont="1" applyFill="1" applyBorder="1"/>
    <xf numFmtId="1" fontId="0" fillId="0" borderId="0" xfId="2" applyNumberFormat="1" applyFont="1" applyFill="1" applyBorder="1"/>
    <xf numFmtId="165" fontId="0" fillId="10" borderId="1" xfId="1" applyNumberFormat="1" applyFont="1" applyFill="1" applyBorder="1"/>
    <xf numFmtId="0" fontId="0" fillId="10" borderId="3" xfId="0" applyFill="1" applyBorder="1"/>
    <xf numFmtId="1" fontId="0" fillId="10" borderId="3" xfId="0" applyNumberFormat="1" applyFill="1" applyBorder="1"/>
    <xf numFmtId="9" fontId="0" fillId="10" borderId="3" xfId="1" applyFont="1" applyFill="1" applyBorder="1"/>
    <xf numFmtId="165" fontId="0" fillId="10" borderId="3" xfId="1" applyNumberFormat="1" applyFont="1" applyFill="1" applyBorder="1"/>
    <xf numFmtId="0" fontId="0" fillId="10" borderId="3" xfId="0" applyFill="1" applyBorder="1" applyAlignment="1">
      <alignment horizontal="right"/>
    </xf>
    <xf numFmtId="9" fontId="0" fillId="0" borderId="0" xfId="1" applyFont="1" applyBorder="1"/>
    <xf numFmtId="165" fontId="0" fillId="0" borderId="0" xfId="1" applyNumberFormat="1" applyFont="1" applyBorder="1"/>
    <xf numFmtId="1" fontId="0" fillId="0" borderId="0" xfId="2" applyNumberFormat="1" applyFont="1" applyBorder="1"/>
    <xf numFmtId="10" fontId="0" fillId="0" borderId="0" xfId="1" applyNumberFormat="1" applyFont="1"/>
    <xf numFmtId="164" fontId="0" fillId="0" borderId="0" xfId="2" applyFont="1"/>
    <xf numFmtId="165" fontId="0" fillId="0" borderId="4" xfId="1" applyNumberFormat="1" applyFont="1" applyBorder="1"/>
    <xf numFmtId="10" fontId="0" fillId="0" borderId="4" xfId="1" applyNumberFormat="1" applyFont="1" applyBorder="1"/>
    <xf numFmtId="0" fontId="0" fillId="2" borderId="0" xfId="0" applyFill="1" applyAlignment="1">
      <alignment horizontal="center"/>
    </xf>
    <xf numFmtId="0" fontId="0" fillId="0" borderId="0" xfId="0" applyAlignment="1">
      <alignment horizontal="left" vertical="center" wrapText="1"/>
    </xf>
    <xf numFmtId="2" fontId="0" fillId="0" borderId="0" xfId="1" applyNumberFormat="1" applyFont="1"/>
    <xf numFmtId="0" fontId="0" fillId="0" borderId="0" xfId="0" applyAlignment="1">
      <alignment horizontal="left" vertical="top" wrapText="1"/>
    </xf>
    <xf numFmtId="166" fontId="0" fillId="0" borderId="0" xfId="0" applyNumberFormat="1"/>
    <xf numFmtId="0" fontId="0" fillId="12" borderId="0" xfId="0" applyFill="1"/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right" vertical="center"/>
    </xf>
    <xf numFmtId="1" fontId="0" fillId="10" borderId="1" xfId="0" applyNumberFormat="1" applyFill="1" applyBorder="1"/>
    <xf numFmtId="1" fontId="10" fillId="0" borderId="0" xfId="2" applyNumberFormat="1" applyFont="1" applyFill="1" applyBorder="1" applyAlignment="1">
      <alignment horizontal="center"/>
    </xf>
    <xf numFmtId="1" fontId="10" fillId="12" borderId="0" xfId="2" applyNumberFormat="1" applyFont="1" applyFill="1" applyBorder="1" applyAlignment="1">
      <alignment horizontal="center"/>
    </xf>
    <xf numFmtId="0" fontId="9" fillId="0" borderId="0" xfId="0" applyFont="1"/>
    <xf numFmtId="0" fontId="5" fillId="11" borderId="5" xfId="0" applyFont="1" applyFill="1" applyBorder="1"/>
    <xf numFmtId="0" fontId="5" fillId="11" borderId="4" xfId="0" applyFont="1" applyFill="1" applyBorder="1"/>
    <xf numFmtId="0" fontId="0" fillId="0" borderId="5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5" fillId="11" borderId="8" xfId="0" applyFont="1" applyFill="1" applyBorder="1"/>
    <xf numFmtId="0" fontId="11" fillId="13" borderId="10" xfId="3" applyBorder="1" applyAlignment="1">
      <alignment horizontal="center"/>
    </xf>
    <xf numFmtId="0" fontId="11" fillId="13" borderId="11" xfId="3" applyBorder="1" applyAlignment="1">
      <alignment horizontal="center"/>
    </xf>
    <xf numFmtId="0" fontId="11" fillId="13" borderId="0" xfId="3" applyBorder="1" applyAlignment="1">
      <alignment horizontal="center"/>
    </xf>
    <xf numFmtId="0" fontId="11" fillId="0" borderId="0" xfId="3" applyFill="1" applyBorder="1" applyAlignment="1">
      <alignment horizontal="center"/>
    </xf>
    <xf numFmtId="1" fontId="3" fillId="0" borderId="0" xfId="0" applyNumberFormat="1" applyFont="1"/>
    <xf numFmtId="0" fontId="0" fillId="15" borderId="0" xfId="0" applyFill="1" applyAlignment="1">
      <alignment horizontal="center" vertical="center"/>
    </xf>
    <xf numFmtId="0" fontId="11" fillId="14" borderId="0" xfId="3" applyFill="1" applyBorder="1" applyAlignment="1"/>
    <xf numFmtId="0" fontId="11" fillId="0" borderId="0" xfId="3" applyFill="1" applyBorder="1" applyAlignment="1"/>
    <xf numFmtId="0" fontId="0" fillId="5" borderId="0" xfId="0" applyFill="1"/>
    <xf numFmtId="1" fontId="0" fillId="0" borderId="4" xfId="0" applyNumberFormat="1" applyBorder="1"/>
    <xf numFmtId="1" fontId="0" fillId="0" borderId="8" xfId="0" applyNumberFormat="1" applyBorder="1"/>
    <xf numFmtId="1" fontId="0" fillId="0" borderId="7" xfId="0" applyNumberFormat="1" applyBorder="1"/>
    <xf numFmtId="165" fontId="0" fillId="0" borderId="7" xfId="1" applyNumberFormat="1" applyFont="1" applyBorder="1"/>
    <xf numFmtId="1" fontId="0" fillId="0" borderId="9" xfId="0" applyNumberFormat="1" applyBorder="1"/>
    <xf numFmtId="165" fontId="0" fillId="0" borderId="0" xfId="1" applyNumberFormat="1" applyFont="1" applyAlignment="1">
      <alignment vertical="center" wrapText="1"/>
    </xf>
    <xf numFmtId="9" fontId="0" fillId="10" borderId="1" xfId="1" applyFont="1" applyFill="1" applyBorder="1"/>
    <xf numFmtId="10" fontId="0" fillId="10" borderId="0" xfId="1" applyNumberFormat="1" applyFont="1" applyFill="1" applyAlignment="1">
      <alignment vertical="center" wrapText="1"/>
    </xf>
    <xf numFmtId="0" fontId="0" fillId="10" borderId="0" xfId="0" applyFill="1"/>
    <xf numFmtId="9" fontId="0" fillId="10" borderId="0" xfId="1" applyFont="1" applyFill="1"/>
    <xf numFmtId="0" fontId="6" fillId="0" borderId="1" xfId="0" applyFont="1" applyBorder="1" applyAlignment="1">
      <alignment horizontal="center"/>
    </xf>
    <xf numFmtId="1" fontId="7" fillId="7" borderId="1" xfId="2" applyNumberFormat="1" applyFont="1" applyFill="1" applyBorder="1" applyAlignment="1">
      <alignment horizontal="center"/>
    </xf>
    <xf numFmtId="1" fontId="7" fillId="7" borderId="1" xfId="0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7" fillId="7" borderId="1" xfId="0" applyFont="1" applyFill="1" applyBorder="1" applyAlignment="1">
      <alignment horizontal="center" wrapText="1"/>
    </xf>
    <xf numFmtId="0" fontId="12" fillId="14" borderId="0" xfId="0" applyFont="1" applyFill="1" applyAlignment="1">
      <alignment horizontal="center"/>
    </xf>
    <xf numFmtId="0" fontId="0" fillId="0" borderId="0" xfId="0" applyBorder="1"/>
    <xf numFmtId="0" fontId="0" fillId="0" borderId="0" xfId="0" applyFill="1" applyBorder="1"/>
    <xf numFmtId="1" fontId="0" fillId="0" borderId="0" xfId="0" applyNumberFormat="1" applyFill="1" applyBorder="1"/>
    <xf numFmtId="2" fontId="0" fillId="0" borderId="0" xfId="0" applyNumberFormat="1" applyFill="1" applyBorder="1"/>
    <xf numFmtId="0" fontId="3" fillId="0" borderId="0" xfId="0" applyFont="1"/>
    <xf numFmtId="1" fontId="14" fillId="0" borderId="0" xfId="2" applyNumberFormat="1" applyFont="1" applyFill="1" applyBorder="1" applyAlignment="1">
      <alignment horizontal="center"/>
    </xf>
    <xf numFmtId="167" fontId="14" fillId="0" borderId="0" xfId="2" applyNumberFormat="1" applyFont="1" applyFill="1" applyBorder="1" applyAlignment="1">
      <alignment horizontal="center"/>
    </xf>
    <xf numFmtId="0" fontId="16" fillId="0" borderId="18" xfId="0" applyFont="1" applyBorder="1"/>
    <xf numFmtId="0" fontId="17" fillId="0" borderId="18" xfId="4" applyFont="1" applyBorder="1"/>
    <xf numFmtId="0" fontId="0" fillId="0" borderId="19" xfId="0" applyBorder="1"/>
    <xf numFmtId="1" fontId="0" fillId="0" borderId="19" xfId="0" applyNumberFormat="1" applyBorder="1"/>
    <xf numFmtId="0" fontId="16" fillId="0" borderId="17" xfId="0" applyFont="1" applyBorder="1"/>
    <xf numFmtId="0" fontId="0" fillId="0" borderId="20" xfId="0" applyBorder="1"/>
    <xf numFmtId="0" fontId="0" fillId="0" borderId="15" xfId="0" applyBorder="1"/>
    <xf numFmtId="0" fontId="16" fillId="0" borderId="13" xfId="0" applyFont="1" applyBorder="1"/>
    <xf numFmtId="0" fontId="0" fillId="0" borderId="12" xfId="0" applyBorder="1"/>
    <xf numFmtId="0" fontId="0" fillId="0" borderId="16" xfId="0" applyBorder="1"/>
    <xf numFmtId="1" fontId="18" fillId="12" borderId="0" xfId="2" applyNumberFormat="1" applyFont="1" applyFill="1" applyBorder="1" applyAlignment="1">
      <alignment horizontal="center"/>
    </xf>
    <xf numFmtId="1" fontId="18" fillId="12" borderId="0" xfId="2" applyNumberFormat="1" applyFont="1" applyFill="1" applyBorder="1" applyAlignment="1">
      <alignment horizontal="center"/>
    </xf>
    <xf numFmtId="0" fontId="15" fillId="0" borderId="0" xfId="0" applyFont="1"/>
    <xf numFmtId="1" fontId="18" fillId="12" borderId="0" xfId="0" applyNumberFormat="1" applyFont="1" applyFill="1" applyAlignment="1">
      <alignment horizontal="center"/>
    </xf>
    <xf numFmtId="1" fontId="7" fillId="7" borderId="3" xfId="0" applyNumberFormat="1" applyFont="1" applyFill="1" applyBorder="1" applyAlignment="1">
      <alignment horizontal="center"/>
    </xf>
    <xf numFmtId="1" fontId="7" fillId="7" borderId="20" xfId="0" applyNumberFormat="1" applyFont="1" applyFill="1" applyBorder="1" applyAlignment="1">
      <alignment horizontal="center"/>
    </xf>
    <xf numFmtId="10" fontId="0" fillId="0" borderId="3" xfId="1" applyNumberFormat="1" applyFont="1" applyBorder="1"/>
    <xf numFmtId="0" fontId="6" fillId="0" borderId="12" xfId="0" applyFont="1" applyBorder="1" applyAlignment="1">
      <alignment horizontal="center" wrapText="1"/>
    </xf>
    <xf numFmtId="0" fontId="6" fillId="0" borderId="13" xfId="0" applyFont="1" applyBorder="1" applyAlignment="1">
      <alignment horizontal="center" wrapText="1"/>
    </xf>
    <xf numFmtId="0" fontId="6" fillId="0" borderId="15" xfId="0" applyFont="1" applyBorder="1" applyAlignment="1">
      <alignment horizontal="center" wrapText="1"/>
    </xf>
    <xf numFmtId="0" fontId="6" fillId="0" borderId="17" xfId="0" applyFont="1" applyBorder="1" applyAlignment="1">
      <alignment horizontal="center" wrapText="1"/>
    </xf>
    <xf numFmtId="1" fontId="7" fillId="7" borderId="12" xfId="0" applyNumberFormat="1" applyFont="1" applyFill="1" applyBorder="1" applyAlignment="1">
      <alignment horizontal="center"/>
    </xf>
    <xf numFmtId="1" fontId="7" fillId="7" borderId="13" xfId="0" applyNumberFormat="1" applyFont="1" applyFill="1" applyBorder="1" applyAlignment="1">
      <alignment horizontal="center"/>
    </xf>
    <xf numFmtId="1" fontId="7" fillId="7" borderId="15" xfId="0" applyNumberFormat="1" applyFont="1" applyFill="1" applyBorder="1" applyAlignment="1">
      <alignment horizontal="center"/>
    </xf>
    <xf numFmtId="1" fontId="7" fillId="7" borderId="17" xfId="0" applyNumberFormat="1" applyFont="1" applyFill="1" applyBorder="1" applyAlignment="1">
      <alignment horizontal="center"/>
    </xf>
    <xf numFmtId="0" fontId="6" fillId="0" borderId="1" xfId="0" applyFont="1" applyBorder="1" applyAlignment="1"/>
    <xf numFmtId="0" fontId="6" fillId="0" borderId="2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1" fontId="14" fillId="0" borderId="0" xfId="0" applyNumberFormat="1" applyFont="1" applyFill="1" applyAlignment="1">
      <alignment horizontal="center"/>
    </xf>
    <xf numFmtId="167" fontId="14" fillId="0" borderId="0" xfId="2" applyNumberFormat="1" applyFont="1" applyFill="1" applyAlignment="1">
      <alignment horizontal="center"/>
    </xf>
    <xf numFmtId="167" fontId="14" fillId="0" borderId="0" xfId="0" applyNumberFormat="1" applyFont="1" applyFill="1" applyAlignment="1">
      <alignment horizontal="center"/>
    </xf>
    <xf numFmtId="0" fontId="3" fillId="9" borderId="1" xfId="0" applyFont="1" applyFill="1" applyBorder="1"/>
    <xf numFmtId="0" fontId="8" fillId="0" borderId="0" xfId="0" applyFont="1" applyFill="1" applyBorder="1" applyAlignment="1">
      <alignment horizontal="center" vertical="center"/>
    </xf>
    <xf numFmtId="0" fontId="3" fillId="0" borderId="0" xfId="0" applyFont="1" applyFill="1" applyBorder="1"/>
    <xf numFmtId="0" fontId="0" fillId="0" borderId="0" xfId="0" applyFill="1" applyBorder="1" applyAlignment="1">
      <alignment horizontal="right"/>
    </xf>
    <xf numFmtId="0" fontId="2" fillId="0" borderId="0" xfId="0" applyFont="1" applyFill="1" applyBorder="1"/>
    <xf numFmtId="1" fontId="2" fillId="0" borderId="0" xfId="0" applyNumberFormat="1" applyFont="1" applyFill="1" applyBorder="1"/>
    <xf numFmtId="0" fontId="2" fillId="0" borderId="0" xfId="0" applyFont="1" applyFill="1" applyBorder="1" applyAlignment="1">
      <alignment horizontal="right"/>
    </xf>
    <xf numFmtId="1" fontId="3" fillId="0" borderId="0" xfId="0" applyNumberFormat="1" applyFont="1" applyFill="1" applyBorder="1"/>
    <xf numFmtId="165" fontId="0" fillId="0" borderId="1" xfId="0" applyNumberFormat="1" applyBorder="1"/>
    <xf numFmtId="10" fontId="0" fillId="0" borderId="1" xfId="0" applyNumberFormat="1" applyBorder="1"/>
    <xf numFmtId="0" fontId="19" fillId="9" borderId="0" xfId="0" applyFont="1" applyFill="1" applyBorder="1" applyAlignment="1">
      <alignment horizontal="center" vertical="center"/>
    </xf>
    <xf numFmtId="0" fontId="0" fillId="5" borderId="1" xfId="0" applyFill="1" applyBorder="1" applyAlignment="1">
      <alignment wrapText="1"/>
    </xf>
    <xf numFmtId="0" fontId="0" fillId="5" borderId="1" xfId="0" applyFill="1" applyBorder="1"/>
    <xf numFmtId="2" fontId="0" fillId="5" borderId="1" xfId="0" applyNumberFormat="1" applyFill="1" applyBorder="1"/>
    <xf numFmtId="0" fontId="14" fillId="9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vertical="center"/>
    </xf>
  </cellXfs>
  <cellStyles count="5">
    <cellStyle name="Accent5" xfId="3" builtinId="45"/>
    <cellStyle name="Comma" xfId="2" builtinId="3"/>
    <cellStyle name="Hyperlink" xfId="4" builtinId="8"/>
    <cellStyle name="Normal" xfId="0" builtinId="0"/>
    <cellStyle name="Per cent" xfId="1" builtinId="5"/>
  </cellStyles>
  <dxfs count="4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fill>
        <patternFill patternType="solid">
          <fgColor indexed="64"/>
          <bgColor theme="6" tint="0.59999389629810485"/>
        </patternFill>
      </fill>
      <alignment horizontal="general" vertical="center" textRotation="0" wrapText="1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Aptos Narrow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center" vertical="bottom" textRotation="0" wrapText="0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1" formatCode="0"/>
    </dxf>
    <dxf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166" formatCode="0.000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%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%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%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%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%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6" tint="0.59999389629810485"/>
        </patternFill>
      </fill>
    </dxf>
    <dxf>
      <fill>
        <patternFill patternType="solid">
          <fgColor indexed="64"/>
          <bgColor theme="6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fill>
        <patternFill patternType="solid">
          <fgColor indexed="64"/>
          <bgColor theme="6" tint="0.59999389629810485"/>
        </patternFill>
      </fill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numFmt numFmtId="0" formatCode="General"/>
      <alignment horizontal="left" vertical="center" wrapText="1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_xlchart.v1.15</cx:f>
      </cx:numDim>
    </cx:data>
  </cx:chartData>
  <cx:chart>
    <cx:title pos="t" align="ctr" overlay="0"/>
    <cx:plotArea>
      <cx:plotAreaRegion>
        <cx:series layoutId="clusteredColumn" uniqueId="{8B67888B-1566-5B45-ADAC-F29411BC443F}">
          <cx:tx>
            <cx:txData>
              <cx:f>_xlchart.v1.14</cx:f>
              <cx:v>Pre Ret. Corpus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_xlchart.v1.17</cx:f>
      </cx:numDim>
    </cx:data>
  </cx:chartData>
  <cx:chart>
    <cx:title pos="t" align="ctr" overlay="0"/>
    <cx:plotArea>
      <cx:plotAreaRegion>
        <cx:series layoutId="boxWhisker" uniqueId="{46887742-6C2F-6349-A826-BFC21A76A0DB}">
          <cx:tx>
            <cx:txData>
              <cx:f>_xlchart.v1.16</cx:f>
              <cx:v>Pre Ret. Corpus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_xlchart.v1.13</cx:f>
      </cx:numDim>
    </cx:data>
  </cx:chartData>
  <cx:chart>
    <cx:title pos="t" align="ctr" overlay="0"/>
    <cx:plotArea>
      <cx:plotAreaRegion>
        <cx:series layoutId="clusteredColumn" uniqueId="{AFDB7A10-4BED-9D4B-B510-52079CE12728}">
          <cx:tx>
            <cx:txData>
              <cx:f>_xlchart.v1.12</cx:f>
              <cx:v>Post Ret. Corpus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</cx:f>
      </cx:numDim>
    </cx:data>
  </cx:chartData>
  <cx:chart>
    <cx:title pos="t" align="ctr" overlay="0"/>
    <cx:plotArea>
      <cx:plotAreaRegion>
        <cx:series layoutId="boxWhisker" uniqueId="{9AB9BE00-F42D-1449-A5C2-3403D9A20914}">
          <cx:tx>
            <cx:txData>
              <cx:f>_xlchart.v1.10</cx:f>
              <cx:v>Post Ret. Corpus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_xlchart.v1.21</cx:f>
      </cx:numDim>
    </cx:data>
  </cx:chartData>
  <cx:chart>
    <cx:title pos="t" align="ctr" overlay="0"/>
    <cx:plotArea>
      <cx:plotAreaRegion>
        <cx:series layoutId="clusteredColumn" uniqueId="{11BCC208-9220-6641-83C5-A3C36B0E9B9D}">
          <cx:tx>
            <cx:txData>
              <cx:f>_xlchart.v1.20</cx:f>
              <cx:v>Total Corpus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_xlchart.v1.23</cx:f>
      </cx:numDim>
    </cx:data>
  </cx:chartData>
  <cx:chart>
    <cx:plotArea>
      <cx:plotAreaRegion>
        <cx:series layoutId="boxWhisker" uniqueId="{EB280FFC-DD1E-1145-A523-10D0195877CF}">
          <cx:tx>
            <cx:txData>
              <cx:f>_xlchart.v1.22</cx:f>
              <cx:v>Total Corpus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 max="50000000"/>
        <cx:majorGridlines/>
        <cx:majorTickMarks type="out"/>
        <cx:tickLabels/>
      </cx:axis>
    </cx:plotArea>
    <cx:legend pos="r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6" Type="http://schemas.microsoft.com/office/2014/relationships/chartEx" Target="../charts/chartEx6.xml"/><Relationship Id="rId5" Type="http://schemas.microsoft.com/office/2014/relationships/chartEx" Target="../charts/chartEx5.xml"/><Relationship Id="rId4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56</xdr:col>
      <xdr:colOff>0</xdr:colOff>
      <xdr:row>11</xdr:row>
      <xdr:rowOff>0</xdr:rowOff>
    </xdr:from>
    <xdr:to>
      <xdr:col>61</xdr:col>
      <xdr:colOff>406400</xdr:colOff>
      <xdr:row>25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C9FC60CF-ABD9-A340-90FD-CA59EC7CEE7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228200" y="24257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62</xdr:col>
      <xdr:colOff>0</xdr:colOff>
      <xdr:row>11</xdr:row>
      <xdr:rowOff>0</xdr:rowOff>
    </xdr:from>
    <xdr:to>
      <xdr:col>67</xdr:col>
      <xdr:colOff>50800</xdr:colOff>
      <xdr:row>25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614B4995-FE31-8944-AB1A-82BC47B7D24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066900" y="24257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56</xdr:col>
      <xdr:colOff>0</xdr:colOff>
      <xdr:row>28</xdr:row>
      <xdr:rowOff>0</xdr:rowOff>
    </xdr:from>
    <xdr:to>
      <xdr:col>61</xdr:col>
      <xdr:colOff>406400</xdr:colOff>
      <xdr:row>42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Chart 11">
              <a:extLst>
                <a:ext uri="{FF2B5EF4-FFF2-40B4-BE49-F238E27FC236}">
                  <a16:creationId xmlns:a16="http://schemas.microsoft.com/office/drawing/2014/main" id="{6ACE2D9F-9F25-9D45-B6EB-C7D142F8ABA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228200" y="56642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62</xdr:col>
      <xdr:colOff>0</xdr:colOff>
      <xdr:row>28</xdr:row>
      <xdr:rowOff>0</xdr:rowOff>
    </xdr:from>
    <xdr:to>
      <xdr:col>67</xdr:col>
      <xdr:colOff>50800</xdr:colOff>
      <xdr:row>42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5" name="Chart 14">
              <a:extLst>
                <a:ext uri="{FF2B5EF4-FFF2-40B4-BE49-F238E27FC236}">
                  <a16:creationId xmlns:a16="http://schemas.microsoft.com/office/drawing/2014/main" id="{262077D6-DC3B-794A-869E-2640D80095C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066900" y="56642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53</xdr:col>
      <xdr:colOff>177800</xdr:colOff>
      <xdr:row>51</xdr:row>
      <xdr:rowOff>152400</xdr:rowOff>
    </xdr:from>
    <xdr:to>
      <xdr:col>55</xdr:col>
      <xdr:colOff>1397000</xdr:colOff>
      <xdr:row>72</xdr:row>
      <xdr:rowOff>28222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7" name="Chart 16">
              <a:extLst>
                <a:ext uri="{FF2B5EF4-FFF2-40B4-BE49-F238E27FC236}">
                  <a16:creationId xmlns:a16="http://schemas.microsoft.com/office/drawing/2014/main" id="{CC892F97-09DE-414E-869B-A78A9C8FB31A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348578" y="10199511"/>
              <a:ext cx="4570589" cy="387632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55</xdr:col>
      <xdr:colOff>1701800</xdr:colOff>
      <xdr:row>51</xdr:row>
      <xdr:rowOff>139700</xdr:rowOff>
    </xdr:from>
    <xdr:to>
      <xdr:col>61</xdr:col>
      <xdr:colOff>393700</xdr:colOff>
      <xdr:row>66</xdr:row>
      <xdr:rowOff>25400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9" name="Chart 18">
              <a:extLst>
                <a:ext uri="{FF2B5EF4-FFF2-40B4-BE49-F238E27FC236}">
                  <a16:creationId xmlns:a16="http://schemas.microsoft.com/office/drawing/2014/main" id="{96DAD28F-0411-7244-AF1A-4B0AF367BF2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215500" y="101854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7430493-7DED-B542-88E9-CC83B7A6F5EF}" name="Table11" displayName="Table11" ref="BT44:BX55" totalsRowShown="0" headerRowBorderDxfId="5" tableBorderDxfId="6" totalsRowBorderDxfId="4">
  <autoFilter ref="BT44:BX55" xr:uid="{F7430493-7DED-B542-88E9-CC83B7A6F5EF}"/>
  <tableColumns count="5">
    <tableColumn id="1" xr3:uid="{0BF04418-C9AF-3D47-AFAC-9AAC496C9CB4}" name="Column1" dataDxfId="3"/>
    <tableColumn id="2" xr3:uid="{DE6B6605-C0A3-0045-956D-0ECDF8371E58}" name="Pre"/>
    <tableColumn id="4" xr3:uid="{BD350C5F-3335-1E4E-B02A-4AB5B22D4CC1}" name="Post Ret. Corpus"/>
    <tableColumn id="5" xr3:uid="{2ED62BBD-1DE5-D941-9B45-76D4D64E5D77}" name="Tota Corpus" dataDxfId="2">
      <calculatedColumnFormula>MAX(Table11[[#This Row],[Post Ret. Corpus]])</calculatedColumnFormula>
    </tableColumn>
    <tableColumn id="3" xr3:uid="{D8A3D887-B241-9D46-9D65-28A8FE5D2C14}" name="Post Spent Exp." dataDxfId="1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30F628E-B4AE-43A2-AACE-01A25E166573}" name="Table3" displayName="Table3" ref="A9:D45" totalsRowShown="0">
  <autoFilter ref="A9:D45" xr:uid="{430F628E-B4AE-43A2-AACE-01A25E166573}"/>
  <tableColumns count="4">
    <tableColumn id="1" xr3:uid="{573D5381-7244-49C2-A476-417B98B0424E}" name="Year"/>
    <tableColumn id="2" xr3:uid="{1B82DF1D-DA0D-43E1-BF7B-C2CF0AA7BC66}" name="Gross Salary" dataDxfId="47">
      <calculatedColumnFormula>'Pre-Retirement_cal'!D13</calculatedColumnFormula>
    </tableColumn>
    <tableColumn id="3" xr3:uid="{7016BE14-B165-4373-84C5-BB7B8D40E674}" name="tax" dataDxfId="46">
      <calculatedColumnFormula>IF(B10&lt;=15600*1.025, B10*0.105,
 IF(B10&lt;=53500*1.025, 15600*1.025*0.105 + (B10 - 15600*1.025)*0.175,
 IF(B10&lt;=78100*1.025, 15600*1.025*0.105 + (53500 - 15600)*1.025*0.175 + (B10 - 53500*1.025)*0.3,
 IF(B10&lt;=180000*1.025, 15600*1.025*0.105 + (53500 - 15600)*1.025*0.175 + (78100 - 53500)*1.025*0.3 + (B10 - 78100*1.025)*0.33,
 15600*1.025*0.105 + (53500 - 15600)*1.025*0.175 + (78100 - 53500)*1.025*0.3 + (180000 - 78100)*1.025*0.33 + (B10 - 180000*1.025)*0.39))))</calculatedColumnFormula>
    </tableColumn>
    <tableColumn id="4" xr3:uid="{0EA68FBA-D262-4A1D-9916-1E576A158640}" name="Formula" dataDxfId="45">
      <calculatedColumnFormula>_xlfn.FORMULATEXT(Table3[[#This Row],[tax]])</calculatedColumnFormula>
    </tableColumn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56C639-FB6D-469B-8EFA-AB056F5EF17F}" name="Table1" displayName="Table1" ref="A10:E15" totalsRowShown="0">
  <autoFilter ref="A10:E15" xr:uid="{4656C639-FB6D-469B-8EFA-AB056F5EF17F}"/>
  <tableColumns count="5">
    <tableColumn id="1" xr3:uid="{4A562AF0-3DF5-4645-BF6E-E1319EE30837}" name="Fund Name" dataDxfId="44"/>
    <tableColumn id="2" xr3:uid="{4CBC790C-4DD6-4778-8936-28B529FA7BD4}" name="Mean" dataDxfId="0">
      <calculatedColumnFormula>IF(
    'Pre-Retirement_cal'!$V$10="Best Scenario",
    B18 + B18*0.1,
    IF(
        'Pre-Retirement_cal'!$V$10="Worst Scenario",
        B18 - B18*0.1,
        IF(
            'Pre-Retirement_cal'!$V$10="Neutral Scenario",
            B18,
            IF(
                'Pre-Retirement_cal'!$V$10="Random",
                B18 + (RAND()-0.1)*2*B18*0.05,
                B18
            )
        )
    )
)</calculatedColumnFormula>
    </tableColumn>
    <tableColumn id="3" xr3:uid="{563DC501-1D9A-430A-96D6-E58A97768B8A}" name="Std Dev" dataDxfId="43">
      <calculatedColumnFormula>IF(
    'Pre-Retirement_cal'!$V$10="Best Scenario",
    C18 + C18*0.5,
    IF(
        'Pre-Retirement_cal'!$V$10="Worst Scenario",
        C18 - C18*0.5,
        IF(
            'Pre-Retirement_cal'!$V$10="Neutral Scenario",
            C18,
            IF(
                'Pre-Retirement_cal'!$V$10="Random",
                C18 + (RAND()-0.5)*2*C18*0.05,
                C18
            )
        )
    )
)%</calculatedColumnFormula>
    </tableColumn>
    <tableColumn id="4" xr3:uid="{62EA4E61-7B3C-4BFC-9BAC-2E9D66A88EA4}" name="Currency Mean" dataDxfId="42"/>
    <tableColumn id="5" xr3:uid="{6F2CA35F-B017-4BCB-A922-60E756217763}" name="Currency Std Dev" dataDxfId="41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5D13C61-E745-4E5A-A6C0-275BCF3CE131}" name="Table2" displayName="Table2" ref="A1:F8" totalsRowShown="0" headerRowDxfId="40" dataDxfId="39">
  <autoFilter ref="A1:F8" xr:uid="{E5D13C61-E745-4E5A-A6C0-275BCF3CE131}"/>
  <tableColumns count="6">
    <tableColumn id="1" xr3:uid="{843E6503-B294-42F9-AF63-D41DCBEFE815}" name="Year Range" dataDxfId="38"/>
    <tableColumn id="2" xr3:uid="{A2C851DF-B387-4C4B-8B1F-C5B9F1F4971E}" name="Harboursafe" dataDxfId="37"/>
    <tableColumn id="3" xr3:uid="{E66B7EC1-4457-4526-A232-7664A98F7586}" name="Horizon" dataDxfId="36"/>
    <tableColumn id="4" xr3:uid="{A6CE2CF4-44E1-4E1A-8368-6C302D6758DF}" name="SkyHigh" dataDxfId="35"/>
    <tableColumn id="5" xr3:uid="{B31ECC2C-F2CB-4454-B3AE-6841D7229722}" name="Foreign_Equities" dataDxfId="34"/>
    <tableColumn id="6" xr3:uid="{690E47F2-B201-4DF4-A2BF-0E8BE5BF4469}" name="Bitcoin" dataDxfId="33"/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5F5CD31-C808-A241-BB4E-92A6BA19F62B}" name="Table111" displayName="Table111" ref="A17:E22" totalsRowShown="0">
  <autoFilter ref="A17:E22" xr:uid="{95F5CD31-C808-A241-BB4E-92A6BA19F62B}"/>
  <tableColumns count="5">
    <tableColumn id="1" xr3:uid="{E85D4A2E-00ED-104B-8D1B-25B3AEF3716E}" name="Fund Name" dataDxfId="32"/>
    <tableColumn id="2" xr3:uid="{B9FC3749-FABC-584B-AD6F-2E88D11E8104}" name="Mean" dataDxfId="31"/>
    <tableColumn id="3" xr3:uid="{A683D5B3-C968-2942-AFF9-4EBABB34CD7F}" name="Std Dev" dataDxfId="30"/>
    <tableColumn id="4" xr3:uid="{3F9AC6DA-DA21-5F46-ACDB-30B92E758679}" name="Currency Mean"/>
    <tableColumn id="5" xr3:uid="{7777C062-E4EF-3E49-9CBA-1DD78FA545A4}" name="Currency Std Dev"/>
  </tableColumns>
  <tableStyleInfo name="TableStyleLight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B67BDCD-C6A0-4228-9997-1066FB443BFE}" name="Table4" displayName="Table4" ref="P14:U21" totalsRowShown="0" headerRowDxfId="29" dataDxfId="28">
  <autoFilter ref="P14:U21" xr:uid="{0B67BDCD-C6A0-4228-9997-1066FB443BFE}"/>
  <tableColumns count="6">
    <tableColumn id="1" xr3:uid="{D6C59346-0DF4-4979-A27E-302050C25F5C}" name="Category" dataDxfId="27"/>
    <tableColumn id="2" xr3:uid="{D06F4695-3FCA-49F8-B2C3-1F75001D613D}" name="Min–Max Range" dataDxfId="26"/>
    <tableColumn id="3" xr3:uid="{81DF71E9-C6F4-4EA5-BF15-A50DDCDC181B}" name="α, β" dataDxfId="25"/>
    <tableColumn id="4" xr3:uid="{47F1C901-03E5-459A-8F47-EABA60A338C6}" name="Skew Direction" dataDxfId="24"/>
    <tableColumn id="5" xr3:uid="{07458DC5-7B02-40BE-BD29-8C357A83C763}" name="Behavior Insight" dataDxfId="23"/>
    <tableColumn id="6" xr3:uid="{D11AF25D-A039-4017-A877-C6C225AD638E}" name="Real-World Interpretation" dataDxfId="22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E63EA1A-117F-497F-9674-BD58F0DBB838}" name="Table5" displayName="Table5" ref="A1:I8" totalsRowShown="0">
  <autoFilter ref="A1:I8" xr:uid="{DE63EA1A-117F-497F-9674-BD58F0DBB838}"/>
  <tableColumns count="9">
    <tableColumn id="1" xr3:uid="{235072A4-82BA-4044-9ED2-FED5A35F311A}" name="Lifestyle Strategy"/>
    <tableColumn id="2" xr3:uid="{4F1C29CD-F1A7-44EB-98CF-E8411F18C82C}" name="Min"/>
    <tableColumn id="3" xr3:uid="{056BC94D-9F1D-4203-B9B7-273E5F57A978}" name="Max"/>
    <tableColumn id="7" xr3:uid="{89992E60-F5BF-154A-A7F8-EACFB85BA750}" name="Mean" dataDxfId="21"/>
    <tableColumn id="6" xr3:uid="{B906B92A-BA9F-7043-99F6-6D11E327E688}" name="Std. dev" dataDxfId="20"/>
    <tableColumn id="4" xr3:uid="{07890070-60B6-473B-9F49-CFA6BBC9D117}" name="Alpha" dataDxfId="19">
      <calculatedColumnFormula>ROUND((((D2 - B2)/(C2 - B2))*(((((D2 - B2)/(C2 - B2)))*(1-((D2 - B2)/(C2 - B2))))/((E2/(C2 - B2))^2)-1)),0)</calculatedColumnFormula>
    </tableColumn>
    <tableColumn id="5" xr3:uid="{645BBF64-62FF-4167-8077-74685ABA2290}" name="Beta" dataDxfId="18">
      <calculatedColumnFormula>ROUND(((1-((D2 - B2)/(C2 - B2)))*(((((D2 - B2)/(C2 - B2)))*(1-((D2 - B2)/(C2 - B2))))/((E2/(C2 - B2))^2)-1)),0)</calculatedColumnFormula>
    </tableColumn>
    <tableColumn id="8" xr3:uid="{4B35FE73-1152-6145-A61C-6BEA3EC3AF35}" name="Alpha Formula" dataDxfId="17">
      <calculatedColumnFormula>_xlfn.FORMULATEXT(Table5[[#This Row],[Alpha]])</calculatedColumnFormula>
    </tableColumn>
    <tableColumn id="9" xr3:uid="{45F6C85E-10B4-C24B-BEB9-A18FE5D61C78}" name="Beta Formula" dataDxfId="16">
      <calculatedColumnFormula>_xlfn.FORMULATEXT(Table5[[#This Row],[Beta]])</calculatedColumnFormula>
    </tableColumn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EF41194-332E-46C5-8C03-03BF01938FBE}" name="Table6" displayName="Table6" ref="P1:R12" totalsRowShown="0">
  <autoFilter ref="P1:R12" xr:uid="{EEF41194-332E-46C5-8C03-03BF01938FBE}"/>
  <tableColumns count="3">
    <tableColumn id="1" xr3:uid="{6DB33B57-9C02-430E-86B1-1ABABE8C39CE}" name="Partner and Child Strategy"/>
    <tableColumn id="2" xr3:uid="{9D606E10-67A8-422E-AA1B-92B35B0F93C1}" name="Value"/>
    <tableColumn id="3" xr3:uid="{F0AC906A-3349-4D3C-8FCD-88DE5BEFFA07}" name="Formula Tab" dataDxfId="15">
      <calculatedColumnFormula>_xlfn.FORMULATEXT(Table6[[#This Row],[Value]])</calculatedColumnFormula>
    </tableColumn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BF39CEE-3527-47DB-B5A1-14D6DF0134F0}" name="Table8" displayName="Table8" ref="L1:N7" totalsRowShown="0" headerRowDxfId="14">
  <autoFilter ref="L1:N7" xr:uid="{EBF39CEE-3527-47DB-B5A1-14D6DF0134F0}"/>
  <tableColumns count="3">
    <tableColumn id="1" xr3:uid="{AB683916-E6F2-416F-87F9-A9FA119AD519}" name="Lifestyle Upgrade Units"/>
    <tableColumn id="2" xr3:uid="{2DE98247-7ADE-49B3-94CC-618A31CE25B2}" name="Value"/>
    <tableColumn id="3" xr3:uid="{02A434EC-FEE2-4C55-8A40-85C363E4B66A}" name="Formula Tab" dataDxfId="13">
      <calculatedColumnFormula>_xlfn.FORMULATEXT(Table8[[#This Row],[Value]])</calculatedColumnFormula>
    </tableColumn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41E8A10-8D46-47F2-A18F-0FE62DE72DAE}" name="Table9" displayName="Table9" ref="A13:C25" totalsRowShown="0" headerRowDxfId="12">
  <autoFilter ref="A13:C25" xr:uid="{741E8A10-8D46-47F2-A18F-0FE62DE72DAE}"/>
  <tableColumns count="3">
    <tableColumn id="1" xr3:uid="{33B2FEC2-A92F-49DE-8F6B-95B39027389E}" name="Home Loan Calculation"/>
    <tableColumn id="2" xr3:uid="{E004BEF5-FD5A-4A4B-A0F3-13D98C354813}" name="Value" dataDxfId="11"/>
    <tableColumn id="3" xr3:uid="{0EFB1B07-EC67-428D-A8ED-227303CF56B7}" name="Formula Tab" dataDxfId="10">
      <calculatedColumnFormula>_xlfn.FORMULATEXT(Table9[[#This Row],[Value]])</calculatedColumnFormula>
    </tableColumn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12A54AC-BDDB-4F5B-95E7-47F9CF539A89}" name="Table7" displayName="Table7" ref="L13:N29" totalsRowShown="0" headerRowDxfId="9">
  <autoFilter ref="L13:N29" xr:uid="{712A54AC-BDDB-4F5B-95E7-47F9CF539A89}"/>
  <tableColumns count="3">
    <tableColumn id="1" xr3:uid="{DD43B588-F173-4225-87A4-CDA64ACD6ADF}" name="Post Retirement Calculation"/>
    <tableColumn id="2" xr3:uid="{F6082A09-0F1F-4367-8F2B-2DC6EFB2E2B3}" name="Value" dataDxfId="8"/>
    <tableColumn id="3" xr3:uid="{5D7F88FD-B422-4E05-BB54-9D29F1FBBCA3}" name="Formula tab" dataDxfId="7">
      <calculatedColumnFormula>_xlfn.FORMULATEXT(Table7[[#This Row],[Value]])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I@95" TargetMode="External"/><Relationship Id="rId5" Type="http://schemas.microsoft.com/office/2019/04/relationships/namedSheetView" Target="../namedSheetViews/namedSheetView1.xml"/><Relationship Id="rId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A8AF9-2F45-4345-AB29-DB4A6C0ADB5A}">
  <dimension ref="A1:CF5062"/>
  <sheetViews>
    <sheetView showGridLines="0" tabSelected="1" topLeftCell="I1" zoomScaleNormal="68" workbookViewId="0">
      <selection activeCell="S16" sqref="S16"/>
    </sheetView>
  </sheetViews>
  <sheetFormatPr baseColWidth="10" defaultColWidth="8.83203125" defaultRowHeight="15" outlineLevelRow="1" x14ac:dyDescent="0.2"/>
  <cols>
    <col min="1" max="1" width="30.1640625" style="93" bestFit="1" customWidth="1"/>
    <col min="2" max="2" width="7" style="93" bestFit="1" customWidth="1"/>
    <col min="3" max="3" width="3.83203125" style="93" bestFit="1" customWidth="1"/>
    <col min="4" max="4" width="19.5" style="93" bestFit="1" customWidth="1"/>
    <col min="5" max="5" width="15" style="93" bestFit="1" customWidth="1"/>
    <col min="6" max="8" width="9.6640625" style="93" customWidth="1"/>
    <col min="9" max="9" width="13.33203125" style="93" bestFit="1" customWidth="1"/>
    <col min="10" max="10" width="25" style="93" customWidth="1"/>
    <col min="11" max="11" width="19.33203125" style="93" customWidth="1"/>
    <col min="12" max="12" width="18.83203125" style="93" customWidth="1"/>
    <col min="13" max="13" width="21.83203125" style="93" customWidth="1"/>
    <col min="14" max="14" width="19.83203125" style="93" customWidth="1"/>
    <col min="15" max="15" width="22.33203125" style="93" bestFit="1" customWidth="1"/>
    <col min="16" max="17" width="24" style="93" customWidth="1"/>
    <col min="18" max="18" width="24.83203125" style="93" customWidth="1"/>
    <col min="19" max="19" width="21.5" style="93" customWidth="1"/>
    <col min="20" max="20" width="20.1640625" style="95" bestFit="1" customWidth="1"/>
    <col min="21" max="21" width="28.5" style="95" bestFit="1" customWidth="1"/>
    <col min="22" max="22" width="17.5" style="95" customWidth="1"/>
    <col min="23" max="23" width="25.5" style="93" customWidth="1"/>
    <col min="24" max="24" width="15.83203125" style="93" bestFit="1" customWidth="1"/>
    <col min="25" max="25" width="24.33203125" style="93" bestFit="1" customWidth="1"/>
    <col min="26" max="26" width="12.1640625" style="93" bestFit="1" customWidth="1"/>
    <col min="27" max="27" width="13.1640625" style="93" bestFit="1" customWidth="1"/>
    <col min="28" max="28" width="20.33203125" style="93" bestFit="1" customWidth="1"/>
    <col min="29" max="29" width="11.5" style="93" bestFit="1" customWidth="1"/>
    <col min="30" max="30" width="24.83203125" style="93" bestFit="1" customWidth="1"/>
    <col min="31" max="31" width="20" style="93" bestFit="1" customWidth="1"/>
    <col min="32" max="32" width="16.83203125" style="93" bestFit="1" customWidth="1"/>
    <col min="33" max="33" width="16.5" style="93" customWidth="1"/>
    <col min="34" max="34" width="12.5" style="93" customWidth="1"/>
    <col min="35" max="36" width="21.6640625" style="93" bestFit="1" customWidth="1"/>
    <col min="37" max="37" width="18.5" style="93" customWidth="1"/>
    <col min="38" max="38" width="22.83203125" style="93" bestFit="1" customWidth="1"/>
    <col min="39" max="39" width="12.6640625" style="93" bestFit="1" customWidth="1"/>
    <col min="40" max="40" width="22.83203125" style="93" bestFit="1" customWidth="1"/>
    <col min="41" max="45" width="12" style="93" bestFit="1" customWidth="1"/>
    <col min="46" max="46" width="10" style="93" bestFit="1" customWidth="1"/>
    <col min="47" max="47" width="12.5" style="93" bestFit="1" customWidth="1"/>
    <col min="48" max="48" width="14.5" style="93" bestFit="1" customWidth="1"/>
    <col min="49" max="49" width="18.5" style="93" bestFit="1" customWidth="1"/>
    <col min="50" max="50" width="20" style="93" bestFit="1" customWidth="1"/>
    <col min="51" max="51" width="19.83203125" style="93" bestFit="1" customWidth="1"/>
    <col min="52" max="52" width="21.83203125" style="93" hidden="1" customWidth="1"/>
    <col min="53" max="53" width="17.1640625" style="93" hidden="1" customWidth="1"/>
    <col min="54" max="54" width="21.5" style="93" customWidth="1"/>
    <col min="55" max="55" width="22.5" style="93" bestFit="1" customWidth="1"/>
    <col min="56" max="56" width="22.5" customWidth="1"/>
    <col min="58" max="58" width="16.6640625" customWidth="1"/>
    <col min="60" max="60" width="11.5" bestFit="1" customWidth="1"/>
    <col min="64" max="64" width="9" bestFit="1" customWidth="1"/>
    <col min="65" max="65" width="11.1640625" bestFit="1" customWidth="1"/>
    <col min="66" max="66" width="11.1640625" customWidth="1"/>
    <col min="67" max="68" width="19.1640625" customWidth="1"/>
    <col min="69" max="69" width="10.1640625" bestFit="1" customWidth="1"/>
    <col min="70" max="70" width="16.5" bestFit="1" customWidth="1"/>
    <col min="71" max="71" width="4" bestFit="1" customWidth="1"/>
    <col min="72" max="72" width="19.5" bestFit="1" customWidth="1"/>
    <col min="73" max="73" width="22.6640625" bestFit="1" customWidth="1"/>
    <col min="74" max="74" width="19.33203125" bestFit="1" customWidth="1"/>
    <col min="75" max="75" width="17.5" bestFit="1" customWidth="1"/>
    <col min="76" max="76" width="18.83203125" bestFit="1" customWidth="1"/>
    <col min="77" max="77" width="18" bestFit="1" customWidth="1"/>
    <col min="78" max="78" width="11" bestFit="1" customWidth="1"/>
    <col min="79" max="79" width="14.6640625" bestFit="1" customWidth="1"/>
    <col min="80" max="80" width="13.6640625" bestFit="1" customWidth="1"/>
    <col min="81" max="81" width="8.83203125" hidden="1" customWidth="1"/>
    <col min="82" max="84" width="0.1640625" hidden="1" customWidth="1"/>
  </cols>
  <sheetData>
    <row r="1" spans="1:84" ht="26" customHeight="1" outlineLevel="1" x14ac:dyDescent="0.25">
      <c r="A1" s="52" t="s">
        <v>0</v>
      </c>
      <c r="B1" s="53"/>
      <c r="C1" s="54"/>
      <c r="D1" s="52" t="s">
        <v>1</v>
      </c>
      <c r="E1" s="53"/>
      <c r="F1"/>
      <c r="G1"/>
      <c r="H1"/>
      <c r="I1" s="86" t="s">
        <v>2</v>
      </c>
      <c r="J1" s="86"/>
      <c r="K1" s="86" t="s">
        <v>3</v>
      </c>
      <c r="L1" s="86"/>
      <c r="M1" s="125" t="s">
        <v>4</v>
      </c>
      <c r="N1" s="126"/>
      <c r="O1" s="127"/>
      <c r="P1" s="116" t="s">
        <v>5</v>
      </c>
      <c r="Q1" s="117"/>
      <c r="R1" s="89" t="s">
        <v>244</v>
      </c>
      <c r="S1" s="89"/>
      <c r="T1"/>
      <c r="U1" s="145" t="s">
        <v>6</v>
      </c>
      <c r="V1" s="145"/>
      <c r="W1" s="145"/>
      <c r="X1" s="145"/>
      <c r="Y1" s="145"/>
      <c r="Z1" s="145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 s="133"/>
      <c r="AW1" s="133"/>
      <c r="AX1" s="133"/>
      <c r="BD1" s="93"/>
      <c r="BE1" s="93"/>
      <c r="BF1" s="94"/>
      <c r="BG1" s="93"/>
      <c r="BH1" s="93"/>
      <c r="BI1" s="93"/>
      <c r="BJ1" s="93"/>
    </row>
    <row r="2" spans="1:84" ht="26" customHeight="1" outlineLevel="1" x14ac:dyDescent="0.25">
      <c r="A2" s="53" t="s">
        <v>8</v>
      </c>
      <c r="B2" s="53">
        <v>70000</v>
      </c>
      <c r="C2" s="54"/>
      <c r="D2" s="53" t="s">
        <v>9</v>
      </c>
      <c r="E2" s="53">
        <v>0.03</v>
      </c>
      <c r="F2"/>
      <c r="G2"/>
      <c r="H2"/>
      <c r="I2" s="86"/>
      <c r="J2" s="86"/>
      <c r="K2" s="86"/>
      <c r="L2" s="86"/>
      <c r="M2" s="124" t="s">
        <v>242</v>
      </c>
      <c r="N2" s="124" t="s">
        <v>243</v>
      </c>
      <c r="O2" s="124" t="s">
        <v>240</v>
      </c>
      <c r="P2" s="118"/>
      <c r="Q2" s="119"/>
      <c r="R2" s="89"/>
      <c r="S2" s="89"/>
      <c r="T2"/>
      <c r="U2" s="145"/>
      <c r="V2" s="145"/>
      <c r="W2" s="145"/>
      <c r="X2" s="145"/>
      <c r="Y2" s="145"/>
      <c r="Z2" s="145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W2" s="94"/>
      <c r="AX2" s="134"/>
      <c r="BD2" s="93"/>
      <c r="BE2" s="93"/>
      <c r="BF2" s="94"/>
      <c r="BG2" s="93"/>
      <c r="BH2" s="93"/>
      <c r="BI2" s="93"/>
      <c r="BJ2" s="93"/>
      <c r="BY2" s="96" t="s">
        <v>208</v>
      </c>
    </row>
    <row r="3" spans="1:84" ht="14.5" customHeight="1" outlineLevel="1" x14ac:dyDescent="0.2">
      <c r="A3" s="53" t="s">
        <v>11</v>
      </c>
      <c r="B3" s="53">
        <v>3.5000000000000003E-2</v>
      </c>
      <c r="C3" s="54"/>
      <c r="D3" s="53" t="s">
        <v>12</v>
      </c>
      <c r="E3" s="53">
        <v>2</v>
      </c>
      <c r="F3"/>
      <c r="G3"/>
      <c r="H3"/>
      <c r="I3" s="87" t="str">
        <f ca="1">TEXT(($I$7)/1000000,"[$$-en-US]0.00")&amp;"M"</f>
        <v>$0.89M</v>
      </c>
      <c r="J3" s="87"/>
      <c r="K3" s="88" t="str">
        <f ca="1">TEXT(($K$7)/1000000, "[$$-en-US]0.00") &amp; "M"</f>
        <v>$3.95M</v>
      </c>
      <c r="L3" s="88"/>
      <c r="M3" s="113" t="str">
        <f ca="1">TEXT(($M$7)/1000000, "[$$-en-US]0.00") &amp; "M"</f>
        <v>$4.84M</v>
      </c>
      <c r="N3" s="113" t="str">
        <f ca="1">TEXT(($N$7)/1000000, "[$$-en-US]0.00") &amp; "M"</f>
        <v>$2.12M</v>
      </c>
      <c r="O3" s="113" t="str">
        <f ca="1">TEXT(($O$7)/1000000, "[$$-en-US]0.00") &amp; "M"</f>
        <v>$6.94M</v>
      </c>
      <c r="P3" s="120" t="str">
        <f ca="1">TEXT(($P$7)/1000000, "[$$-en-US]0.00") &amp; "M"</f>
        <v>$4.18M</v>
      </c>
      <c r="Q3" s="121"/>
      <c r="R3" s="90" t="str">
        <f ca="1">IF(O7&gt;=P7, "Yes", "No")</f>
        <v>Yes</v>
      </c>
      <c r="S3" s="90"/>
      <c r="T3"/>
      <c r="U3" s="142" t="s">
        <v>13</v>
      </c>
      <c r="V3" s="8" t="str">
        <f>IF($V$10 = $X$8, "Random",IF($V$10 =$U$8,"Yes","No"))</f>
        <v>Random</v>
      </c>
      <c r="W3" s="143" t="s">
        <v>216</v>
      </c>
      <c r="X3" s="8" t="str">
        <f t="shared" ref="X3:X5" si="0">IF($V$10 = $X$8, "Random",IF($V$10 =$U$8,"Yes","No"))</f>
        <v>Random</v>
      </c>
      <c r="Y3" s="143" t="s">
        <v>221</v>
      </c>
      <c r="Z3" s="8" t="str">
        <f t="shared" ref="Z3:Z4" si="1">IF($V$10 = $X$8, "Random",IF($V$10 =$U$8,"Yes","No"))</f>
        <v>Random</v>
      </c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W3" s="94"/>
      <c r="AX3" s="134"/>
      <c r="BD3" s="93"/>
      <c r="BE3" s="93"/>
      <c r="BF3" s="94"/>
      <c r="BG3" s="93"/>
      <c r="BH3" s="93"/>
      <c r="BI3" s="93"/>
      <c r="BJ3" s="93"/>
      <c r="BY3" s="96" t="s">
        <v>209</v>
      </c>
    </row>
    <row r="4" spans="1:84" ht="14.5" customHeight="1" outlineLevel="1" x14ac:dyDescent="0.2">
      <c r="A4" s="53" t="s">
        <v>15</v>
      </c>
      <c r="B4" s="53">
        <v>7.0000000000000001E-3</v>
      </c>
      <c r="C4" s="54"/>
      <c r="D4" s="146" t="s">
        <v>16</v>
      </c>
      <c r="E4" s="53">
        <f ca="1">IF(X4="Random", IF(RANDBETWEEN(0,1)=1,0.01,0), IF(X4="Yes",0.01,0))</f>
        <v>0.01</v>
      </c>
      <c r="F4"/>
      <c r="G4"/>
      <c r="H4"/>
      <c r="I4" s="87"/>
      <c r="J4" s="87"/>
      <c r="K4" s="88"/>
      <c r="L4" s="88"/>
      <c r="M4" s="114"/>
      <c r="N4" s="114"/>
      <c r="O4" s="114"/>
      <c r="P4" s="122"/>
      <c r="Q4" s="123"/>
      <c r="R4" s="90"/>
      <c r="S4" s="90"/>
      <c r="T4"/>
      <c r="U4" s="143" t="s">
        <v>17</v>
      </c>
      <c r="V4" s="8" t="str">
        <f>IF($V$10=$X$8,"Random",IF($V$10=$W$8, "Yes","No"))</f>
        <v>Random</v>
      </c>
      <c r="W4" s="143" t="s">
        <v>217</v>
      </c>
      <c r="X4" s="8" t="str">
        <f t="shared" si="0"/>
        <v>Random</v>
      </c>
      <c r="Y4" s="143" t="s">
        <v>222</v>
      </c>
      <c r="Z4" s="8" t="str">
        <f t="shared" si="1"/>
        <v>Random</v>
      </c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 s="135"/>
      <c r="AW4" s="136"/>
      <c r="AX4" s="137"/>
      <c r="BD4" s="93"/>
      <c r="BE4" s="93"/>
      <c r="BF4" s="94"/>
      <c r="BG4" s="93"/>
      <c r="BH4" s="93"/>
      <c r="BI4" s="93"/>
      <c r="BJ4" s="93"/>
      <c r="BY4" s="96" t="s">
        <v>210</v>
      </c>
    </row>
    <row r="5" spans="1:84" outlineLevel="1" x14ac:dyDescent="0.2">
      <c r="A5" s="53" t="s">
        <v>20</v>
      </c>
      <c r="B5" s="53">
        <f ca="1">IF($B$7="No",0,RANDBETWEEN(5,30))</f>
        <v>10</v>
      </c>
      <c r="C5" s="54"/>
      <c r="D5" s="53" t="s">
        <v>21</v>
      </c>
      <c r="E5" s="53">
        <v>0.12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 s="144" t="s">
        <v>22</v>
      </c>
      <c r="V5" s="8" t="str">
        <f t="shared" ref="V5:V6" si="2">IF($V$10=$X$8,"Random",IF($V$10=$W$8, "Yes","No"))</f>
        <v>Random</v>
      </c>
      <c r="W5" s="143" t="s">
        <v>218</v>
      </c>
      <c r="X5" s="8" t="str">
        <f t="shared" si="0"/>
        <v>Random</v>
      </c>
      <c r="Y5" s="92"/>
      <c r="Z5" s="92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W5" s="94"/>
      <c r="AX5" s="134"/>
      <c r="BD5" s="93"/>
      <c r="BE5" s="93"/>
      <c r="BF5" s="94"/>
      <c r="BG5" s="93"/>
      <c r="BH5" s="93"/>
      <c r="BI5" s="93"/>
      <c r="BJ5" s="93"/>
    </row>
    <row r="6" spans="1:84" outlineLevel="1" x14ac:dyDescent="0.2">
      <c r="A6" s="53" t="s">
        <v>24</v>
      </c>
      <c r="B6" s="53">
        <v>1.67E-2</v>
      </c>
      <c r="C6" s="54"/>
      <c r="D6" s="53" t="s">
        <v>25</v>
      </c>
      <c r="E6" s="53">
        <v>5</v>
      </c>
      <c r="F6"/>
      <c r="G6"/>
      <c r="H6"/>
      <c r="I6" s="96"/>
      <c r="J6" s="96"/>
      <c r="K6" s="96"/>
      <c r="L6" s="96"/>
      <c r="M6" s="96"/>
      <c r="N6" s="96"/>
      <c r="O6" s="96"/>
      <c r="P6" s="96"/>
      <c r="Q6" s="96"/>
      <c r="R6" s="96"/>
      <c r="S6"/>
      <c r="T6"/>
      <c r="U6" s="143" t="s">
        <v>215</v>
      </c>
      <c r="V6" s="8" t="str">
        <f t="shared" si="2"/>
        <v>Random</v>
      </c>
      <c r="W6" s="143" t="s">
        <v>219</v>
      </c>
      <c r="X6" s="8" t="str">
        <f>IF($V$10=$X$8, "Random", IF( $V$10=W8, "Yes","No"))</f>
        <v>Random</v>
      </c>
      <c r="Y6" s="92"/>
      <c r="Z6" s="92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W6" s="94"/>
      <c r="AX6" s="134"/>
      <c r="BD6" s="93"/>
      <c r="BE6" s="93"/>
      <c r="BF6" s="94"/>
      <c r="BG6" s="93"/>
      <c r="BH6" s="93"/>
      <c r="BI6" s="93"/>
      <c r="BJ6" s="93"/>
      <c r="BO6" s="29"/>
      <c r="BP6" s="29"/>
    </row>
    <row r="7" spans="1:84" ht="21" customHeight="1" outlineLevel="1" thickBot="1" x14ac:dyDescent="0.3">
      <c r="A7" s="146" t="s">
        <v>197</v>
      </c>
      <c r="B7" s="55" t="str">
        <f ca="1">IF(X3="Random",IF(RANDBETWEEN(0,1) = 0, "No", "Yes"),X3)</f>
        <v>Yes</v>
      </c>
      <c r="C7" s="54"/>
      <c r="D7" s="146" t="s">
        <v>26</v>
      </c>
      <c r="E7" s="53">
        <f ca="1">IF(X5="Random", IF(RANDBETWEEN(0,1)=1,10000,0), IF(X5="Yes",10000,0))</f>
        <v>10000</v>
      </c>
      <c r="F7"/>
      <c r="G7"/>
      <c r="H7"/>
      <c r="I7" s="97">
        <f ca="1">SUM($Q$13:$Q$48)</f>
        <v>890363.1337036069</v>
      </c>
      <c r="J7" s="97"/>
      <c r="K7" s="128">
        <f ca="1">$M$7-$I$7</f>
        <v>3951835.4720494179</v>
      </c>
      <c r="L7" s="128"/>
      <c r="M7" s="129">
        <f ca="1">BU51</f>
        <v>4842198.605753025</v>
      </c>
      <c r="N7" s="130">
        <f ca="1">BV51</f>
        <v>2119069.3434186266</v>
      </c>
      <c r="O7" s="98">
        <f ca="1">BW51</f>
        <v>6936177.9913395206</v>
      </c>
      <c r="P7" s="97">
        <f ca="1">BX51</f>
        <v>4175484.2473065392</v>
      </c>
      <c r="Q7" s="110"/>
      <c r="R7" s="111"/>
      <c r="S7" s="111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BD7" s="93"/>
      <c r="BE7" s="93"/>
      <c r="BF7" s="138"/>
      <c r="BG7" s="93"/>
      <c r="BH7" s="93"/>
      <c r="BI7" s="93"/>
      <c r="BJ7" s="93"/>
      <c r="BO7" s="49"/>
      <c r="BP7" s="49"/>
      <c r="BQ7" s="49"/>
      <c r="BR7" s="49"/>
      <c r="BS7" s="49"/>
      <c r="BT7" s="49"/>
    </row>
    <row r="8" spans="1:84" ht="15" customHeight="1" outlineLevel="1" thickBot="1" x14ac:dyDescent="0.3">
      <c r="A8"/>
      <c r="B8"/>
      <c r="C8"/>
      <c r="D8"/>
      <c r="E8"/>
      <c r="F8"/>
      <c r="G8"/>
      <c r="H8"/>
      <c r="I8" s="109"/>
      <c r="J8" s="109"/>
      <c r="K8" s="112"/>
      <c r="L8" s="112"/>
      <c r="M8" s="112"/>
      <c r="N8" s="112"/>
      <c r="O8" s="109"/>
      <c r="P8" s="109"/>
      <c r="Q8" s="110"/>
      <c r="R8" s="111"/>
      <c r="T8"/>
      <c r="U8" s="67" t="s">
        <v>211</v>
      </c>
      <c r="V8" s="68" t="s">
        <v>212</v>
      </c>
      <c r="W8" s="68" t="s">
        <v>213</v>
      </c>
      <c r="X8" s="69" t="s">
        <v>210</v>
      </c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BD8" s="93"/>
      <c r="BE8" s="93"/>
      <c r="BF8" s="138"/>
      <c r="BG8" s="93"/>
      <c r="BH8" s="93"/>
      <c r="BI8" s="93"/>
      <c r="BJ8" s="93"/>
      <c r="BO8" s="49"/>
      <c r="BP8" s="49"/>
      <c r="BQ8" s="49"/>
      <c r="BR8" s="49"/>
      <c r="BS8" s="49"/>
      <c r="BT8" s="49"/>
    </row>
    <row r="9" spans="1:84" ht="15" customHeight="1" outlineLevel="1" x14ac:dyDescent="0.25">
      <c r="A9" s="141" t="s">
        <v>245</v>
      </c>
      <c r="B9" s="141"/>
      <c r="C9" s="141"/>
      <c r="D9" s="141"/>
      <c r="E9" s="141"/>
      <c r="F9" s="141"/>
      <c r="G9" s="141"/>
      <c r="H9" s="141"/>
      <c r="I9" s="141"/>
      <c r="J9" s="141"/>
      <c r="K9" s="141"/>
      <c r="L9" s="141"/>
      <c r="M9" s="141"/>
      <c r="N9" s="141"/>
      <c r="O9" s="141"/>
      <c r="P9" s="141"/>
      <c r="Q9" s="57"/>
      <c r="R9" s="59"/>
      <c r="S9" s="59"/>
      <c r="T9"/>
      <c r="U9" s="70"/>
      <c r="V9" s="70"/>
      <c r="W9" s="70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BD9" s="93"/>
      <c r="BE9" s="93"/>
      <c r="BF9" s="138"/>
      <c r="BG9" s="93"/>
      <c r="BH9" s="93"/>
      <c r="BI9" s="93"/>
      <c r="BJ9" s="93"/>
      <c r="BO9" s="49"/>
      <c r="BP9" s="49"/>
      <c r="BQ9" s="49"/>
      <c r="BR9" s="49"/>
      <c r="BS9" s="49"/>
      <c r="BT9" s="49"/>
    </row>
    <row r="10" spans="1:84" ht="15" customHeight="1" outlineLevel="1" x14ac:dyDescent="0.25">
      <c r="A10" s="141"/>
      <c r="B10" s="141"/>
      <c r="C10" s="141"/>
      <c r="D10" s="141"/>
      <c r="E10" s="141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58"/>
      <c r="R10"/>
      <c r="S10" s="59"/>
      <c r="T10" s="4"/>
      <c r="U10" s="72" t="s">
        <v>214</v>
      </c>
      <c r="V10" s="73" t="s">
        <v>210</v>
      </c>
      <c r="W10" s="74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F10" s="71"/>
      <c r="BO10" s="49"/>
      <c r="BP10" s="49"/>
      <c r="BQ10" s="49"/>
      <c r="BR10" s="49"/>
      <c r="BS10" s="49"/>
      <c r="BT10" s="49"/>
    </row>
    <row r="11" spans="1:84" outlineLevel="1" x14ac:dyDescent="0.2">
      <c r="A11"/>
      <c r="B11"/>
      <c r="C11"/>
      <c r="D11"/>
      <c r="E11"/>
      <c r="F11"/>
      <c r="G11"/>
      <c r="H11"/>
      <c r="I11" s="51"/>
      <c r="J11" s="51"/>
      <c r="K11" s="51"/>
      <c r="L11" s="51"/>
      <c r="M11" s="51"/>
      <c r="N11" s="51"/>
      <c r="O11" s="51"/>
      <c r="P11" s="51"/>
      <c r="Q11" s="5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E11" s="93"/>
      <c r="BF11" s="93"/>
      <c r="BO11" s="49"/>
      <c r="BP11" s="49"/>
      <c r="BQ11" s="49"/>
      <c r="BR11" s="49"/>
      <c r="BS11" s="49"/>
      <c r="BT11" s="49"/>
    </row>
    <row r="12" spans="1:84" x14ac:dyDescent="0.2">
      <c r="A12" s="9" t="s">
        <v>28</v>
      </c>
      <c r="B12" s="9" t="s">
        <v>29</v>
      </c>
      <c r="C12" s="9" t="s">
        <v>30</v>
      </c>
      <c r="D12" s="9" t="s">
        <v>31</v>
      </c>
      <c r="E12" s="9" t="s">
        <v>32</v>
      </c>
      <c r="F12" s="9" t="s">
        <v>33</v>
      </c>
      <c r="G12" s="9" t="s">
        <v>34</v>
      </c>
      <c r="H12" s="9" t="s">
        <v>24</v>
      </c>
      <c r="I12" s="9" t="s">
        <v>35</v>
      </c>
      <c r="J12" s="9" t="s">
        <v>36</v>
      </c>
      <c r="K12" s="9" t="s">
        <v>37</v>
      </c>
      <c r="L12" s="9" t="s">
        <v>38</v>
      </c>
      <c r="M12" s="9" t="s">
        <v>1</v>
      </c>
      <c r="N12" s="9" t="s">
        <v>39</v>
      </c>
      <c r="O12" s="9" t="s">
        <v>38</v>
      </c>
      <c r="P12" s="9" t="s">
        <v>40</v>
      </c>
      <c r="Q12" s="9" t="s">
        <v>2</v>
      </c>
      <c r="R12" s="10" t="s">
        <v>41</v>
      </c>
      <c r="S12" s="10" t="s">
        <v>42</v>
      </c>
      <c r="T12" s="10" t="s">
        <v>43</v>
      </c>
      <c r="U12" s="10" t="s">
        <v>44</v>
      </c>
      <c r="V12" s="11" t="s">
        <v>45</v>
      </c>
      <c r="W12" s="11" t="s">
        <v>46</v>
      </c>
      <c r="X12" s="11" t="s">
        <v>47</v>
      </c>
      <c r="Y12" s="11" t="s">
        <v>48</v>
      </c>
      <c r="Z12" s="12" t="s">
        <v>49</v>
      </c>
      <c r="AA12" s="12" t="s">
        <v>50</v>
      </c>
      <c r="AB12" s="12" t="s">
        <v>51</v>
      </c>
      <c r="AC12" s="12" t="s">
        <v>52</v>
      </c>
      <c r="AD12" s="13" t="s">
        <v>53</v>
      </c>
      <c r="AE12" s="13" t="s">
        <v>54</v>
      </c>
      <c r="AF12" s="13" t="s">
        <v>55</v>
      </c>
      <c r="AG12" s="14" t="s">
        <v>56</v>
      </c>
      <c r="AH12" s="14" t="s">
        <v>57</v>
      </c>
      <c r="AI12" s="14" t="s">
        <v>58</v>
      </c>
      <c r="AJ12" s="14" t="s">
        <v>59</v>
      </c>
      <c r="AK12" s="9" t="s">
        <v>60</v>
      </c>
      <c r="AL12" s="9" t="s">
        <v>61</v>
      </c>
      <c r="AM12" s="13" t="s">
        <v>62</v>
      </c>
      <c r="AN12" s="13" t="s">
        <v>63</v>
      </c>
      <c r="AO12" s="9" t="s">
        <v>64</v>
      </c>
      <c r="AP12" s="9" t="s">
        <v>65</v>
      </c>
      <c r="AQ12" s="9" t="s">
        <v>66</v>
      </c>
      <c r="AR12" s="9" t="s">
        <v>67</v>
      </c>
      <c r="AS12" s="9" t="s">
        <v>68</v>
      </c>
      <c r="AT12" s="9" t="s">
        <v>69</v>
      </c>
      <c r="AU12" s="9" t="s">
        <v>70</v>
      </c>
      <c r="AV12" s="9" t="s">
        <v>71</v>
      </c>
      <c r="AW12" s="9" t="s">
        <v>72</v>
      </c>
      <c r="AX12" s="9" t="s">
        <v>73</v>
      </c>
      <c r="AY12" s="9" t="s">
        <v>74</v>
      </c>
      <c r="AZ12" s="9" t="s">
        <v>75</v>
      </c>
      <c r="BA12" s="9" t="s">
        <v>76</v>
      </c>
      <c r="BB12" s="9" t="s">
        <v>77</v>
      </c>
      <c r="BC12" s="9" t="s">
        <v>78</v>
      </c>
      <c r="BE12" s="93"/>
      <c r="BF12" s="94"/>
      <c r="BO12" s="49"/>
      <c r="BP12" s="49"/>
      <c r="BQ12" s="141" t="s">
        <v>246</v>
      </c>
      <c r="BR12" s="141"/>
      <c r="BS12" s="141"/>
      <c r="BT12" s="141"/>
      <c r="BU12" s="141"/>
      <c r="BV12" s="141"/>
      <c r="BW12" s="141"/>
      <c r="BX12" s="141"/>
      <c r="BY12" s="141"/>
      <c r="BZ12" s="141"/>
      <c r="CA12" s="141"/>
      <c r="CB12" s="141"/>
      <c r="CC12" s="141"/>
      <c r="CD12" s="141"/>
      <c r="CE12" s="141"/>
      <c r="CF12" s="141"/>
    </row>
    <row r="13" spans="1:84" x14ac:dyDescent="0.2">
      <c r="A13" s="8"/>
      <c r="B13" s="8">
        <v>0</v>
      </c>
      <c r="C13" s="8">
        <v>30</v>
      </c>
      <c r="D13" s="15">
        <f>B2</f>
        <v>70000</v>
      </c>
      <c r="E13" s="8">
        <v>0</v>
      </c>
      <c r="F13" s="8">
        <v>0</v>
      </c>
      <c r="G13" s="15">
        <f>'Tax rate cal'!C10</f>
        <v>13220.5</v>
      </c>
      <c r="H13" s="15">
        <f>$B$6*D13</f>
        <v>1169</v>
      </c>
      <c r="I13" s="15">
        <f>D13-G13-H13</f>
        <v>55610.5</v>
      </c>
      <c r="J13" s="16">
        <f ca="1">MIN($E$2 + INT(B13/$E$3)*$E$4, $E$5)</f>
        <v>0.03</v>
      </c>
      <c r="K13" s="16">
        <v>0.03</v>
      </c>
      <c r="L13" s="17">
        <f ca="1">IF(O13 = 0,0,'Lifestyle Strategy'!$Q$9)</f>
        <v>0</v>
      </c>
      <c r="M13" s="15">
        <f t="shared" ref="M13:M47" ca="1" si="3">I13*J13</f>
        <v>1668.3149999999998</v>
      </c>
      <c r="N13" s="15">
        <f t="shared" ref="N13:N47" si="4">I13*K13</f>
        <v>1668.3149999999998</v>
      </c>
      <c r="O13" s="15">
        <f ca="1">IF(AND('Lifestyle Strategy'!$Q$2="Yes", B13 &gt;='Lifestyle Strategy'!$Q$3),
     I13 * 'Lifestyle Strategy'!$Q$9,
     0
)</f>
        <v>0</v>
      </c>
      <c r="P13" s="8">
        <f t="shared" ref="P13:P48" si="5">IF(B13&lt;10,0,IF(MOD(B13, $E$6) = 0, $E$7, 0))</f>
        <v>0</v>
      </c>
      <c r="Q13" s="15">
        <f ca="1">M13+N13+O13+P13</f>
        <v>3336.6299999999997</v>
      </c>
      <c r="R13" s="15">
        <f ca="1">IF(B13&lt;=5, Q13*'Fund Allocation Strategy'!$B$2,
 IF(B13&lt;=10, Q13*'Fund Allocation Strategy'!$B$3,
 IF(B13&lt;=15, Q13*'Fund Allocation Strategy'!$B$4,
 IF(B13&lt;=20, Q13*'Fund Allocation Strategy'!$B$5,
 IF(B13&lt;=25, Q13*'Fund Allocation Strategy'!$B$6,
 IF(B13&lt;=30, Q13*'Fund Allocation Strategy'!$B$7,
 Q13*'Fund Allocation Strategy'!$B$8))))))</f>
        <v>166.83150000000001</v>
      </c>
      <c r="S13" s="17">
        <f ca="1">_xlfn.NORM.INV(RAND(),'Fund Allocation Strategy'!$B$11,'Fund Allocation Strategy'!$C$11)</f>
        <v>3.7283263133777403E-2</v>
      </c>
      <c r="T13" s="15">
        <f ca="1">R13*S13*0.5</f>
        <v>3.1100113567513925</v>
      </c>
      <c r="U13" s="15">
        <f ca="1">R13+T13</f>
        <v>169.94151135675139</v>
      </c>
      <c r="V13" s="15">
        <f ca="1">IF(B13&lt;=5, Q13*'Fund Allocation Strategy'!$C$2,
 IF(B13&lt;=10, Q13*'Fund Allocation Strategy'!$C$3,
 IF(B13&lt;=15, Q13*'Fund Allocation Strategy'!$C$4,
 IF(B13&lt;=20, Q13*'Fund Allocation Strategy'!$C$5,
 IF(B13&lt;=25, Q13*'Fund Allocation Strategy'!$C$6,
 IF(B13&lt;=30, Q13*'Fund Allocation Strategy'!$C$7,
 Q13*'Fund Allocation Strategy'!$C$8))))))</f>
        <v>166.83150000000001</v>
      </c>
      <c r="W13" s="16">
        <f ca="1">_xlfn.NORM.INV(RAND(),'Fund Allocation Strategy'!$B$12,'Fund Allocation Strategy'!$C$12)</f>
        <v>7.0556950900188889E-2</v>
      </c>
      <c r="X13" s="15">
        <f ca="1">V13*W13*0.5</f>
        <v>5.8855609770524318</v>
      </c>
      <c r="Y13" s="15">
        <f ca="1">V13+X13</f>
        <v>172.71706097705243</v>
      </c>
      <c r="Z13" s="15">
        <f ca="1">IF(B13&lt;=5, Q13*'Fund Allocation Strategy'!$D$2,
 IF(B13&lt;=10, Q13*'Fund Allocation Strategy'!$D$3,
 IF(B13&lt;=15, Q13*'Fund Allocation Strategy'!$D$4,
 IF(B13&lt;=20, Q13*'Fund Allocation Strategy'!$D$5,
 IF(B13&lt;=25, Q13*'Fund Allocation Strategy'!$D$6,
 IF(B13&lt;=30, Q13*'Fund Allocation Strategy'!$D$7,
 Q13*'Fund Allocation Strategy'!$D$8))))))</f>
        <v>1501.4834999999998</v>
      </c>
      <c r="AA13" s="16">
        <f ca="1">_xlfn.NORM.INV(RAND(),'Fund Allocation Strategy'!$B$13,'Fund Allocation Strategy'!$C$13)</f>
        <v>0.10192759301282002</v>
      </c>
      <c r="AB13" s="15">
        <f ca="1">Z13*AA13*0.5</f>
        <v>76.52129955173227</v>
      </c>
      <c r="AC13" s="15">
        <f ca="1">Z13+AB13</f>
        <v>1578.004799551732</v>
      </c>
      <c r="AD13" s="15">
        <f ca="1">IF(B13&lt;=5, Q13*'Fund Allocation Strategy'!$E$2,
 IF(B13&lt;=10, Q13*'Fund Allocation Strategy'!$E$3,
 IF(B13&lt;=15, Q13*'Fund Allocation Strategy'!$E$4,
 IF(B13&lt;=20, Q13*'Fund Allocation Strategy'!$E$5,
 IF(B13&lt;=25, Q13*'Fund Allocation Strategy'!$E$6,
 IF(B13&lt;=30, Q13*'Fund Allocation Strategy'!$E$7,
 Q13*'Fund Allocation Strategy'!$E$8))))))</f>
        <v>1000.9889999999998</v>
      </c>
      <c r="AE13" s="16">
        <f ca="1">_xlfn.NORM.INV(RAND(), 'Fund Allocation Strategy'!$B$14, 'Fund Allocation Strategy'!$C$14) + _xlfn.NORM.INV(RAND(), 'Fund Allocation Strategy'!$D$14,'Fund Allocation Strategy'!$E$14)</f>
        <v>0.11676117007139193</v>
      </c>
      <c r="AF13" s="15">
        <f ca="1">AD13*AE13*0.5</f>
        <v>58.438323434296258</v>
      </c>
      <c r="AG13" s="15">
        <f ca="1">IF(B13&lt;=5, Q13*'Fund Allocation Strategy'!$F$2,
 IF(B13&lt;=10, Q13*'Fund Allocation Strategy'!$F$3,
 IF(B13&lt;=15, Q13*'Fund Allocation Strategy'!$F$4,
 IF(B13&lt;=20, Q13*'Fund Allocation Strategy'!$F$5,
 IF(B13&lt;=25, Q13*'Fund Allocation Strategy'!$F$6,
 IF(B13&lt;=30, Q13*'Fund Allocation Strategy'!$F$7,
 Q13*'Fund Allocation Strategy'!$F$8))))))</f>
        <v>500.4944999999999</v>
      </c>
      <c r="AH13" s="16">
        <f ca="1">_xlfn.NORM.INV(RAND(),'Fund Allocation Strategy'!$B$15,'Fund Allocation Strategy'!$C$15)</f>
        <v>0.20108929068115611</v>
      </c>
      <c r="AI13" s="15">
        <f ca="1">AG13*AH13*0.5</f>
        <v>50.322041997409933</v>
      </c>
      <c r="AJ13" s="15">
        <f ca="1">AG13+AI13</f>
        <v>550.81654199740979</v>
      </c>
      <c r="AK13" s="15">
        <f t="shared" ref="AK13:AK47" ca="1" si="6">IF(AM13&lt;50000,0, AM13*0.015)</f>
        <v>0</v>
      </c>
      <c r="AL13" s="17">
        <f t="shared" ref="AL13:AL47" ca="1" si="7">IF(AM13&lt;50000,0,0.015)</f>
        <v>0</v>
      </c>
      <c r="AM13" s="15">
        <f ca="1">AD13+AF13</f>
        <v>1059.4273234342961</v>
      </c>
      <c r="AN13" s="15">
        <f ca="1">AM13-AK13</f>
        <v>1059.4273234342961</v>
      </c>
      <c r="AO13" s="15">
        <f ca="1">IF(AV13 = 0, I13 * (
    'Lifestyle Strategy'!$B$2 +
    ('Lifestyle Strategy'!$C$2 - 'Lifestyle Strategy'!$B$2) *
    _xlfn.BETA.INV(RAND(), 'Lifestyle Strategy'!$F$2, 'Lifestyle Strategy'!$G$2)
),IF(AV13 = "", "",0))</f>
        <v>12527.188844287977</v>
      </c>
      <c r="AP13" s="15">
        <f ca="1" xml:space="preserve"> I13 * (
    'Lifestyle Strategy'!$B$3 +
    ('Lifestyle Strategy'!$C$3 - 'Lifestyle Strategy'!$B$3) *
    _xlfn.BETA.INV(RAND(), 'Lifestyle Strategy'!$F$3, 'Lifestyle Strategy'!$G$3)
) * IF(MOD(B13,5)=0, 1 + 'Lifestyle Strategy'!$M$4, 1 + 0.025)</f>
        <v>7143.0299215226551</v>
      </c>
      <c r="AQ13" s="15">
        <f ca="1" xml:space="preserve"> I13 * (
    'Lifestyle Strategy'!$B$4 +
    ('Lifestyle Strategy'!$C$4 - 'Lifestyle Strategy'!$B$4) *
    _xlfn.BETA.INV(RAND(), 'Lifestyle Strategy'!$F$4, 'Lifestyle Strategy'!$G$4)
) * IF(MOD(B13,5)=0, 1 + 'Lifestyle Strategy'!$M$4, 1 + 0.025)</f>
        <v>3780.9441477170644</v>
      </c>
      <c r="AR13" s="15">
        <f ca="1" xml:space="preserve"> I13 * (
    'Lifestyle Strategy'!$B$5 +
    ('Lifestyle Strategy'!$C$5 - 'Lifestyle Strategy'!$B$5) *
    _xlfn.BETA.INV(RAND(), 'Lifestyle Strategy'!$F$5, 'Lifestyle Strategy'!$G$5)
) * IF(MOD(B13,5)=0, 1 + 'Lifestyle Strategy'!$M$4, 1 + 0.025)</f>
        <v>2710.2137817786165</v>
      </c>
      <c r="AS13" s="15">
        <f ca="1" xml:space="preserve"> I13 * (
    'Lifestyle Strategy'!$B$6 +
    ('Lifestyle Strategy'!$C$6 - 'Lifestyle Strategy'!$B$6) *
    _xlfn.BETA.INV(RAND(), 'Lifestyle Strategy'!$F$6, 'Lifestyle Strategy'!$G$6)
) * IF(MOD(B13,5)=0, 1 + 'Lifestyle Strategy'!$M$4, 1 + 0.025)</f>
        <v>3129.2604251149746</v>
      </c>
      <c r="AT13" s="15">
        <f ca="1" xml:space="preserve"> I13 * (
    'Lifestyle Strategy'!$B$7 +
    ('Lifestyle Strategy'!$C$7 - 'Lifestyle Strategy'!$B$7) *
    _xlfn.BETA.INV(RAND(), 'Lifestyle Strategy'!$F$7, 'Lifestyle Strategy'!$G$7)
) * IF(MOD(B13,5)=0, 1 + 'Lifestyle Strategy'!$M$4, 1 + 0.025)</f>
        <v>6621.7489836895238</v>
      </c>
      <c r="AU13" s="15">
        <f ca="1" xml:space="preserve"> I13 * (
    'Lifestyle Strategy'!$B$8 +
    ('Lifestyle Strategy'!$C$8 - 'Lifestyle Strategy'!$B$8) *
    _xlfn.BETA.INV(RAND(), 'Lifestyle Strategy'!$F$8, 'Lifestyle Strategy'!$G$8)
) * IF(MOD(B13,5)=0, 1 + 'Lifestyle Strategy'!$M$4, 1 + 0.025)</f>
        <v>2029.8467262333393</v>
      </c>
      <c r="AV13" s="15">
        <f ca="1">IF('Lifestyle Strategy'!$B$14 = "Yes",
   IF(AND(B13&gt;='Lifestyle Strategy'!$B$15, B13&lt;'Lifestyle Strategy'!$B$16),
      'Lifestyle Strategy'!$B$25,
      IF(B13&gt;='Lifestyle Strategy'!$B$16, "",
         0)
   ),
   0
)</f>
        <v>0</v>
      </c>
      <c r="AW13" s="15">
        <f ca="1">IF('Lifestyle Strategy'!$Q$4="No", 0,
   IF(AND(B13&gt;='Lifestyle Strategy'!$Q$5, B13&lt;'Lifestyle Strategy'!$Q$6),
      'Lifestyle Strategy'!$Q$8 * (1.025^(B13-'Lifestyle Strategy'!$Q$5)) * (1.12^INT((B13-'Lifestyle Strategy'!$Q$5)/5)),
      0
   )
)</f>
        <v>0</v>
      </c>
      <c r="AX13" s="15">
        <f t="shared" ref="AX13:AX47" ca="1" si="8">IF(AO13 = "",0,AO13)+AP13+AQ13+AR13+AS13+AT13+AU13+AW13+IF(AV13 = "",0,AV13)</f>
        <v>37942.232830344154</v>
      </c>
      <c r="AY13" s="15">
        <f ca="1">IF(B13='Lifestyle Strategy'!$Q$10, MIN(AN13, 'Lifestyle Strategy'!$Q$11), 0)</f>
        <v>0</v>
      </c>
      <c r="AZ13" s="15">
        <f ca="1">IF(B13='Lifestyle Strategy'!$Q$10, 'Lifestyle Strategy'!$Q$11, 0)</f>
        <v>0</v>
      </c>
      <c r="BA13" s="15">
        <f ca="1">IF(B13='Lifestyle Strategy'!$Q$10, MAX(AZ13 - AY13, 0), 0)</f>
        <v>0</v>
      </c>
      <c r="BB13" s="26">
        <f ca="1">U13+Y13+AC13+AJ13+AN13-AY13</f>
        <v>3530.9072373172421</v>
      </c>
      <c r="BC13" s="18" t="str">
        <f ca="1">TEXT(BB13/1000000, "[$$-en-US]0.00") &amp; "M"</f>
        <v>$0.00M</v>
      </c>
      <c r="BD13" s="27"/>
      <c r="BE13" s="93"/>
      <c r="BF13" s="94"/>
      <c r="BO13" s="49"/>
      <c r="BP13" s="49"/>
      <c r="BQ13" s="141"/>
      <c r="BR13" s="141"/>
      <c r="BS13" s="141"/>
      <c r="BT13" s="141"/>
      <c r="BU13" s="141"/>
      <c r="BV13" s="141"/>
      <c r="BW13" s="141"/>
      <c r="BX13" s="141"/>
      <c r="BY13" s="141"/>
      <c r="BZ13" s="141"/>
      <c r="CA13" s="141"/>
      <c r="CB13" s="141"/>
      <c r="CC13" s="141"/>
      <c r="CD13" s="141"/>
      <c r="CE13" s="141"/>
      <c r="CF13" s="141"/>
    </row>
    <row r="14" spans="1:84" x14ac:dyDescent="0.2">
      <c r="A14" s="8"/>
      <c r="B14" s="8">
        <v>1</v>
      </c>
      <c r="C14" s="8">
        <v>31</v>
      </c>
      <c r="D14" s="15">
        <f ca="1">IF(B14&lt;&gt;$B$5,D13*(1+_xlfn.NORM.INV(RAND(),$B$3,$B$4)),D13*(1+_xlfn.NORM.INV(RAND(),$B$3,$B$4))+D13*(1+_xlfn.NORM.INV(RAND(),$B$3,$B$4)))</f>
        <v>72057.191745400356</v>
      </c>
      <c r="E14" s="15">
        <f ca="1">D14-D13</f>
        <v>2057.191745400356</v>
      </c>
      <c r="F14" s="16">
        <f ca="1">E14/D13</f>
        <v>2.9388453505719371E-2</v>
      </c>
      <c r="G14" s="15">
        <f ca="1">'Tax rate cal'!C11</f>
        <v>13643.17002362011</v>
      </c>
      <c r="H14" s="15">
        <f t="shared" ref="H14:H47" ca="1" si="9">$B$6*D14</f>
        <v>1203.355102148186</v>
      </c>
      <c r="I14" s="15">
        <f t="shared" ref="I14:I47" ca="1" si="10">D14-G14-H14</f>
        <v>57210.666619632058</v>
      </c>
      <c r="J14" s="16">
        <f t="shared" ref="J14:J47" ca="1" si="11">MIN($E$2 + INT(B14/$E$3)*$E$4, $E$5)</f>
        <v>0.03</v>
      </c>
      <c r="K14" s="16">
        <v>0.03</v>
      </c>
      <c r="L14" s="17">
        <f ca="1">IF(O14 = 0,0,'Lifestyle Strategy'!$Q$9)</f>
        <v>0</v>
      </c>
      <c r="M14" s="15">
        <f t="shared" ca="1" si="3"/>
        <v>1716.3199985889617</v>
      </c>
      <c r="N14" s="15">
        <f t="shared" ca="1" si="4"/>
        <v>1716.3199985889617</v>
      </c>
      <c r="O14" s="15">
        <f ca="1">IF(AND('Lifestyle Strategy'!$Q$2="Yes", B14 &gt;='Lifestyle Strategy'!$Q$3),
     I14 * 'Lifestyle Strategy'!$Q$9,
     0
)</f>
        <v>0</v>
      </c>
      <c r="P14" s="8">
        <f t="shared" si="5"/>
        <v>0</v>
      </c>
      <c r="Q14" s="15">
        <f t="shared" ref="Q14:Q48" ca="1" si="12">M14+N14+O14+P14</f>
        <v>3432.6399971779233</v>
      </c>
      <c r="R14" s="15">
        <f ca="1">IF(B14&lt;=5, Q14*'Fund Allocation Strategy'!$B$2,
 IF(B14&lt;=10, Q14*'Fund Allocation Strategy'!$B$3,
 IF(B14&lt;=15, Q14*'Fund Allocation Strategy'!$B$4,
 IF(B14&lt;=20, Q14*'Fund Allocation Strategy'!$B$5,
 IF(B14&lt;=25, Q14*'Fund Allocation Strategy'!$B$6,
 IF(B14&lt;=30, Q14*'Fund Allocation Strategy'!$B$7,
 Q14*'Fund Allocation Strategy'!$B$8))))))</f>
        <v>171.63199985889617</v>
      </c>
      <c r="S14" s="17">
        <f ca="1">_xlfn.NORM.INV(RAND(),'Fund Allocation Strategy'!$B$11,'Fund Allocation Strategy'!$C$11)</f>
        <v>3.6909309745334962E-2</v>
      </c>
      <c r="T14" s="15">
        <f t="shared" ref="T14:T47" ca="1" si="13">U13*S14+(R14*S14*0.5)</f>
        <v>9.4398332037583383</v>
      </c>
      <c r="U14" s="15">
        <f t="shared" ref="U14:U47" ca="1" si="14">U13+R14+T14</f>
        <v>351.01334441940588</v>
      </c>
      <c r="V14" s="15">
        <f ca="1">IF(B14&lt;=5, Q14*'Fund Allocation Strategy'!$C$2,
 IF(B14&lt;=10, Q14*'Fund Allocation Strategy'!$C$3,
 IF(B14&lt;=15, Q14*'Fund Allocation Strategy'!$C$4,
 IF(B14&lt;=20, Q14*'Fund Allocation Strategy'!$C$5,
 IF(B14&lt;=25, Q14*'Fund Allocation Strategy'!$C$6,
 IF(B14&lt;=30, Q14*'Fund Allocation Strategy'!$C$7,
 Q14*'Fund Allocation Strategy'!$C$8))))))</f>
        <v>171.63199985889617</v>
      </c>
      <c r="W14" s="16">
        <f ca="1">_xlfn.NORM.INV(RAND(),'Fund Allocation Strategy'!$B$12,'Fund Allocation Strategy'!$C$12)</f>
        <v>7.0181110472473371E-2</v>
      </c>
      <c r="X14" s="15">
        <f ca="1">Y13*W14 + (V14*W14*0.5)</f>
        <v>18.144137308265798</v>
      </c>
      <c r="Y14" s="15">
        <f ca="1">Y13+V14+X14</f>
        <v>362.49319814421438</v>
      </c>
      <c r="Z14" s="15">
        <f ca="1">IF(B14&lt;=5, Q14*'Fund Allocation Strategy'!$D$2,
 IF(B14&lt;=10, Q14*'Fund Allocation Strategy'!$D$3,
 IF(B14&lt;=15, Q14*'Fund Allocation Strategy'!$D$4,
 IF(B14&lt;=20, Q14*'Fund Allocation Strategy'!$D$5,
 IF(B14&lt;=25, Q14*'Fund Allocation Strategy'!$D$6,
 IF(B14&lt;=30, Q14*'Fund Allocation Strategy'!$D$7,
 Q14*'Fund Allocation Strategy'!$D$8))))))</f>
        <v>1544.6879987300656</v>
      </c>
      <c r="AA14" s="16">
        <f ca="1">_xlfn.NORM.INV(RAND(),'Fund Allocation Strategy'!$B$13,'Fund Allocation Strategy'!$C$13)</f>
        <v>0.10439444839804156</v>
      </c>
      <c r="AB14" s="15">
        <f ca="1">AC13*AA14+(Z14*AA14*0.5)</f>
        <v>245.36336640591514</v>
      </c>
      <c r="AC14" s="15">
        <f ca="1">AC13+Z14+AB14</f>
        <v>3368.0561646877131</v>
      </c>
      <c r="AD14" s="15">
        <f ca="1">IF(B14&lt;=5, Q14*'Fund Allocation Strategy'!$E$2,
 IF(B14&lt;=10, Q14*'Fund Allocation Strategy'!$E$3,
 IF(B14&lt;=15, Q14*'Fund Allocation Strategy'!$E$4,
 IF(B14&lt;=20, Q14*'Fund Allocation Strategy'!$E$5,
 IF(B14&lt;=25, Q14*'Fund Allocation Strategy'!$E$6,
 IF(B14&lt;=30, Q14*'Fund Allocation Strategy'!$E$7,
 Q14*'Fund Allocation Strategy'!$E$8))))))</f>
        <v>1029.791999153377</v>
      </c>
      <c r="AE14" s="16">
        <f ca="1">_xlfn.NORM.INV(RAND(), 'Fund Allocation Strategy'!$B$14, 'Fund Allocation Strategy'!$C$14) + _xlfn.NORM.INV(RAND(), 'Fund Allocation Strategy'!$D$14,'Fund Allocation Strategy'!$E$14)</f>
        <v>0.17614828498323926</v>
      </c>
      <c r="AF14" s="15">
        <f t="shared" ref="AF14:AF47" ca="1" si="15">AM13*AE14+(AD14*AE14*0.5)</f>
        <v>277.31435335749916</v>
      </c>
      <c r="AG14" s="15">
        <f ca="1">IF(B14&lt;=5, Q14*'Fund Allocation Strategy'!$F$2,
 IF(B14&lt;=10, Q14*'Fund Allocation Strategy'!$F$3,
 IF(B14&lt;=15, Q14*'Fund Allocation Strategy'!$F$4,
 IF(B14&lt;=20, Q14*'Fund Allocation Strategy'!$F$5,
 IF(B14&lt;=25, Q14*'Fund Allocation Strategy'!$F$6,
 IF(B14&lt;=30, Q14*'Fund Allocation Strategy'!$F$7,
 Q14*'Fund Allocation Strategy'!$F$8))))))</f>
        <v>514.8959995766885</v>
      </c>
      <c r="AH14" s="16">
        <f ca="1">_xlfn.NORM.INV(RAND(),'Fund Allocation Strategy'!$B$15,'Fund Allocation Strategy'!$C$15)</f>
        <v>0.19820668408190514</v>
      </c>
      <c r="AI14" s="15">
        <f ca="1">AI13*AH14+(AG14*AH14*0.5)</f>
        <v>61.002079442103721</v>
      </c>
      <c r="AJ14" s="15">
        <f t="shared" ref="AJ14:AJ47" ca="1" si="16">AJ13+AG14+AI14</f>
        <v>1126.714621016202</v>
      </c>
      <c r="AK14" s="15">
        <f t="shared" ca="1" si="6"/>
        <v>0</v>
      </c>
      <c r="AL14" s="17">
        <f t="shared" ca="1" si="7"/>
        <v>0</v>
      </c>
      <c r="AM14" s="15">
        <f t="shared" ref="AM14:AM47" ca="1" si="17">AM13+AD14+AF14</f>
        <v>2366.533675945172</v>
      </c>
      <c r="AN14" s="15">
        <f t="shared" ref="AN14:AN47" ca="1" si="18">AM14-AK14</f>
        <v>2366.533675945172</v>
      </c>
      <c r="AO14" s="15">
        <f ca="1">IF(AV14 = 0, I14 * (
    'Lifestyle Strategy'!$B$2 +
    ('Lifestyle Strategy'!$C$2 - 'Lifestyle Strategy'!$B$2) *
    _xlfn.BETA.INV(RAND(), 'Lifestyle Strategy'!$F$2, 'Lifestyle Strategy'!$G$2)
),IF(AV14 = "", "",0))</f>
        <v>0</v>
      </c>
      <c r="AP14" s="15">
        <f ca="1" xml:space="preserve"> I14 * (
    'Lifestyle Strategy'!$B$3 +
    ('Lifestyle Strategy'!$C$3 - 'Lifestyle Strategy'!$B$3) *
    _xlfn.BETA.INV(RAND(), 'Lifestyle Strategy'!$F$3, 'Lifestyle Strategy'!$G$3)
) * IF(MOD(B14,5)=0, 1 + 'Lifestyle Strategy'!$M$4, 1 + 0.025)</f>
        <v>7770.0435043259513</v>
      </c>
      <c r="AQ14" s="15">
        <f ca="1" xml:space="preserve"> I14 * (
    'Lifestyle Strategy'!$B$4 +
    ('Lifestyle Strategy'!$C$4 - 'Lifestyle Strategy'!$B$4) *
    _xlfn.BETA.INV(RAND(), 'Lifestyle Strategy'!$F$4, 'Lifestyle Strategy'!$G$4)
) * IF(MOD(B14,5)=0, 1 + 'Lifestyle Strategy'!$M$4, 1 + 0.025)</f>
        <v>5217.8034971302377</v>
      </c>
      <c r="AR14" s="15">
        <f ca="1" xml:space="preserve"> I14 * (
    'Lifestyle Strategy'!$B$5 +
    ('Lifestyle Strategy'!$C$5 - 'Lifestyle Strategy'!$B$5) *
    _xlfn.BETA.INV(RAND(), 'Lifestyle Strategy'!$F$5, 'Lifestyle Strategy'!$G$5)
) * IF(MOD(B14,5)=0, 1 + 'Lifestyle Strategy'!$M$4, 1 + 0.025)</f>
        <v>3034.2145957107441</v>
      </c>
      <c r="AS14" s="15">
        <f ca="1" xml:space="preserve"> I14 * (
    'Lifestyle Strategy'!$B$6 +
    ('Lifestyle Strategy'!$C$6 - 'Lifestyle Strategy'!$B$6) *
    _xlfn.BETA.INV(RAND(), 'Lifestyle Strategy'!$F$6, 'Lifestyle Strategy'!$G$6)
) * IF(MOD(B14,5)=0, 1 + 'Lifestyle Strategy'!$M$4, 1 + 0.025)</f>
        <v>2726.7947586626537</v>
      </c>
      <c r="AT14" s="15">
        <f ca="1" xml:space="preserve"> I14 * (
    'Lifestyle Strategy'!$B$7 +
    ('Lifestyle Strategy'!$C$7 - 'Lifestyle Strategy'!$B$7) *
    _xlfn.BETA.INV(RAND(), 'Lifestyle Strategy'!$F$7, 'Lifestyle Strategy'!$G$7)
) * IF(MOD(B14,5)=0, 1 + 'Lifestyle Strategy'!$M$4, 1 + 0.025)</f>
        <v>6270.7470632178574</v>
      </c>
      <c r="AU14" s="15">
        <f ca="1" xml:space="preserve"> I14 * (
    'Lifestyle Strategy'!$B$8 +
    ('Lifestyle Strategy'!$C$8 - 'Lifestyle Strategy'!$B$8) *
    _xlfn.BETA.INV(RAND(), 'Lifestyle Strategy'!$F$8, 'Lifestyle Strategy'!$G$8)
) * IF(MOD(B14,5)=0, 1 + 'Lifestyle Strategy'!$M$4, 1 + 0.025)</f>
        <v>3330.5888480124158</v>
      </c>
      <c r="AV14" s="15">
        <f ca="1">IF('Lifestyle Strategy'!$B$14 = "Yes",
   IF(AND(B14&gt;='Lifestyle Strategy'!$B$15, B14&lt;'Lifestyle Strategy'!$B$16),
      'Lifestyle Strategy'!$B$25,
      IF(B14&gt;='Lifestyle Strategy'!$B$16, "",
         0)
   ),
   0
)</f>
        <v>17163.199985889616</v>
      </c>
      <c r="AW14" s="15">
        <f ca="1">IF('Lifestyle Strategy'!$Q$4="No", 0,
   IF(AND(B14&gt;='Lifestyle Strategy'!$Q$5, B14&lt;'Lifestyle Strategy'!$Q$6),
      'Lifestyle Strategy'!$Q$8 * (1.025^(B14-'Lifestyle Strategy'!$Q$5)) * (1.12^INT((B14-'Lifestyle Strategy'!$Q$5)/5)),
      0
   )
)</f>
        <v>0</v>
      </c>
      <c r="AX14" s="15">
        <f t="shared" ca="1" si="8"/>
        <v>45513.392252949474</v>
      </c>
      <c r="AY14" s="15">
        <f ca="1">IF(B14='Lifestyle Strategy'!$Q$10, MIN(AN14, 'Lifestyle Strategy'!$Q$11), 0)</f>
        <v>0</v>
      </c>
      <c r="AZ14" s="15">
        <f ca="1">IF(B14='Lifestyle Strategy'!$Q$10, 'Lifestyle Strategy'!$Q$11, 0)</f>
        <v>0</v>
      </c>
      <c r="BA14" s="15">
        <f ca="1">IF(B14='Lifestyle Strategy'!$Q$10, MAX(AZ14 - AY14, 0), 0)</f>
        <v>0</v>
      </c>
      <c r="BB14" s="26">
        <f t="shared" ref="BB14:BB48" ca="1" si="19">U14+Y14+AC14+AJ14+AN14-AY14</f>
        <v>7574.8110042127073</v>
      </c>
      <c r="BC14" s="18" t="str">
        <f t="shared" ref="BC14:BC47" ca="1" si="20">TEXT(BB14/1000000, "[$$-en-US]0.00") &amp; "M"</f>
        <v>$0.01M</v>
      </c>
      <c r="BD14" s="27"/>
      <c r="BE14" s="93"/>
      <c r="BF14" s="93"/>
    </row>
    <row r="15" spans="1:84" x14ac:dyDescent="0.2">
      <c r="A15" s="8"/>
      <c r="B15" s="8">
        <v>2</v>
      </c>
      <c r="C15" s="8">
        <v>32</v>
      </c>
      <c r="D15" s="15">
        <f t="shared" ref="D15:D47" ca="1" si="21">IF(B15&lt;&gt;$B$5,D14*(1+_xlfn.NORM.INV(RAND(),$B$3,$B$4)),D14*(1+_xlfn.NORM.INV(RAND(),$B$3,$B$4))+D14*(1+_xlfn.NORM.INV(RAND(),$B$3,$B$4)))</f>
        <v>73552.961951741439</v>
      </c>
      <c r="E15" s="15">
        <f ca="1">D15-D14</f>
        <v>1495.7702063410834</v>
      </c>
      <c r="F15" s="16">
        <f t="shared" ref="F15:F47" ca="1" si="22">E15/D14</f>
        <v>2.0758097423864193E-2</v>
      </c>
      <c r="G15" s="15">
        <f ca="1">'Tax rate cal'!C12</f>
        <v>14091.901085522433</v>
      </c>
      <c r="H15" s="15">
        <f t="shared" ca="1" si="9"/>
        <v>1228.334464594082</v>
      </c>
      <c r="I15" s="15">
        <f t="shared" ca="1" si="10"/>
        <v>58232.726401624925</v>
      </c>
      <c r="J15" s="16">
        <f t="shared" ca="1" si="11"/>
        <v>0.04</v>
      </c>
      <c r="K15" s="16">
        <v>0.03</v>
      </c>
      <c r="L15" s="17">
        <f ca="1">IF(O15 = 0,0,'Lifestyle Strategy'!$Q$9)</f>
        <v>0</v>
      </c>
      <c r="M15" s="15">
        <f t="shared" ca="1" si="3"/>
        <v>2329.3090560649971</v>
      </c>
      <c r="N15" s="15">
        <f t="shared" ca="1" si="4"/>
        <v>1746.9817920487476</v>
      </c>
      <c r="O15" s="15">
        <f ca="1">IF(AND('Lifestyle Strategy'!$Q$2="Yes", B15 &gt;='Lifestyle Strategy'!$Q$3),
     I15 * 'Lifestyle Strategy'!$Q$9,
     0
)</f>
        <v>0</v>
      </c>
      <c r="P15" s="8">
        <f t="shared" si="5"/>
        <v>0</v>
      </c>
      <c r="Q15" s="15">
        <f t="shared" ca="1" si="12"/>
        <v>4076.2908481137447</v>
      </c>
      <c r="R15" s="15">
        <f ca="1">IF(B15&lt;=5, Q15*'Fund Allocation Strategy'!$B$2,
 IF(B15&lt;=10, Q15*'Fund Allocation Strategy'!$B$3,
 IF(B15&lt;=15, Q15*'Fund Allocation Strategy'!$B$4,
 IF(B15&lt;=20, Q15*'Fund Allocation Strategy'!$B$5,
 IF(B15&lt;=25, Q15*'Fund Allocation Strategy'!$B$6,
 IF(B15&lt;=30, Q15*'Fund Allocation Strategy'!$B$7,
 Q15*'Fund Allocation Strategy'!$B$8))))))</f>
        <v>203.81454240568723</v>
      </c>
      <c r="S15" s="17">
        <f ca="1">_xlfn.NORM.INV(RAND(),'Fund Allocation Strategy'!$B$11,'Fund Allocation Strategy'!$C$11)</f>
        <v>3.660443169583482E-2</v>
      </c>
      <c r="T15" s="15">
        <f t="shared" ca="1" si="13"/>
        <v>16.57890173818009</v>
      </c>
      <c r="U15" s="15">
        <f t="shared" ca="1" si="14"/>
        <v>571.40678856327327</v>
      </c>
      <c r="V15" s="15">
        <f ca="1">IF(B15&lt;=5, Q15*'Fund Allocation Strategy'!$C$2,
 IF(B15&lt;=10, Q15*'Fund Allocation Strategy'!$C$3,
 IF(B15&lt;=15, Q15*'Fund Allocation Strategy'!$C$4,
 IF(B15&lt;=20, Q15*'Fund Allocation Strategy'!$C$5,
 IF(B15&lt;=25, Q15*'Fund Allocation Strategy'!$C$6,
 IF(B15&lt;=30, Q15*'Fund Allocation Strategy'!$C$7,
 Q15*'Fund Allocation Strategy'!$C$8))))))</f>
        <v>203.81454240568723</v>
      </c>
      <c r="W15" s="16">
        <f ca="1">_xlfn.NORM.INV(RAND(),'Fund Allocation Strategy'!$B$12,'Fund Allocation Strategy'!$C$12)</f>
        <v>6.8860125638769448E-2</v>
      </c>
      <c r="X15" s="15">
        <f t="shared" ref="X15:X47" ca="1" si="23">Y14*W15 + (V15*W15*0.5)</f>
        <v>31.978674665941917</v>
      </c>
      <c r="Y15" s="15">
        <f t="shared" ref="Y15:Y47" ca="1" si="24">Y14+V15+X15</f>
        <v>598.28641521584348</v>
      </c>
      <c r="Z15" s="15">
        <f ca="1">IF(B15&lt;=5, Q15*'Fund Allocation Strategy'!$D$2,
 IF(B15&lt;=10, Q15*'Fund Allocation Strategy'!$D$3,
 IF(B15&lt;=15, Q15*'Fund Allocation Strategy'!$D$4,
 IF(B15&lt;=20, Q15*'Fund Allocation Strategy'!$D$5,
 IF(B15&lt;=25, Q15*'Fund Allocation Strategy'!$D$6,
 IF(B15&lt;=30, Q15*'Fund Allocation Strategy'!$D$7,
 Q15*'Fund Allocation Strategy'!$D$8))))))</f>
        <v>1834.3308816511851</v>
      </c>
      <c r="AA15" s="16">
        <f ca="1">_xlfn.NORM.INV(RAND(),'Fund Allocation Strategy'!$B$13,'Fund Allocation Strategy'!$C$13)</f>
        <v>0.10158051464955072</v>
      </c>
      <c r="AB15" s="15">
        <f t="shared" ref="AB15:AB47" ca="1" si="25">AC14*AA15+(Z15*AA15*0.5)</f>
        <v>435.29501607541556</v>
      </c>
      <c r="AC15" s="15">
        <f t="shared" ref="AC15:AC47" ca="1" si="26">AC14+Z15+AB15</f>
        <v>5637.6820624143138</v>
      </c>
      <c r="AD15" s="15">
        <f ca="1">IF(B15&lt;=5, Q15*'Fund Allocation Strategy'!$E$2,
 IF(B15&lt;=10, Q15*'Fund Allocation Strategy'!$E$3,
 IF(B15&lt;=15, Q15*'Fund Allocation Strategy'!$E$4,
 IF(B15&lt;=20, Q15*'Fund Allocation Strategy'!$E$5,
 IF(B15&lt;=25, Q15*'Fund Allocation Strategy'!$E$6,
 IF(B15&lt;=30, Q15*'Fund Allocation Strategy'!$E$7,
 Q15*'Fund Allocation Strategy'!$E$8))))))</f>
        <v>1222.8872544341234</v>
      </c>
      <c r="AE15" s="16">
        <f ca="1">_xlfn.NORM.INV(RAND(), 'Fund Allocation Strategy'!$B$14, 'Fund Allocation Strategy'!$C$14) + _xlfn.NORM.INV(RAND(), 'Fund Allocation Strategy'!$D$14,'Fund Allocation Strategy'!$E$14)</f>
        <v>1.966255171002762E-2</v>
      </c>
      <c r="AF15" s="15">
        <f t="shared" ca="1" si="15"/>
        <v>58.554632714716021</v>
      </c>
      <c r="AG15" s="15">
        <f ca="1">IF(B15&lt;=5, Q15*'Fund Allocation Strategy'!$F$2,
 IF(B15&lt;=10, Q15*'Fund Allocation Strategy'!$F$3,
 IF(B15&lt;=15, Q15*'Fund Allocation Strategy'!$F$4,
 IF(B15&lt;=20, Q15*'Fund Allocation Strategy'!$F$5,
 IF(B15&lt;=25, Q15*'Fund Allocation Strategy'!$F$6,
 IF(B15&lt;=30, Q15*'Fund Allocation Strategy'!$F$7,
 Q15*'Fund Allocation Strategy'!$F$8))))))</f>
        <v>611.4436272170617</v>
      </c>
      <c r="AH15" s="16">
        <f ca="1">_xlfn.NORM.INV(RAND(),'Fund Allocation Strategy'!$B$15,'Fund Allocation Strategy'!$C$15)</f>
        <v>0.213234889480797</v>
      </c>
      <c r="AI15" s="15">
        <f t="shared" ref="AI15:AI47" ca="1" si="27">AI14*AH15+(AG15*AH15*0.5)</f>
        <v>78.198328804619678</v>
      </c>
      <c r="AJ15" s="15">
        <f t="shared" ca="1" si="16"/>
        <v>1816.3565770378834</v>
      </c>
      <c r="AK15" s="15">
        <f t="shared" ca="1" si="6"/>
        <v>0</v>
      </c>
      <c r="AL15" s="17">
        <f t="shared" ca="1" si="7"/>
        <v>0</v>
      </c>
      <c r="AM15" s="15">
        <f t="shared" ca="1" si="17"/>
        <v>3647.9755630940112</v>
      </c>
      <c r="AN15" s="15">
        <f t="shared" ca="1" si="18"/>
        <v>3647.9755630940112</v>
      </c>
      <c r="AO15" s="15">
        <f ca="1">IF(AV15 = 0, I15 * (
    'Lifestyle Strategy'!$B$2 +
    ('Lifestyle Strategy'!$C$2 - 'Lifestyle Strategy'!$B$2) *
    _xlfn.BETA.INV(RAND(), 'Lifestyle Strategy'!$F$2, 'Lifestyle Strategy'!$G$2)
),IF(AV15 = "", "",0))</f>
        <v>0</v>
      </c>
      <c r="AP15" s="15">
        <f ca="1" xml:space="preserve"> I15 * (
    'Lifestyle Strategy'!$B$3 +
    ('Lifestyle Strategy'!$C$3 - 'Lifestyle Strategy'!$B$3) *
    _xlfn.BETA.INV(RAND(), 'Lifestyle Strategy'!$F$3, 'Lifestyle Strategy'!$G$3)
) * IF(MOD(B15,5)=0, 1 + 'Lifestyle Strategy'!$M$4, 1 + 0.025)</f>
        <v>7966.7114215820202</v>
      </c>
      <c r="AQ15" s="15">
        <f ca="1" xml:space="preserve"> I15 * (
    'Lifestyle Strategy'!$B$4 +
    ('Lifestyle Strategy'!$C$4 - 'Lifestyle Strategy'!$B$4) *
    _xlfn.BETA.INV(RAND(), 'Lifestyle Strategy'!$F$4, 'Lifestyle Strategy'!$G$4)
) * IF(MOD(B15,5)=0, 1 + 'Lifestyle Strategy'!$M$4, 1 + 0.025)</f>
        <v>5865.7162514749189</v>
      </c>
      <c r="AR15" s="15">
        <f ca="1" xml:space="preserve"> I15 * (
    'Lifestyle Strategy'!$B$5 +
    ('Lifestyle Strategy'!$C$5 - 'Lifestyle Strategy'!$B$5) *
    _xlfn.BETA.INV(RAND(), 'Lifestyle Strategy'!$F$5, 'Lifestyle Strategy'!$G$5)
) * IF(MOD(B15,5)=0, 1 + 'Lifestyle Strategy'!$M$4, 1 + 0.025)</f>
        <v>3109.2717042449726</v>
      </c>
      <c r="AS15" s="15">
        <f ca="1" xml:space="preserve"> I15 * (
    'Lifestyle Strategy'!$B$6 +
    ('Lifestyle Strategy'!$C$6 - 'Lifestyle Strategy'!$B$6) *
    _xlfn.BETA.INV(RAND(), 'Lifestyle Strategy'!$F$6, 'Lifestyle Strategy'!$G$6)
) * IF(MOD(B15,5)=0, 1 + 'Lifestyle Strategy'!$M$4, 1 + 0.025)</f>
        <v>2980.6442808390198</v>
      </c>
      <c r="AT15" s="15">
        <f ca="1" xml:space="preserve"> I15 * (
    'Lifestyle Strategy'!$B$7 +
    ('Lifestyle Strategy'!$C$7 - 'Lifestyle Strategy'!$B$7) *
    _xlfn.BETA.INV(RAND(), 'Lifestyle Strategy'!$F$7, 'Lifestyle Strategy'!$G$7)
) * IF(MOD(B15,5)=0, 1 + 'Lifestyle Strategy'!$M$4, 1 + 0.025)</f>
        <v>5773.676235011364</v>
      </c>
      <c r="AU15" s="15">
        <f ca="1" xml:space="preserve"> I15 * (
    'Lifestyle Strategy'!$B$8 +
    ('Lifestyle Strategy'!$C$8 - 'Lifestyle Strategy'!$B$8) *
    _xlfn.BETA.INV(RAND(), 'Lifestyle Strategy'!$F$8, 'Lifestyle Strategy'!$G$8)
) * IF(MOD(B15,5)=0, 1 + 'Lifestyle Strategy'!$M$4, 1 + 0.025)</f>
        <v>2248.2522636531085</v>
      </c>
      <c r="AV15" s="15">
        <f ca="1">IF('Lifestyle Strategy'!$B$14 = "Yes",
   IF(AND(B15&gt;='Lifestyle Strategy'!$B$15, B15&lt;'Lifestyle Strategy'!$B$16),
      'Lifestyle Strategy'!$B$25,
      IF(B15&gt;='Lifestyle Strategy'!$B$16, "",
         0)
   ),
   0
)</f>
        <v>17163.199985889616</v>
      </c>
      <c r="AW15" s="15">
        <f ca="1">IF('Lifestyle Strategy'!$Q$4="No", 0,
   IF(AND(B15&gt;='Lifestyle Strategy'!$Q$5, B15&lt;'Lifestyle Strategy'!$Q$6),
      'Lifestyle Strategy'!$Q$8 * (1.025^(B15-'Lifestyle Strategy'!$Q$5)) * (1.12^INT((B15-'Lifestyle Strategy'!$Q$5)/5)),
      0
   )
)</f>
        <v>0</v>
      </c>
      <c r="AX15" s="15">
        <f t="shared" ca="1" si="8"/>
        <v>45107.47214269502</v>
      </c>
      <c r="AY15" s="15">
        <f ca="1">IF(B15='Lifestyle Strategy'!$Q$10, MIN(AN15, 'Lifestyle Strategy'!$Q$11), 0)</f>
        <v>0</v>
      </c>
      <c r="AZ15" s="15">
        <f ca="1">IF(B15='Lifestyle Strategy'!$Q$10, 'Lifestyle Strategy'!$Q$11, 0)</f>
        <v>0</v>
      </c>
      <c r="BA15" s="15">
        <f ca="1">IF(B15='Lifestyle Strategy'!$Q$10, MAX(AZ15 - AY15, 0), 0)</f>
        <v>0</v>
      </c>
      <c r="BB15" s="26">
        <f t="shared" ca="1" si="19"/>
        <v>12271.707406325324</v>
      </c>
      <c r="BC15" s="18" t="str">
        <f t="shared" ca="1" si="20"/>
        <v>$0.01M</v>
      </c>
      <c r="BD15" s="27"/>
      <c r="BQ15" s="131" t="s">
        <v>28</v>
      </c>
      <c r="BR15" s="131" t="s">
        <v>79</v>
      </c>
      <c r="BS15" s="131" t="s">
        <v>30</v>
      </c>
      <c r="BT15" s="131" t="s">
        <v>80</v>
      </c>
      <c r="BU15" s="131" t="s">
        <v>81</v>
      </c>
      <c r="BV15" s="131" t="s">
        <v>82</v>
      </c>
      <c r="BW15" s="131" t="s">
        <v>83</v>
      </c>
      <c r="BX15" s="131" t="s">
        <v>84</v>
      </c>
      <c r="BY15" s="131" t="s">
        <v>85</v>
      </c>
      <c r="BZ15" s="131" t="s">
        <v>86</v>
      </c>
      <c r="CA15" s="131" t="s">
        <v>87</v>
      </c>
      <c r="CB15" s="131" t="s">
        <v>88</v>
      </c>
    </row>
    <row r="16" spans="1:84" x14ac:dyDescent="0.2">
      <c r="A16" s="8"/>
      <c r="B16" s="8">
        <v>3</v>
      </c>
      <c r="C16" s="8">
        <v>33</v>
      </c>
      <c r="D16" s="15">
        <f t="shared" ca="1" si="21"/>
        <v>76356.463092471531</v>
      </c>
      <c r="E16" s="15">
        <f t="shared" ref="E16:E47" ca="1" si="28">D16-D15</f>
        <v>2803.5011407300917</v>
      </c>
      <c r="F16" s="16">
        <f t="shared" ca="1" si="22"/>
        <v>3.8115407814160993E-2</v>
      </c>
      <c r="G16" s="15">
        <f ca="1">'Tax rate cal'!C13</f>
        <v>14932.951427741462</v>
      </c>
      <c r="H16" s="15">
        <f t="shared" ca="1" si="9"/>
        <v>1275.1529336442745</v>
      </c>
      <c r="I16" s="15">
        <f t="shared" ca="1" si="10"/>
        <v>60148.358731085791</v>
      </c>
      <c r="J16" s="16">
        <f t="shared" ca="1" si="11"/>
        <v>0.04</v>
      </c>
      <c r="K16" s="16">
        <v>0.03</v>
      </c>
      <c r="L16" s="17">
        <f ca="1">IF(O16 = 0,0,'Lifestyle Strategy'!$Q$9)</f>
        <v>0</v>
      </c>
      <c r="M16" s="15">
        <f t="shared" ca="1" si="3"/>
        <v>2405.9343492434318</v>
      </c>
      <c r="N16" s="15">
        <f t="shared" ca="1" si="4"/>
        <v>1804.4507619325736</v>
      </c>
      <c r="O16" s="15">
        <f ca="1">IF(AND('Lifestyle Strategy'!$Q$2="Yes", B16 &gt;='Lifestyle Strategy'!$Q$3),
     I16 * 'Lifestyle Strategy'!$Q$9,
     0
)</f>
        <v>0</v>
      </c>
      <c r="P16" s="8">
        <f t="shared" si="5"/>
        <v>0</v>
      </c>
      <c r="Q16" s="15">
        <f t="shared" ca="1" si="12"/>
        <v>4210.385111176005</v>
      </c>
      <c r="R16" s="15">
        <f ca="1">IF(B16&lt;=5, Q16*'Fund Allocation Strategy'!$B$2,
 IF(B16&lt;=10, Q16*'Fund Allocation Strategy'!$B$3,
 IF(B16&lt;=15, Q16*'Fund Allocation Strategy'!$B$4,
 IF(B16&lt;=20, Q16*'Fund Allocation Strategy'!$B$5,
 IF(B16&lt;=25, Q16*'Fund Allocation Strategy'!$B$6,
 IF(B16&lt;=30, Q16*'Fund Allocation Strategy'!$B$7,
 Q16*'Fund Allocation Strategy'!$B$8))))))</f>
        <v>210.51925555880027</v>
      </c>
      <c r="S16" s="17">
        <f ca="1">_xlfn.NORM.INV(RAND(),'Fund Allocation Strategy'!$B$11,'Fund Allocation Strategy'!$C$11)</f>
        <v>3.7194841510728327E-2</v>
      </c>
      <c r="T16" s="15">
        <f t="shared" ca="1" si="13"/>
        <v>25.168500111498247</v>
      </c>
      <c r="U16" s="15">
        <f t="shared" ca="1" si="14"/>
        <v>807.09454423357181</v>
      </c>
      <c r="V16" s="15">
        <f ca="1">IF(B16&lt;=5, Q16*'Fund Allocation Strategy'!$C$2,
 IF(B16&lt;=10, Q16*'Fund Allocation Strategy'!$C$3,
 IF(B16&lt;=15, Q16*'Fund Allocation Strategy'!$C$4,
 IF(B16&lt;=20, Q16*'Fund Allocation Strategy'!$C$5,
 IF(B16&lt;=25, Q16*'Fund Allocation Strategy'!$C$6,
 IF(B16&lt;=30, Q16*'Fund Allocation Strategy'!$C$7,
 Q16*'Fund Allocation Strategy'!$C$8))))))</f>
        <v>210.51925555880027</v>
      </c>
      <c r="W16" s="16">
        <f ca="1">_xlfn.NORM.INV(RAND(),'Fund Allocation Strategy'!$B$12,'Fund Allocation Strategy'!$C$12)</f>
        <v>7.1244218295952358E-2</v>
      </c>
      <c r="X16" s="15">
        <f t="shared" ca="1" si="23"/>
        <v>50.123587868406624</v>
      </c>
      <c r="Y16" s="15">
        <f t="shared" ca="1" si="24"/>
        <v>858.92925864305039</v>
      </c>
      <c r="Z16" s="15">
        <f ca="1">IF(B16&lt;=5, Q16*'Fund Allocation Strategy'!$D$2,
 IF(B16&lt;=10, Q16*'Fund Allocation Strategy'!$D$3,
 IF(B16&lt;=15, Q16*'Fund Allocation Strategy'!$D$4,
 IF(B16&lt;=20, Q16*'Fund Allocation Strategy'!$D$5,
 IF(B16&lt;=25, Q16*'Fund Allocation Strategy'!$D$6,
 IF(B16&lt;=30, Q16*'Fund Allocation Strategy'!$D$7,
 Q16*'Fund Allocation Strategy'!$D$8))))))</f>
        <v>1894.6733000292022</v>
      </c>
      <c r="AA16" s="16">
        <f ca="1">_xlfn.NORM.INV(RAND(),'Fund Allocation Strategy'!$B$13,'Fund Allocation Strategy'!$C$13)</f>
        <v>0.1043148953828141</v>
      </c>
      <c r="AB16" s="15">
        <f t="shared" ca="1" si="25"/>
        <v>686.91553808089543</v>
      </c>
      <c r="AC16" s="15">
        <f t="shared" ca="1" si="26"/>
        <v>8219.2709005244124</v>
      </c>
      <c r="AD16" s="15">
        <f ca="1">IF(B16&lt;=5, Q16*'Fund Allocation Strategy'!$E$2,
 IF(B16&lt;=10, Q16*'Fund Allocation Strategy'!$E$3,
 IF(B16&lt;=15, Q16*'Fund Allocation Strategy'!$E$4,
 IF(B16&lt;=20, Q16*'Fund Allocation Strategy'!$E$5,
 IF(B16&lt;=25, Q16*'Fund Allocation Strategy'!$E$6,
 IF(B16&lt;=30, Q16*'Fund Allocation Strategy'!$E$7,
 Q16*'Fund Allocation Strategy'!$E$8))))))</f>
        <v>1263.1155333528015</v>
      </c>
      <c r="AE16" s="16">
        <f ca="1">_xlfn.NORM.INV(RAND(), 'Fund Allocation Strategy'!$B$14, 'Fund Allocation Strategy'!$C$14) + _xlfn.NORM.INV(RAND(), 'Fund Allocation Strategy'!$D$14,'Fund Allocation Strategy'!$E$14)</f>
        <v>0.28367890169596705</v>
      </c>
      <c r="AF16" s="15">
        <f t="shared" ca="1" si="15"/>
        <v>1214.0133147605552</v>
      </c>
      <c r="AG16" s="15">
        <f ca="1">IF(B16&lt;=5, Q16*'Fund Allocation Strategy'!$F$2,
 IF(B16&lt;=10, Q16*'Fund Allocation Strategy'!$F$3,
 IF(B16&lt;=15, Q16*'Fund Allocation Strategy'!$F$4,
 IF(B16&lt;=20, Q16*'Fund Allocation Strategy'!$F$5,
 IF(B16&lt;=25, Q16*'Fund Allocation Strategy'!$F$6,
 IF(B16&lt;=30, Q16*'Fund Allocation Strategy'!$F$7,
 Q16*'Fund Allocation Strategy'!$F$8))))))</f>
        <v>631.55776667640077</v>
      </c>
      <c r="AH16" s="16">
        <f ca="1">_xlfn.NORM.INV(RAND(),'Fund Allocation Strategy'!$B$15,'Fund Allocation Strategy'!$C$15)</f>
        <v>0.20019019434443447</v>
      </c>
      <c r="AI16" s="15">
        <f t="shared" ca="1" si="27"/>
        <v>78.870374666149644</v>
      </c>
      <c r="AJ16" s="15">
        <f t="shared" ca="1" si="16"/>
        <v>2526.7847183804338</v>
      </c>
      <c r="AK16" s="15">
        <f t="shared" ca="1" si="6"/>
        <v>0</v>
      </c>
      <c r="AL16" s="17">
        <f t="shared" ca="1" si="7"/>
        <v>0</v>
      </c>
      <c r="AM16" s="15">
        <f t="shared" ca="1" si="17"/>
        <v>6125.1044112073687</v>
      </c>
      <c r="AN16" s="15">
        <f t="shared" ca="1" si="18"/>
        <v>6125.1044112073687</v>
      </c>
      <c r="AO16" s="15">
        <f ca="1">IF(AV16 = 0, I16 * (
    'Lifestyle Strategy'!$B$2 +
    ('Lifestyle Strategy'!$C$2 - 'Lifestyle Strategy'!$B$2) *
    _xlfn.BETA.INV(RAND(), 'Lifestyle Strategy'!$F$2, 'Lifestyle Strategy'!$G$2)
),IF(AV16 = "", "",0))</f>
        <v>0</v>
      </c>
      <c r="AP16" s="15">
        <f ca="1" xml:space="preserve"> I16 * (
    'Lifestyle Strategy'!$B$3 +
    ('Lifestyle Strategy'!$C$3 - 'Lifestyle Strategy'!$B$3) *
    _xlfn.BETA.INV(RAND(), 'Lifestyle Strategy'!$F$3, 'Lifestyle Strategy'!$G$3)
) * IF(MOD(B16,5)=0, 1 + 'Lifestyle Strategy'!$M$4, 1 + 0.025)</f>
        <v>8051.6206470388715</v>
      </c>
      <c r="AQ16" s="15">
        <f ca="1" xml:space="preserve"> I16 * (
    'Lifestyle Strategy'!$B$4 +
    ('Lifestyle Strategy'!$C$4 - 'Lifestyle Strategy'!$B$4) *
    _xlfn.BETA.INV(RAND(), 'Lifestyle Strategy'!$F$4, 'Lifestyle Strategy'!$G$4)
) * IF(MOD(B16,5)=0, 1 + 'Lifestyle Strategy'!$M$4, 1 + 0.025)</f>
        <v>3877.302873354136</v>
      </c>
      <c r="AR16" s="15">
        <f ca="1" xml:space="preserve"> I16 * (
    'Lifestyle Strategy'!$B$5 +
    ('Lifestyle Strategy'!$C$5 - 'Lifestyle Strategy'!$B$5) *
    _xlfn.BETA.INV(RAND(), 'Lifestyle Strategy'!$F$5, 'Lifestyle Strategy'!$G$5)
) * IF(MOD(B16,5)=0, 1 + 'Lifestyle Strategy'!$M$4, 1 + 0.025)</f>
        <v>3318.1231644431746</v>
      </c>
      <c r="AS16" s="15">
        <f ca="1" xml:space="preserve"> I16 * (
    'Lifestyle Strategy'!$B$6 +
    ('Lifestyle Strategy'!$C$6 - 'Lifestyle Strategy'!$B$6) *
    _xlfn.BETA.INV(RAND(), 'Lifestyle Strategy'!$F$6, 'Lifestyle Strategy'!$G$6)
) * IF(MOD(B16,5)=0, 1 + 'Lifestyle Strategy'!$M$4, 1 + 0.025)</f>
        <v>3217.9258692713365</v>
      </c>
      <c r="AT16" s="15">
        <f ca="1" xml:space="preserve"> I16 * (
    'Lifestyle Strategy'!$B$7 +
    ('Lifestyle Strategy'!$C$7 - 'Lifestyle Strategy'!$B$7) *
    _xlfn.BETA.INV(RAND(), 'Lifestyle Strategy'!$F$7, 'Lifestyle Strategy'!$G$7)
) * IF(MOD(B16,5)=0, 1 + 'Lifestyle Strategy'!$M$4, 1 + 0.025)</f>
        <v>6811.4114189530183</v>
      </c>
      <c r="AU16" s="15">
        <f ca="1" xml:space="preserve"> I16 * (
    'Lifestyle Strategy'!$B$8 +
    ('Lifestyle Strategy'!$C$8 - 'Lifestyle Strategy'!$B$8) *
    _xlfn.BETA.INV(RAND(), 'Lifestyle Strategy'!$F$8, 'Lifestyle Strategy'!$G$8)
) * IF(MOD(B16,5)=0, 1 + 'Lifestyle Strategy'!$M$4, 1 + 0.025)</f>
        <v>3051.953717885352</v>
      </c>
      <c r="AV16" s="15">
        <f ca="1">IF('Lifestyle Strategy'!$B$14 = "Yes",
   IF(AND(B16&gt;='Lifestyle Strategy'!$B$15, B16&lt;'Lifestyle Strategy'!$B$16),
      'Lifestyle Strategy'!$B$25,
      IF(B16&gt;='Lifestyle Strategy'!$B$16, "",
         0)
   ),
   0
)</f>
        <v>17163.199985889616</v>
      </c>
      <c r="AW16" s="15">
        <f ca="1">IF('Lifestyle Strategy'!$Q$4="No", 0,
   IF(AND(B16&gt;='Lifestyle Strategy'!$Q$5, B16&lt;'Lifestyle Strategy'!$Q$6),
      'Lifestyle Strategy'!$Q$8 * (1.025^(B16-'Lifestyle Strategy'!$Q$5)) * (1.12^INT((B16-'Lifestyle Strategy'!$Q$5)/5)),
      0
   )
)</f>
        <v>0</v>
      </c>
      <c r="AX16" s="15">
        <f t="shared" ca="1" si="8"/>
        <v>45491.537676835505</v>
      </c>
      <c r="AY16" s="15">
        <f ca="1">IF(B16='Lifestyle Strategy'!$Q$10, MIN(AN16, 'Lifestyle Strategy'!$Q$11), 0)</f>
        <v>0</v>
      </c>
      <c r="AZ16" s="15">
        <f ca="1">IF(B16='Lifestyle Strategy'!$Q$10, 'Lifestyle Strategy'!$Q$11, 0)</f>
        <v>0</v>
      </c>
      <c r="BA16" s="15">
        <f ca="1">IF(B16='Lifestyle Strategy'!$Q$10, MAX(AZ16 - AY16, 0), 0)</f>
        <v>0</v>
      </c>
      <c r="BB16" s="26">
        <f t="shared" ca="1" si="19"/>
        <v>18537.183832988834</v>
      </c>
      <c r="BC16" s="18" t="str">
        <f t="shared" ca="1" si="20"/>
        <v>$0.02M</v>
      </c>
      <c r="BD16" s="27"/>
      <c r="BQ16" s="8"/>
      <c r="BR16" s="8">
        <v>1</v>
      </c>
      <c r="BS16" s="8">
        <v>66</v>
      </c>
      <c r="BT16" s="15">
        <f ca="1">AX48</f>
        <v>143809.59116451067</v>
      </c>
      <c r="BU16" s="139">
        <f ca="1">BT16/CA16</f>
        <v>2.9713727721241243E-2</v>
      </c>
      <c r="BV16" s="15">
        <f>'Lifestyle Strategy'!$M$22*(1+'Lifestyle Strategy'!$M$16)^('Lifestyle Strategy'!$M$23 + BR16-1)</f>
        <v>54583.719279523524</v>
      </c>
      <c r="BW16" s="15">
        <f ca="1">BT16-BV16</f>
        <v>89225.871884987137</v>
      </c>
      <c r="BX16" s="139">
        <f ca="1">BW16/CA16</f>
        <v>1.8435719352320454E-2</v>
      </c>
      <c r="BY16" s="140">
        <f ca="1">IFERROR(_xlfn.NORM.INV(RAND(),'Lifestyle Strategy'!$M$27,'Lifestyle Strategy'!$M$28),0)</f>
        <v>2.602631001786351E-2</v>
      </c>
      <c r="BZ16" s="15">
        <f ca="1">'Lifestyle Strategy'!$M$26*BY16</f>
        <v>125031.21063433158</v>
      </c>
      <c r="CA16" s="15">
        <f ca="1">('Pre-Retirement_cal'!$BB$48 + BZ16)-BW16</f>
        <v>4839836.7419146309</v>
      </c>
      <c r="CB16" s="15">
        <f ca="1">IF('Post-Retirement_Cal'!$K16&lt;0, ABS('Post-Retirement_Cal'!$K16),0)</f>
        <v>0</v>
      </c>
    </row>
    <row r="17" spans="1:80" x14ac:dyDescent="0.2">
      <c r="A17" s="8"/>
      <c r="B17" s="8">
        <v>4</v>
      </c>
      <c r="C17" s="8">
        <v>34</v>
      </c>
      <c r="D17" s="15">
        <f t="shared" ca="1" si="21"/>
        <v>79363.039636220274</v>
      </c>
      <c r="E17" s="15">
        <f t="shared" ca="1" si="28"/>
        <v>3006.5765437487426</v>
      </c>
      <c r="F17" s="16">
        <f t="shared" ca="1" si="22"/>
        <v>3.9375534460097068E-2</v>
      </c>
      <c r="G17" s="15">
        <f ca="1">'Tax rate cal'!C14</f>
        <v>15834.924390866085</v>
      </c>
      <c r="H17" s="15">
        <f t="shared" ca="1" si="9"/>
        <v>1325.3627619248784</v>
      </c>
      <c r="I17" s="15">
        <f t="shared" ca="1" si="10"/>
        <v>62202.752483429307</v>
      </c>
      <c r="J17" s="16">
        <f t="shared" ca="1" si="11"/>
        <v>0.05</v>
      </c>
      <c r="K17" s="16">
        <v>0.03</v>
      </c>
      <c r="L17" s="17">
        <f ca="1">IF(O17 = 0,0,'Lifestyle Strategy'!$Q$9)</f>
        <v>0</v>
      </c>
      <c r="M17" s="15">
        <f t="shared" ca="1" si="3"/>
        <v>3110.1376241714656</v>
      </c>
      <c r="N17" s="15">
        <f t="shared" ca="1" si="4"/>
        <v>1866.0825745028792</v>
      </c>
      <c r="O17" s="15">
        <f ca="1">IF(AND('Lifestyle Strategy'!$Q$2="Yes", B17 &gt;='Lifestyle Strategy'!$Q$3),
     I17 * 'Lifestyle Strategy'!$Q$9,
     0
)</f>
        <v>0</v>
      </c>
      <c r="P17" s="8">
        <f t="shared" si="5"/>
        <v>0</v>
      </c>
      <c r="Q17" s="15">
        <f t="shared" ca="1" si="12"/>
        <v>4976.2201986743448</v>
      </c>
      <c r="R17" s="15">
        <f ca="1">IF(B17&lt;=5, Q17*'Fund Allocation Strategy'!$B$2,
 IF(B17&lt;=10, Q17*'Fund Allocation Strategy'!$B$3,
 IF(B17&lt;=15, Q17*'Fund Allocation Strategy'!$B$4,
 IF(B17&lt;=20, Q17*'Fund Allocation Strategy'!$B$5,
 IF(B17&lt;=25, Q17*'Fund Allocation Strategy'!$B$6,
 IF(B17&lt;=30, Q17*'Fund Allocation Strategy'!$B$7,
 Q17*'Fund Allocation Strategy'!$B$8))))))</f>
        <v>248.81100993371726</v>
      </c>
      <c r="S17" s="17">
        <f ca="1">_xlfn.NORM.INV(RAND(),'Fund Allocation Strategy'!$B$11,'Fund Allocation Strategy'!$C$11)</f>
        <v>3.7570371633151606E-2</v>
      </c>
      <c r="T17" s="15">
        <f t="shared" ca="1" si="13"/>
        <v>34.996803024759174</v>
      </c>
      <c r="U17" s="15">
        <f t="shared" ca="1" si="14"/>
        <v>1090.9023571920482</v>
      </c>
      <c r="V17" s="15">
        <f ca="1">IF(B17&lt;=5, Q17*'Fund Allocation Strategy'!$C$2,
 IF(B17&lt;=10, Q17*'Fund Allocation Strategy'!$C$3,
 IF(B17&lt;=15, Q17*'Fund Allocation Strategy'!$C$4,
 IF(B17&lt;=20, Q17*'Fund Allocation Strategy'!$C$5,
 IF(B17&lt;=25, Q17*'Fund Allocation Strategy'!$C$6,
 IF(B17&lt;=30, Q17*'Fund Allocation Strategy'!$C$7,
 Q17*'Fund Allocation Strategy'!$C$8))))))</f>
        <v>248.81100993371726</v>
      </c>
      <c r="W17" s="16">
        <f ca="1">_xlfn.NORM.INV(RAND(),'Fund Allocation Strategy'!$B$12,'Fund Allocation Strategy'!$C$12)</f>
        <v>7.0351281969644477E-2</v>
      </c>
      <c r="X17" s="15">
        <f t="shared" ca="1" si="23"/>
        <v>69.178861225274403</v>
      </c>
      <c r="Y17" s="15">
        <f t="shared" ca="1" si="24"/>
        <v>1176.9191298020421</v>
      </c>
      <c r="Z17" s="15">
        <f ca="1">IF(B17&lt;=5, Q17*'Fund Allocation Strategy'!$D$2,
 IF(B17&lt;=10, Q17*'Fund Allocation Strategy'!$D$3,
 IF(B17&lt;=15, Q17*'Fund Allocation Strategy'!$D$4,
 IF(B17&lt;=20, Q17*'Fund Allocation Strategy'!$D$5,
 IF(B17&lt;=25, Q17*'Fund Allocation Strategy'!$D$6,
 IF(B17&lt;=30, Q17*'Fund Allocation Strategy'!$D$7,
 Q17*'Fund Allocation Strategy'!$D$8))))))</f>
        <v>2239.2990894034551</v>
      </c>
      <c r="AA17" s="16">
        <f ca="1">_xlfn.NORM.INV(RAND(),'Fund Allocation Strategy'!$B$13,'Fund Allocation Strategy'!$C$13)</f>
        <v>0.10462586430435523</v>
      </c>
      <c r="AB17" s="15">
        <f t="shared" ca="1" si="25"/>
        <v>977.09262325139889</v>
      </c>
      <c r="AC17" s="15">
        <f t="shared" ca="1" si="26"/>
        <v>11435.662613179267</v>
      </c>
      <c r="AD17" s="15">
        <f ca="1">IF(B17&lt;=5, Q17*'Fund Allocation Strategy'!$E$2,
 IF(B17&lt;=10, Q17*'Fund Allocation Strategy'!$E$3,
 IF(B17&lt;=15, Q17*'Fund Allocation Strategy'!$E$4,
 IF(B17&lt;=20, Q17*'Fund Allocation Strategy'!$E$5,
 IF(B17&lt;=25, Q17*'Fund Allocation Strategy'!$E$6,
 IF(B17&lt;=30, Q17*'Fund Allocation Strategy'!$E$7,
 Q17*'Fund Allocation Strategy'!$E$8))))))</f>
        <v>1492.8660596023035</v>
      </c>
      <c r="AE17" s="16">
        <f ca="1">_xlfn.NORM.INV(RAND(), 'Fund Allocation Strategy'!$B$14, 'Fund Allocation Strategy'!$C$14) + _xlfn.NORM.INV(RAND(), 'Fund Allocation Strategy'!$D$14,'Fund Allocation Strategy'!$E$14)</f>
        <v>0.57509559878155558</v>
      </c>
      <c r="AF17" s="15">
        <f t="shared" ca="1" si="15"/>
        <v>3951.7909391866733</v>
      </c>
      <c r="AG17" s="15">
        <f ca="1">IF(B17&lt;=5, Q17*'Fund Allocation Strategy'!$F$2,
 IF(B17&lt;=10, Q17*'Fund Allocation Strategy'!$F$3,
 IF(B17&lt;=15, Q17*'Fund Allocation Strategy'!$F$4,
 IF(B17&lt;=20, Q17*'Fund Allocation Strategy'!$F$5,
 IF(B17&lt;=25, Q17*'Fund Allocation Strategy'!$F$6,
 IF(B17&lt;=30, Q17*'Fund Allocation Strategy'!$F$7,
 Q17*'Fund Allocation Strategy'!$F$8))))))</f>
        <v>746.43302980115175</v>
      </c>
      <c r="AH17" s="16">
        <f ca="1">_xlfn.NORM.INV(RAND(),'Fund Allocation Strategy'!$B$15,'Fund Allocation Strategy'!$C$15)</f>
        <v>0.21176196663463773</v>
      </c>
      <c r="AI17" s="15">
        <f t="shared" ca="1" si="27"/>
        <v>95.734808824386079</v>
      </c>
      <c r="AJ17" s="15">
        <f t="shared" ca="1" si="16"/>
        <v>3368.9525570059718</v>
      </c>
      <c r="AK17" s="15">
        <f t="shared" ca="1" si="6"/>
        <v>0</v>
      </c>
      <c r="AL17" s="17">
        <f t="shared" ca="1" si="7"/>
        <v>0</v>
      </c>
      <c r="AM17" s="15">
        <f t="shared" ca="1" si="17"/>
        <v>11569.761409996347</v>
      </c>
      <c r="AN17" s="15">
        <f t="shared" ca="1" si="18"/>
        <v>11569.761409996347</v>
      </c>
      <c r="AO17" s="15">
        <f ca="1">IF(AV17 = 0, I17 * (
    'Lifestyle Strategy'!$B$2 +
    ('Lifestyle Strategy'!$C$2 - 'Lifestyle Strategy'!$B$2) *
    _xlfn.BETA.INV(RAND(), 'Lifestyle Strategy'!$F$2, 'Lifestyle Strategy'!$G$2)
),IF(AV17 = "", "",0))</f>
        <v>0</v>
      </c>
      <c r="AP17" s="15">
        <f ca="1" xml:space="preserve"> I17 * (
    'Lifestyle Strategy'!$B$3 +
    ('Lifestyle Strategy'!$C$3 - 'Lifestyle Strategy'!$B$3) *
    _xlfn.BETA.INV(RAND(), 'Lifestyle Strategy'!$F$3, 'Lifestyle Strategy'!$G$3)
) * IF(MOD(B17,5)=0, 1 + 'Lifestyle Strategy'!$M$4, 1 + 0.025)</f>
        <v>7483.0971668339153</v>
      </c>
      <c r="AQ17" s="15">
        <f ca="1" xml:space="preserve"> I17 * (
    'Lifestyle Strategy'!$B$4 +
    ('Lifestyle Strategy'!$C$4 - 'Lifestyle Strategy'!$B$4) *
    _xlfn.BETA.INV(RAND(), 'Lifestyle Strategy'!$F$4, 'Lifestyle Strategy'!$G$4)
) * IF(MOD(B17,5)=0, 1 + 'Lifestyle Strategy'!$M$4, 1 + 0.025)</f>
        <v>5212.5530787729149</v>
      </c>
      <c r="AR17" s="15">
        <f ca="1" xml:space="preserve"> I17 * (
    'Lifestyle Strategy'!$B$5 +
    ('Lifestyle Strategy'!$C$5 - 'Lifestyle Strategy'!$B$5) *
    _xlfn.BETA.INV(RAND(), 'Lifestyle Strategy'!$F$5, 'Lifestyle Strategy'!$G$5)
) * IF(MOD(B17,5)=0, 1 + 'Lifestyle Strategy'!$M$4, 1 + 0.025)</f>
        <v>3216.3508600723999</v>
      </c>
      <c r="AS17" s="15">
        <f ca="1" xml:space="preserve"> I17 * (
    'Lifestyle Strategy'!$B$6 +
    ('Lifestyle Strategy'!$C$6 - 'Lifestyle Strategy'!$B$6) *
    _xlfn.BETA.INV(RAND(), 'Lifestyle Strategy'!$F$6, 'Lifestyle Strategy'!$G$6)
) * IF(MOD(B17,5)=0, 1 + 'Lifestyle Strategy'!$M$4, 1 + 0.025)</f>
        <v>3290.1144554747884</v>
      </c>
      <c r="AT17" s="15">
        <f ca="1" xml:space="preserve"> I17 * (
    'Lifestyle Strategy'!$B$7 +
    ('Lifestyle Strategy'!$C$7 - 'Lifestyle Strategy'!$B$7) *
    _xlfn.BETA.INV(RAND(), 'Lifestyle Strategy'!$F$7, 'Lifestyle Strategy'!$G$7)
) * IF(MOD(B17,5)=0, 1 + 'Lifestyle Strategy'!$M$4, 1 + 0.025)</f>
        <v>6613.1781338952842</v>
      </c>
      <c r="AU17" s="15">
        <f ca="1" xml:space="preserve"> I17 * (
    'Lifestyle Strategy'!$B$8 +
    ('Lifestyle Strategy'!$C$8 - 'Lifestyle Strategy'!$B$8) *
    _xlfn.BETA.INV(RAND(), 'Lifestyle Strategy'!$F$8, 'Lifestyle Strategy'!$G$8)
) * IF(MOD(B17,5)=0, 1 + 'Lifestyle Strategy'!$M$4, 1 + 0.025)</f>
        <v>2995.5482250660903</v>
      </c>
      <c r="AV17" s="15">
        <f ca="1">IF('Lifestyle Strategy'!$B$14 = "Yes",
   IF(AND(B17&gt;='Lifestyle Strategy'!$B$15, B17&lt;'Lifestyle Strategy'!$B$16),
      'Lifestyle Strategy'!$B$25,
      IF(B17&gt;='Lifestyle Strategy'!$B$16, "",
         0)
   ),
   0
)</f>
        <v>17163.199985889616</v>
      </c>
      <c r="AW17" s="15">
        <f ca="1">IF('Lifestyle Strategy'!$Q$4="No", 0,
   IF(AND(B17&gt;='Lifestyle Strategy'!$Q$5, B17&lt;'Lifestyle Strategy'!$Q$6),
      'Lifestyle Strategy'!$Q$8 * (1.025^(B17-'Lifestyle Strategy'!$Q$5)) * (1.12^INT((B17-'Lifestyle Strategy'!$Q$5)/5)),
      0
   )
)</f>
        <v>0</v>
      </c>
      <c r="AX17" s="15">
        <f t="shared" ca="1" si="8"/>
        <v>45974.041906005004</v>
      </c>
      <c r="AY17" s="15">
        <f ca="1">IF(B17='Lifestyle Strategy'!$Q$10, MIN(AN17, 'Lifestyle Strategy'!$Q$11), 0)</f>
        <v>0</v>
      </c>
      <c r="AZ17" s="15">
        <f ca="1">IF(B17='Lifestyle Strategy'!$Q$10, 'Lifestyle Strategy'!$Q$11, 0)</f>
        <v>0</v>
      </c>
      <c r="BA17" s="15">
        <f ca="1">IF(B17='Lifestyle Strategy'!$Q$10, MAX(AZ17 - AY17, 0), 0)</f>
        <v>0</v>
      </c>
      <c r="BB17" s="26">
        <f t="shared" ca="1" si="19"/>
        <v>28642.198067175676</v>
      </c>
      <c r="BC17" s="18" t="str">
        <f t="shared" ca="1" si="20"/>
        <v>$0.03M</v>
      </c>
      <c r="BD17" s="27"/>
      <c r="BQ17" s="8"/>
      <c r="BR17" s="8">
        <v>2</v>
      </c>
      <c r="BS17" s="8">
        <v>67</v>
      </c>
      <c r="BT17" s="15">
        <f ca="1">IF(BS17&lt;'Lifestyle Strategy'!$M$14, 0,
   'Lifestyle Strategy'!$M$15 *
   (1 + 'Lifestyle Strategy'!$M$16)^(BS17-'Lifestyle Strategy'!$M$14) *
   (1 + IF(RAND() &lt; (0.08 - 0.06) / (0.1 - 0.06),
             0.06 + SQRT(RAND() * (0.08 - 0.06) * (0.1 - 0.06)),
             0.1 - SQRT((1 - RAND()) * (0.1 - 0.08) * (0.1 - 0.06))
         ))^INT((BS17-'Lifestyle Strategy'!$M$14)/5)
)</f>
        <v>147404.83094362341</v>
      </c>
      <c r="BU17" s="139">
        <f t="shared" ref="BU17:BU35" ca="1" si="29">BT17/CA17</f>
        <v>2.9954804455167818E-2</v>
      </c>
      <c r="BV17" s="15">
        <f>'Lifestyle Strategy'!$M$22*(1+'Lifestyle Strategy'!$M$16)^('Lifestyle Strategy'!$M$23 + BR17-1)</f>
        <v>55948.312261511615</v>
      </c>
      <c r="BW17" s="15">
        <f t="shared" ref="BW17:BW35" ca="1" si="30">BT17-BV17</f>
        <v>91456.518682111797</v>
      </c>
      <c r="BX17" s="139">
        <f t="shared" ref="BX17:BX35" ca="1" si="31">BW17/CA17</f>
        <v>1.8585294089315408E-2</v>
      </c>
      <c r="BY17" s="140">
        <f ca="1">IFERROR(_xlfn.NORM.INV(RAND(),'Lifestyle Strategy'!$M$27,'Lifestyle Strategy'!$M$28),0)</f>
        <v>3.5647396333247462E-2</v>
      </c>
      <c r="BZ17" s="15">
        <f ca="1">CA16*BY17</f>
        <v>172527.57852724395</v>
      </c>
      <c r="CA17" s="15">
        <f ca="1">(CA16+BZ17)-BW17</f>
        <v>4920907.8017597627</v>
      </c>
      <c r="CB17" s="15">
        <f ca="1">IF('Post-Retirement_Cal'!$K17&lt;0, ABS('Post-Retirement_Cal'!$K17),0)</f>
        <v>0</v>
      </c>
    </row>
    <row r="18" spans="1:80" x14ac:dyDescent="0.2">
      <c r="A18" s="8"/>
      <c r="B18" s="8">
        <v>5</v>
      </c>
      <c r="C18" s="8">
        <v>35</v>
      </c>
      <c r="D18" s="15">
        <f t="shared" ca="1" si="21"/>
        <v>82334.237855554675</v>
      </c>
      <c r="E18" s="15">
        <f t="shared" ca="1" si="28"/>
        <v>2971.1982193344011</v>
      </c>
      <c r="F18" s="16">
        <f t="shared" ca="1" si="22"/>
        <v>3.7438059743598637E-2</v>
      </c>
      <c r="G18" s="15">
        <f ca="1">'Tax rate cal'!C15</f>
        <v>16794.73599233304</v>
      </c>
      <c r="H18" s="15">
        <f t="shared" ca="1" si="9"/>
        <v>1374.981772187763</v>
      </c>
      <c r="I18" s="15">
        <f t="shared" ca="1" si="10"/>
        <v>64164.520091033875</v>
      </c>
      <c r="J18" s="16">
        <f t="shared" ca="1" si="11"/>
        <v>0.05</v>
      </c>
      <c r="K18" s="16">
        <v>0.03</v>
      </c>
      <c r="L18" s="17">
        <f ca="1">IF(O18 = 0,0,'Lifestyle Strategy'!$Q$9)</f>
        <v>0</v>
      </c>
      <c r="M18" s="15">
        <f t="shared" ca="1" si="3"/>
        <v>3208.2260045516941</v>
      </c>
      <c r="N18" s="15">
        <f t="shared" ca="1" si="4"/>
        <v>1924.9356027310162</v>
      </c>
      <c r="O18" s="15">
        <f ca="1">IF(AND('Lifestyle Strategy'!$Q$2="Yes", B18 &gt;='Lifestyle Strategy'!$Q$3),
     I18 * 'Lifestyle Strategy'!$Q$9,
     0
)</f>
        <v>0</v>
      </c>
      <c r="P18" s="8">
        <f t="shared" si="5"/>
        <v>0</v>
      </c>
      <c r="Q18" s="15">
        <f t="shared" ca="1" si="12"/>
        <v>5133.1616072827101</v>
      </c>
      <c r="R18" s="15">
        <f ca="1">IF(B18&lt;=5, Q18*'Fund Allocation Strategy'!$B$2,
 IF(B18&lt;=10, Q18*'Fund Allocation Strategy'!$B$3,
 IF(B18&lt;=15, Q18*'Fund Allocation Strategy'!$B$4,
 IF(B18&lt;=20, Q18*'Fund Allocation Strategy'!$B$5,
 IF(B18&lt;=25, Q18*'Fund Allocation Strategy'!$B$6,
 IF(B18&lt;=30, Q18*'Fund Allocation Strategy'!$B$7,
 Q18*'Fund Allocation Strategy'!$B$8))))))</f>
        <v>256.65808036413551</v>
      </c>
      <c r="S18" s="17">
        <f ca="1">_xlfn.NORM.INV(RAND(),'Fund Allocation Strategy'!$B$11,'Fund Allocation Strategy'!$C$11)</f>
        <v>3.7355341253262668E-2</v>
      </c>
      <c r="T18" s="15">
        <f t="shared" ca="1" si="13"/>
        <v>45.544804915602398</v>
      </c>
      <c r="U18" s="15">
        <f t="shared" ca="1" si="14"/>
        <v>1393.1052424717859</v>
      </c>
      <c r="V18" s="15">
        <f ca="1">IF(B18&lt;=5, Q18*'Fund Allocation Strategy'!$C$2,
 IF(B18&lt;=10, Q18*'Fund Allocation Strategy'!$C$3,
 IF(B18&lt;=15, Q18*'Fund Allocation Strategy'!$C$4,
 IF(B18&lt;=20, Q18*'Fund Allocation Strategy'!$C$5,
 IF(B18&lt;=25, Q18*'Fund Allocation Strategy'!$C$6,
 IF(B18&lt;=30, Q18*'Fund Allocation Strategy'!$C$7,
 Q18*'Fund Allocation Strategy'!$C$8))))))</f>
        <v>256.65808036413551</v>
      </c>
      <c r="W18" s="16">
        <f ca="1">_xlfn.NORM.INV(RAND(),'Fund Allocation Strategy'!$B$12,'Fund Allocation Strategy'!$C$12)</f>
        <v>7.0688407319926913E-2</v>
      </c>
      <c r="X18" s="15">
        <f t="shared" ca="1" si="23"/>
        <v>92.265914293425951</v>
      </c>
      <c r="Y18" s="15">
        <f t="shared" ca="1" si="24"/>
        <v>1525.8431244596036</v>
      </c>
      <c r="Z18" s="15">
        <f ca="1">IF(B18&lt;=5, Q18*'Fund Allocation Strategy'!$D$2,
 IF(B18&lt;=10, Q18*'Fund Allocation Strategy'!$D$3,
 IF(B18&lt;=15, Q18*'Fund Allocation Strategy'!$D$4,
 IF(B18&lt;=20, Q18*'Fund Allocation Strategy'!$D$5,
 IF(B18&lt;=25, Q18*'Fund Allocation Strategy'!$D$6,
 IF(B18&lt;=30, Q18*'Fund Allocation Strategy'!$D$7,
 Q18*'Fund Allocation Strategy'!$D$8))))))</f>
        <v>2309.9227232772196</v>
      </c>
      <c r="AA18" s="16">
        <f ca="1">_xlfn.NORM.INV(RAND(),'Fund Allocation Strategy'!$B$13,'Fund Allocation Strategy'!$C$13)</f>
        <v>0.10638207831980066</v>
      </c>
      <c r="AB18" s="15">
        <f t="shared" ca="1" si="25"/>
        <v>1339.4167457842352</v>
      </c>
      <c r="AC18" s="15">
        <f t="shared" ca="1" si="26"/>
        <v>15085.002082240722</v>
      </c>
      <c r="AD18" s="15">
        <f ca="1">IF(B18&lt;=5, Q18*'Fund Allocation Strategy'!$E$2,
 IF(B18&lt;=10, Q18*'Fund Allocation Strategy'!$E$3,
 IF(B18&lt;=15, Q18*'Fund Allocation Strategy'!$E$4,
 IF(B18&lt;=20, Q18*'Fund Allocation Strategy'!$E$5,
 IF(B18&lt;=25, Q18*'Fund Allocation Strategy'!$E$6,
 IF(B18&lt;=30, Q18*'Fund Allocation Strategy'!$E$7,
 Q18*'Fund Allocation Strategy'!$E$8))))))</f>
        <v>1539.948482184813</v>
      </c>
      <c r="AE18" s="16">
        <f ca="1">_xlfn.NORM.INV(RAND(), 'Fund Allocation Strategy'!$B$14, 'Fund Allocation Strategy'!$C$14) + _xlfn.NORM.INV(RAND(), 'Fund Allocation Strategy'!$D$14,'Fund Allocation Strategy'!$E$14)</f>
        <v>0.11889283670395015</v>
      </c>
      <c r="AF18" s="15">
        <f t="shared" ca="1" si="15"/>
        <v>1467.1061757348073</v>
      </c>
      <c r="AG18" s="15">
        <f ca="1">IF(B18&lt;=5, Q18*'Fund Allocation Strategy'!$F$2,
 IF(B18&lt;=10, Q18*'Fund Allocation Strategy'!$F$3,
 IF(B18&lt;=15, Q18*'Fund Allocation Strategy'!$F$4,
 IF(B18&lt;=20, Q18*'Fund Allocation Strategy'!$F$5,
 IF(B18&lt;=25, Q18*'Fund Allocation Strategy'!$F$6,
 IF(B18&lt;=30, Q18*'Fund Allocation Strategy'!$F$7,
 Q18*'Fund Allocation Strategy'!$F$8))))))</f>
        <v>769.97424109240649</v>
      </c>
      <c r="AH18" s="16">
        <f ca="1">_xlfn.NORM.INV(RAND(),'Fund Allocation Strategy'!$B$15,'Fund Allocation Strategy'!$C$15)</f>
        <v>0.21020492880706973</v>
      </c>
      <c r="AI18" s="15">
        <f t="shared" ca="1" si="27"/>
        <v>101.05011893934193</v>
      </c>
      <c r="AJ18" s="15">
        <f t="shared" ca="1" si="16"/>
        <v>4239.9769170377203</v>
      </c>
      <c r="AK18" s="15">
        <f t="shared" ca="1" si="6"/>
        <v>0</v>
      </c>
      <c r="AL18" s="17">
        <f t="shared" ca="1" si="7"/>
        <v>0</v>
      </c>
      <c r="AM18" s="15">
        <f t="shared" ca="1" si="17"/>
        <v>14576.816067915966</v>
      </c>
      <c r="AN18" s="15">
        <f t="shared" ca="1" si="18"/>
        <v>14576.816067915966</v>
      </c>
      <c r="AO18" s="15">
        <f ca="1">IF(AV18 = 0, I18 * (
    'Lifestyle Strategy'!$B$2 +
    ('Lifestyle Strategy'!$C$2 - 'Lifestyle Strategy'!$B$2) *
    _xlfn.BETA.INV(RAND(), 'Lifestyle Strategy'!$F$2, 'Lifestyle Strategy'!$G$2)
),IF(AV18 = "", "",0))</f>
        <v>0</v>
      </c>
      <c r="AP18" s="15">
        <f ca="1" xml:space="preserve"> I18 * (
    'Lifestyle Strategy'!$B$3 +
    ('Lifestyle Strategy'!$C$3 - 'Lifestyle Strategy'!$B$3) *
    _xlfn.BETA.INV(RAND(), 'Lifestyle Strategy'!$F$3, 'Lifestyle Strategy'!$G$3)
) * IF(MOD(B18,5)=0, 1 + 'Lifestyle Strategy'!$M$4, 1 + 0.025)</f>
        <v>9644.8059918154886</v>
      </c>
      <c r="AQ18" s="15">
        <f ca="1" xml:space="preserve"> I18 * (
    'Lifestyle Strategy'!$B$4 +
    ('Lifestyle Strategy'!$C$4 - 'Lifestyle Strategy'!$B$4) *
    _xlfn.BETA.INV(RAND(), 'Lifestyle Strategy'!$F$4, 'Lifestyle Strategy'!$G$4)
) * IF(MOD(B18,5)=0, 1 + 'Lifestyle Strategy'!$M$4, 1 + 0.025)</f>
        <v>6398.9283443837849</v>
      </c>
      <c r="AR18" s="15">
        <f ca="1" xml:space="preserve"> I18 * (
    'Lifestyle Strategy'!$B$5 +
    ('Lifestyle Strategy'!$C$5 - 'Lifestyle Strategy'!$B$5) *
    _xlfn.BETA.INV(RAND(), 'Lifestyle Strategy'!$F$5, 'Lifestyle Strategy'!$G$5)
) * IF(MOD(B18,5)=0, 1 + 'Lifestyle Strategy'!$M$4, 1 + 0.025)</f>
        <v>3473.3698627618846</v>
      </c>
      <c r="AS18" s="15">
        <f ca="1" xml:space="preserve"> I18 * (
    'Lifestyle Strategy'!$B$6 +
    ('Lifestyle Strategy'!$C$6 - 'Lifestyle Strategy'!$B$6) *
    _xlfn.BETA.INV(RAND(), 'Lifestyle Strategy'!$F$6, 'Lifestyle Strategy'!$G$6)
) * IF(MOD(B18,5)=0, 1 + 'Lifestyle Strategy'!$M$4, 1 + 0.025)</f>
        <v>3688.1277842600302</v>
      </c>
      <c r="AT18" s="15">
        <f ca="1" xml:space="preserve"> I18 * (
    'Lifestyle Strategy'!$B$7 +
    ('Lifestyle Strategy'!$C$7 - 'Lifestyle Strategy'!$B$7) *
    _xlfn.BETA.INV(RAND(), 'Lifestyle Strategy'!$F$7, 'Lifestyle Strategy'!$G$7)
) * IF(MOD(B18,5)=0, 1 + 'Lifestyle Strategy'!$M$4, 1 + 0.025)</f>
        <v>7893.4043544573278</v>
      </c>
      <c r="AU18" s="15">
        <f ca="1" xml:space="preserve"> I18 * (
    'Lifestyle Strategy'!$B$8 +
    ('Lifestyle Strategy'!$C$8 - 'Lifestyle Strategy'!$B$8) *
    _xlfn.BETA.INV(RAND(), 'Lifestyle Strategy'!$F$8, 'Lifestyle Strategy'!$G$8)
) * IF(MOD(B18,5)=0, 1 + 'Lifestyle Strategy'!$M$4, 1 + 0.025)</f>
        <v>2385.8150869113333</v>
      </c>
      <c r="AV18" s="15">
        <f ca="1">IF('Lifestyle Strategy'!$B$14 = "Yes",
   IF(AND(B18&gt;='Lifestyle Strategy'!$B$15, B18&lt;'Lifestyle Strategy'!$B$16),
      'Lifestyle Strategy'!$B$25,
      IF(B18&gt;='Lifestyle Strategy'!$B$16, "",
         0)
   ),
   0
)</f>
        <v>17163.199985889616</v>
      </c>
      <c r="AW18" s="15">
        <f ca="1">IF('Lifestyle Strategy'!$Q$4="No", 0,
   IF(AND(B18&gt;='Lifestyle Strategy'!$Q$5, B18&lt;'Lifestyle Strategy'!$Q$6),
      'Lifestyle Strategy'!$Q$8 * (1.025^(B18-'Lifestyle Strategy'!$Q$5)) * (1.12^INT((B18-'Lifestyle Strategy'!$Q$5)/5)),
      0
   )
)</f>
        <v>0</v>
      </c>
      <c r="AX18" s="15">
        <f t="shared" ca="1" si="8"/>
        <v>50647.651410479462</v>
      </c>
      <c r="AY18" s="15">
        <f ca="1">IF(B18='Lifestyle Strategy'!$Q$10, MIN(AN18, 'Lifestyle Strategy'!$Q$11), 0)</f>
        <v>0</v>
      </c>
      <c r="AZ18" s="15">
        <f ca="1">IF(B18='Lifestyle Strategy'!$Q$10, 'Lifestyle Strategy'!$Q$11, 0)</f>
        <v>0</v>
      </c>
      <c r="BA18" s="15">
        <f ca="1">IF(B18='Lifestyle Strategy'!$Q$10, MAX(AZ18 - AY18, 0), 0)</f>
        <v>0</v>
      </c>
      <c r="BB18" s="26">
        <f t="shared" ca="1" si="19"/>
        <v>36820.743434125805</v>
      </c>
      <c r="BC18" s="18" t="str">
        <f t="shared" ca="1" si="20"/>
        <v>$0.04M</v>
      </c>
      <c r="BD18" s="27"/>
      <c r="BQ18" s="8"/>
      <c r="BR18" s="8">
        <v>3</v>
      </c>
      <c r="BS18" s="8">
        <v>68</v>
      </c>
      <c r="BT18" s="15">
        <f ca="1">IF(BS18&lt;'Lifestyle Strategy'!$M$14, 0,
   'Lifestyle Strategy'!$M$15 *
   (1 + 'Lifestyle Strategy'!$M$16)^(BS18-'Lifestyle Strategy'!$M$14) *
   (1 + IF(RAND() &lt; (0.08 - 0.06) / (0.1 - 0.06),
             0.06 + SQRT(RAND() * (0.08 - 0.06) * (0.1 - 0.06)),
             0.1 - SQRT((1 - RAND()) * (0.1 - 0.08) * (0.1 - 0.06))
         ))^INT((BS18-'Lifestyle Strategy'!$M$14)/5)
)</f>
        <v>151089.95171721402</v>
      </c>
      <c r="BU18" s="139">
        <f t="shared" ca="1" si="29"/>
        <v>2.9952947761625177E-2</v>
      </c>
      <c r="BV18" s="15">
        <f>'Lifestyle Strategy'!$M$22*(1+'Lifestyle Strategy'!$M$16)^('Lifestyle Strategy'!$M$23 + BR18-1)</f>
        <v>57347.020068049402</v>
      </c>
      <c r="BW18" s="15">
        <f t="shared" ca="1" si="30"/>
        <v>93742.931649164617</v>
      </c>
      <c r="BX18" s="139">
        <f t="shared" ca="1" si="31"/>
        <v>1.8584142113992876E-2</v>
      </c>
      <c r="BY18" s="140">
        <f ca="1">IFERROR(_xlfn.NORM.INV(RAND(),'Lifestyle Strategy'!$M$27,'Lifestyle Strategy'!$M$28),0)</f>
        <v>4.4113463122356908E-2</v>
      </c>
      <c r="BZ18" s="15">
        <f t="shared" ref="BZ18:BZ35" ca="1" si="32">CA17*BY18</f>
        <v>217078.28484144769</v>
      </c>
      <c r="CA18" s="15">
        <f t="shared" ref="CA18:CA35" ca="1" si="33">(CA17+BZ18)-BW18</f>
        <v>5044243.1549520465</v>
      </c>
      <c r="CB18" s="15">
        <f ca="1">IF('Post-Retirement_Cal'!$K18&lt;0, ABS('Post-Retirement_Cal'!$K18),0)</f>
        <v>0</v>
      </c>
    </row>
    <row r="19" spans="1:80" x14ac:dyDescent="0.2">
      <c r="A19" s="8"/>
      <c r="B19" s="8">
        <v>6</v>
      </c>
      <c r="C19" s="8">
        <v>36</v>
      </c>
      <c r="D19" s="15">
        <f t="shared" ca="1" si="21"/>
        <v>85475.278247709721</v>
      </c>
      <c r="E19" s="15">
        <f t="shared" ca="1" si="28"/>
        <v>3141.040392155046</v>
      </c>
      <c r="F19" s="16">
        <f t="shared" ca="1" si="22"/>
        <v>3.8149869045555708E-2</v>
      </c>
      <c r="G19" s="15">
        <f ca="1">'Tax rate cal'!C16</f>
        <v>17831.279321744209</v>
      </c>
      <c r="H19" s="15">
        <f t="shared" ca="1" si="9"/>
        <v>1427.4371467367523</v>
      </c>
      <c r="I19" s="15">
        <f t="shared" ca="1" si="10"/>
        <v>66216.561779228767</v>
      </c>
      <c r="J19" s="16">
        <f t="shared" ca="1" si="11"/>
        <v>0.06</v>
      </c>
      <c r="K19" s="16">
        <v>0.03</v>
      </c>
      <c r="L19" s="17">
        <f ca="1">IF(O19 = 0,0,'Lifestyle Strategy'!$Q$9)</f>
        <v>0</v>
      </c>
      <c r="M19" s="15">
        <f t="shared" ca="1" si="3"/>
        <v>3972.9937067537257</v>
      </c>
      <c r="N19" s="15">
        <f t="shared" ca="1" si="4"/>
        <v>1986.4968533768629</v>
      </c>
      <c r="O19" s="15">
        <f ca="1">IF(AND('Lifestyle Strategy'!$Q$2="Yes", B19 &gt;='Lifestyle Strategy'!$Q$3),
     I19 * 'Lifestyle Strategy'!$Q$9,
     0
)</f>
        <v>0</v>
      </c>
      <c r="P19" s="8">
        <f t="shared" si="5"/>
        <v>0</v>
      </c>
      <c r="Q19" s="15">
        <f t="shared" ca="1" si="12"/>
        <v>5959.4905601305891</v>
      </c>
      <c r="R19" s="15">
        <f ca="1">IF(B19&lt;=5, Q19*'Fund Allocation Strategy'!$B$2,
 IF(B19&lt;=10, Q19*'Fund Allocation Strategy'!$B$3,
 IF(B19&lt;=15, Q19*'Fund Allocation Strategy'!$B$4,
 IF(B19&lt;=20, Q19*'Fund Allocation Strategy'!$B$5,
 IF(B19&lt;=25, Q19*'Fund Allocation Strategy'!$B$6,
 IF(B19&lt;=30, Q19*'Fund Allocation Strategy'!$B$7,
 Q19*'Fund Allocation Strategy'!$B$8))))))</f>
        <v>595.94905601305891</v>
      </c>
      <c r="S19" s="17">
        <f ca="1">_xlfn.NORM.INV(RAND(),'Fund Allocation Strategy'!$B$11,'Fund Allocation Strategy'!$C$11)</f>
        <v>3.6709625659570047E-2</v>
      </c>
      <c r="T19" s="15">
        <f t="shared" ca="1" si="13"/>
        <v>62.078905334730592</v>
      </c>
      <c r="U19" s="15">
        <f t="shared" ca="1" si="14"/>
        <v>2051.1332038195756</v>
      </c>
      <c r="V19" s="15">
        <f ca="1">IF(B19&lt;=5, Q19*'Fund Allocation Strategy'!$C$2,
 IF(B19&lt;=10, Q19*'Fund Allocation Strategy'!$C$3,
 IF(B19&lt;=15, Q19*'Fund Allocation Strategy'!$C$4,
 IF(B19&lt;=20, Q19*'Fund Allocation Strategy'!$C$5,
 IF(B19&lt;=25, Q19*'Fund Allocation Strategy'!$C$6,
 IF(B19&lt;=30, Q19*'Fund Allocation Strategy'!$C$7,
 Q19*'Fund Allocation Strategy'!$C$8))))))</f>
        <v>744.93632001632363</v>
      </c>
      <c r="W19" s="16">
        <f ca="1">_xlfn.NORM.INV(RAND(),'Fund Allocation Strategy'!$B$12,'Fund Allocation Strategy'!$C$12)</f>
        <v>7.0584418713925082E-2</v>
      </c>
      <c r="X19" s="15">
        <f t="shared" ca="1" si="23"/>
        <v>133.99119855224171</v>
      </c>
      <c r="Y19" s="15">
        <f t="shared" ca="1" si="24"/>
        <v>2404.7706430281692</v>
      </c>
      <c r="Z19" s="15">
        <f ca="1">IF(B19&lt;=5, Q19*'Fund Allocation Strategy'!$D$2,
 IF(B19&lt;=10, Q19*'Fund Allocation Strategy'!$D$3,
 IF(B19&lt;=15, Q19*'Fund Allocation Strategy'!$D$4,
 IF(B19&lt;=20, Q19*'Fund Allocation Strategy'!$D$5,
 IF(B19&lt;=25, Q19*'Fund Allocation Strategy'!$D$6,
 IF(B19&lt;=30, Q19*'Fund Allocation Strategy'!$D$7,
 Q19*'Fund Allocation Strategy'!$D$8))))))</f>
        <v>2383.7962240522356</v>
      </c>
      <c r="AA19" s="16">
        <f ca="1">_xlfn.NORM.INV(RAND(),'Fund Allocation Strategy'!$B$13,'Fund Allocation Strategy'!$C$13)</f>
        <v>0.10544129930156318</v>
      </c>
      <c r="AB19" s="15">
        <f t="shared" ca="1" si="25"/>
        <v>1716.2575050853616</v>
      </c>
      <c r="AC19" s="15">
        <f t="shared" ca="1" si="26"/>
        <v>19185.055811378319</v>
      </c>
      <c r="AD19" s="15">
        <f ca="1">IF(B19&lt;=5, Q19*'Fund Allocation Strategy'!$E$2,
 IF(B19&lt;=10, Q19*'Fund Allocation Strategy'!$E$3,
 IF(B19&lt;=15, Q19*'Fund Allocation Strategy'!$E$4,
 IF(B19&lt;=20, Q19*'Fund Allocation Strategy'!$E$5,
 IF(B19&lt;=25, Q19*'Fund Allocation Strategy'!$E$6,
 IF(B19&lt;=30, Q19*'Fund Allocation Strategy'!$E$7,
 Q19*'Fund Allocation Strategy'!$E$8))))))</f>
        <v>1489.8726400326473</v>
      </c>
      <c r="AE19" s="16">
        <f ca="1">_xlfn.NORM.INV(RAND(), 'Fund Allocation Strategy'!$B$14, 'Fund Allocation Strategy'!$C$14) + _xlfn.NORM.INV(RAND(), 'Fund Allocation Strategy'!$D$14,'Fund Allocation Strategy'!$E$14)</f>
        <v>0.18814094847348259</v>
      </c>
      <c r="AF19" s="15">
        <f t="shared" ca="1" si="15"/>
        <v>2882.6490265414277</v>
      </c>
      <c r="AG19" s="15">
        <f ca="1">IF(B19&lt;=5, Q19*'Fund Allocation Strategy'!$F$2,
 IF(B19&lt;=10, Q19*'Fund Allocation Strategy'!$F$3,
 IF(B19&lt;=15, Q19*'Fund Allocation Strategy'!$F$4,
 IF(B19&lt;=20, Q19*'Fund Allocation Strategy'!$F$5,
 IF(B19&lt;=25, Q19*'Fund Allocation Strategy'!$F$6,
 IF(B19&lt;=30, Q19*'Fund Allocation Strategy'!$F$7,
 Q19*'Fund Allocation Strategy'!$F$8))))))</f>
        <v>744.93632001632363</v>
      </c>
      <c r="AH19" s="16">
        <f ca="1">_xlfn.NORM.INV(RAND(),'Fund Allocation Strategy'!$B$15,'Fund Allocation Strategy'!$C$15)</f>
        <v>0.21125879894634308</v>
      </c>
      <c r="AI19" s="15">
        <f t="shared" ca="1" si="27"/>
        <v>100.03490288958911</v>
      </c>
      <c r="AJ19" s="15">
        <f t="shared" ca="1" si="16"/>
        <v>5084.9481399436327</v>
      </c>
      <c r="AK19" s="15">
        <f t="shared" ca="1" si="6"/>
        <v>0</v>
      </c>
      <c r="AL19" s="17">
        <f t="shared" ca="1" si="7"/>
        <v>0</v>
      </c>
      <c r="AM19" s="15">
        <f t="shared" ca="1" si="17"/>
        <v>18949.33773449004</v>
      </c>
      <c r="AN19" s="15">
        <f t="shared" ca="1" si="18"/>
        <v>18949.33773449004</v>
      </c>
      <c r="AO19" s="15">
        <f ca="1">IF(AV19 = 0, I19 * (
    'Lifestyle Strategy'!$B$2 +
    ('Lifestyle Strategy'!$C$2 - 'Lifestyle Strategy'!$B$2) *
    _xlfn.BETA.INV(RAND(), 'Lifestyle Strategy'!$F$2, 'Lifestyle Strategy'!$G$2)
),IF(AV19 = "", "",0))</f>
        <v>0</v>
      </c>
      <c r="AP19" s="15">
        <f ca="1" xml:space="preserve"> I19 * (
    'Lifestyle Strategy'!$B$3 +
    ('Lifestyle Strategy'!$C$3 - 'Lifestyle Strategy'!$B$3) *
    _xlfn.BETA.INV(RAND(), 'Lifestyle Strategy'!$F$3, 'Lifestyle Strategy'!$G$3)
) * IF(MOD(B19,5)=0, 1 + 'Lifestyle Strategy'!$M$4, 1 + 0.025)</f>
        <v>7325.2227810225613</v>
      </c>
      <c r="AQ19" s="15">
        <f ca="1" xml:space="preserve"> I19 * (
    'Lifestyle Strategy'!$B$4 +
    ('Lifestyle Strategy'!$C$4 - 'Lifestyle Strategy'!$B$4) *
    _xlfn.BETA.INV(RAND(), 'Lifestyle Strategy'!$F$4, 'Lifestyle Strategy'!$G$4)
) * IF(MOD(B19,5)=0, 1 + 'Lifestyle Strategy'!$M$4, 1 + 0.025)</f>
        <v>4971.6272536072092</v>
      </c>
      <c r="AR19" s="15">
        <f ca="1" xml:space="preserve"> I19 * (
    'Lifestyle Strategy'!$B$5 +
    ('Lifestyle Strategy'!$C$5 - 'Lifestyle Strategy'!$B$5) *
    _xlfn.BETA.INV(RAND(), 'Lifestyle Strategy'!$F$5, 'Lifestyle Strategy'!$G$5)
) * IF(MOD(B19,5)=0, 1 + 'Lifestyle Strategy'!$M$4, 1 + 0.025)</f>
        <v>3492.0943103541626</v>
      </c>
      <c r="AS19" s="15">
        <f ca="1" xml:space="preserve"> I19 * (
    'Lifestyle Strategy'!$B$6 +
    ('Lifestyle Strategy'!$C$6 - 'Lifestyle Strategy'!$B$6) *
    _xlfn.BETA.INV(RAND(), 'Lifestyle Strategy'!$F$6, 'Lifestyle Strategy'!$G$6)
) * IF(MOD(B19,5)=0, 1 + 'Lifestyle Strategy'!$M$4, 1 + 0.025)</f>
        <v>3233.5166518370256</v>
      </c>
      <c r="AT19" s="15">
        <f ca="1" xml:space="preserve"> I19 * (
    'Lifestyle Strategy'!$B$7 +
    ('Lifestyle Strategy'!$C$7 - 'Lifestyle Strategy'!$B$7) *
    _xlfn.BETA.INV(RAND(), 'Lifestyle Strategy'!$F$7, 'Lifestyle Strategy'!$G$7)
) * IF(MOD(B19,5)=0, 1 + 'Lifestyle Strategy'!$M$4, 1 + 0.025)</f>
        <v>6096.6182908729324</v>
      </c>
      <c r="AU19" s="15">
        <f ca="1" xml:space="preserve"> I19 * (
    'Lifestyle Strategy'!$B$8 +
    ('Lifestyle Strategy'!$C$8 - 'Lifestyle Strategy'!$B$8) *
    _xlfn.BETA.INV(RAND(), 'Lifestyle Strategy'!$F$8, 'Lifestyle Strategy'!$G$8)
) * IF(MOD(B19,5)=0, 1 + 'Lifestyle Strategy'!$M$4, 1 + 0.025)</f>
        <v>4230.3432505337614</v>
      </c>
      <c r="AV19" s="15">
        <f ca="1">IF('Lifestyle Strategy'!$B$14 = "Yes",
   IF(AND(B19&gt;='Lifestyle Strategy'!$B$15, B19&lt;'Lifestyle Strategy'!$B$16),
      'Lifestyle Strategy'!$B$25,
      IF(B19&gt;='Lifestyle Strategy'!$B$16, "",
         0)
   ),
   0
)</f>
        <v>17163.199985889616</v>
      </c>
      <c r="AW19" s="15">
        <f ca="1">IF('Lifestyle Strategy'!$Q$4="No", 0,
   IF(AND(B19&gt;='Lifestyle Strategy'!$Q$5, B19&lt;'Lifestyle Strategy'!$Q$6),
      'Lifestyle Strategy'!$Q$8 * (1.025^(B19-'Lifestyle Strategy'!$Q$5)) * (1.12^INT((B19-'Lifestyle Strategy'!$Q$5)/5)),
      0
   )
)</f>
        <v>0</v>
      </c>
      <c r="AX19" s="15">
        <f t="shared" ca="1" si="8"/>
        <v>46512.622524117265</v>
      </c>
      <c r="AY19" s="15">
        <f ca="1">IF(B19='Lifestyle Strategy'!$Q$10, MIN(AN19, 'Lifestyle Strategy'!$Q$11), 0)</f>
        <v>0</v>
      </c>
      <c r="AZ19" s="15">
        <f ca="1">IF(B19='Lifestyle Strategy'!$Q$10, 'Lifestyle Strategy'!$Q$11, 0)</f>
        <v>0</v>
      </c>
      <c r="BA19" s="15">
        <f ca="1">IF(B19='Lifestyle Strategy'!$Q$10, MAX(AZ19 - AY19, 0), 0)</f>
        <v>0</v>
      </c>
      <c r="BB19" s="26">
        <f t="shared" ca="1" si="19"/>
        <v>47675.245532659741</v>
      </c>
      <c r="BC19" s="18" t="str">
        <f t="shared" ca="1" si="20"/>
        <v>$0.05M</v>
      </c>
      <c r="BD19" s="27"/>
      <c r="BQ19" s="8"/>
      <c r="BR19" s="8">
        <v>4</v>
      </c>
      <c r="BS19" s="8">
        <v>69</v>
      </c>
      <c r="BT19" s="15">
        <f ca="1">IF(BS19&lt;'Lifestyle Strategy'!$M$14, 0,
   'Lifestyle Strategy'!$M$15 *
   (1 + 'Lifestyle Strategy'!$M$16)^(BS19-'Lifestyle Strategy'!$M$14) *
   (1 + IF(RAND() &lt; (0.08 - 0.06) / (0.1 - 0.06),
             0.06 + SQRT(RAND() * (0.08 - 0.06) * (0.1 - 0.06)),
             0.1 - SQRT((1 - RAND()) * (0.1 - 0.08) * (0.1 - 0.06))
         ))^INT((BS19-'Lifestyle Strategy'!$M$14)/5)
)</f>
        <v>154867.20051014435</v>
      </c>
      <c r="BU19" s="139">
        <f t="shared" ca="1" si="29"/>
        <v>2.9810998522750713E-2</v>
      </c>
      <c r="BV19" s="15">
        <f>'Lifestyle Strategy'!$M$22*(1+'Lifestyle Strategy'!$M$16)^('Lifestyle Strategy'!$M$23 + BR19-1)</f>
        <v>58780.69556975062</v>
      </c>
      <c r="BW19" s="15">
        <f t="shared" ca="1" si="30"/>
        <v>96086.50494039373</v>
      </c>
      <c r="BX19" s="139">
        <f t="shared" ca="1" si="31"/>
        <v>1.8496070487480181E-2</v>
      </c>
      <c r="BY19" s="140">
        <f ca="1">IFERROR(_xlfn.NORM.INV(RAND(),'Lifestyle Strategy'!$M$27,'Lifestyle Strategy'!$M$28),0)</f>
        <v>4.8929426524791111E-2</v>
      </c>
      <c r="BZ19" s="15">
        <f t="shared" ca="1" si="32"/>
        <v>246811.92482340668</v>
      </c>
      <c r="CA19" s="15">
        <f t="shared" ca="1" si="33"/>
        <v>5194968.5748350602</v>
      </c>
      <c r="CB19" s="15">
        <f ca="1">IF('Post-Retirement_Cal'!$K19&lt;0, ABS('Post-Retirement_Cal'!$K19),0)</f>
        <v>0</v>
      </c>
    </row>
    <row r="20" spans="1:80" x14ac:dyDescent="0.2">
      <c r="A20" s="8"/>
      <c r="B20" s="8">
        <v>7</v>
      </c>
      <c r="C20" s="8">
        <v>37</v>
      </c>
      <c r="D20" s="15">
        <f t="shared" ca="1" si="21"/>
        <v>89433.648375114091</v>
      </c>
      <c r="E20" s="15">
        <f t="shared" ca="1" si="28"/>
        <v>3958.3701274043706</v>
      </c>
      <c r="F20" s="16">
        <f t="shared" ca="1" si="22"/>
        <v>4.6310116896407225E-2</v>
      </c>
      <c r="G20" s="15">
        <f ca="1">'Tax rate cal'!C17</f>
        <v>19137.541463787649</v>
      </c>
      <c r="H20" s="15">
        <f t="shared" ca="1" si="9"/>
        <v>1493.5419278644054</v>
      </c>
      <c r="I20" s="15">
        <f t="shared" ca="1" si="10"/>
        <v>68802.564983462027</v>
      </c>
      <c r="J20" s="16">
        <f t="shared" ca="1" si="11"/>
        <v>0.06</v>
      </c>
      <c r="K20" s="16">
        <v>0.03</v>
      </c>
      <c r="L20" s="17">
        <f ca="1">IF(O20 = 0,0,'Lifestyle Strategy'!$Q$9)</f>
        <v>0</v>
      </c>
      <c r="M20" s="15">
        <f t="shared" ca="1" si="3"/>
        <v>4128.1538990077215</v>
      </c>
      <c r="N20" s="15">
        <f t="shared" ca="1" si="4"/>
        <v>2064.0769495038608</v>
      </c>
      <c r="O20" s="15">
        <f ca="1">IF(AND('Lifestyle Strategy'!$Q$2="Yes", B20 &gt;='Lifestyle Strategy'!$Q$3),
     I20 * 'Lifestyle Strategy'!$Q$9,
     0
)</f>
        <v>0</v>
      </c>
      <c r="P20" s="8">
        <f t="shared" si="5"/>
        <v>0</v>
      </c>
      <c r="Q20" s="15">
        <f t="shared" ca="1" si="12"/>
        <v>6192.2308485115827</v>
      </c>
      <c r="R20" s="15">
        <f ca="1">IF(B20&lt;=5, Q20*'Fund Allocation Strategy'!$B$2,
 IF(B20&lt;=10, Q20*'Fund Allocation Strategy'!$B$3,
 IF(B20&lt;=15, Q20*'Fund Allocation Strategy'!$B$4,
 IF(B20&lt;=20, Q20*'Fund Allocation Strategy'!$B$5,
 IF(B20&lt;=25, Q20*'Fund Allocation Strategy'!$B$6,
 IF(B20&lt;=30, Q20*'Fund Allocation Strategy'!$B$7,
 Q20*'Fund Allocation Strategy'!$B$8))))))</f>
        <v>619.22308485115832</v>
      </c>
      <c r="S20" s="17">
        <f ca="1">_xlfn.NORM.INV(RAND(),'Fund Allocation Strategy'!$B$11,'Fund Allocation Strategy'!$C$11)</f>
        <v>3.7891515339813595E-2</v>
      </c>
      <c r="T20" s="15">
        <f t="shared" ca="1" si="13"/>
        <v>89.45219576573264</v>
      </c>
      <c r="U20" s="15">
        <f t="shared" ca="1" si="14"/>
        <v>2759.8084844364666</v>
      </c>
      <c r="V20" s="15">
        <f ca="1">IF(B20&lt;=5, Q20*'Fund Allocation Strategy'!$C$2,
 IF(B20&lt;=10, Q20*'Fund Allocation Strategy'!$C$3,
 IF(B20&lt;=15, Q20*'Fund Allocation Strategy'!$C$4,
 IF(B20&lt;=20, Q20*'Fund Allocation Strategy'!$C$5,
 IF(B20&lt;=25, Q20*'Fund Allocation Strategy'!$C$6,
 IF(B20&lt;=30, Q20*'Fund Allocation Strategy'!$C$7,
 Q20*'Fund Allocation Strategy'!$C$8))))))</f>
        <v>774.02885606394784</v>
      </c>
      <c r="W20" s="16">
        <f ca="1">_xlfn.NORM.INV(RAND(),'Fund Allocation Strategy'!$B$12,'Fund Allocation Strategy'!$C$12)</f>
        <v>6.8615264327443845E-2</v>
      </c>
      <c r="X20" s="15">
        <f t="shared" ca="1" si="23"/>
        <v>191.55907059620333</v>
      </c>
      <c r="Y20" s="15">
        <f t="shared" ca="1" si="24"/>
        <v>3370.3585696883201</v>
      </c>
      <c r="Z20" s="15">
        <f ca="1">IF(B20&lt;=5, Q20*'Fund Allocation Strategy'!$D$2,
 IF(B20&lt;=10, Q20*'Fund Allocation Strategy'!$D$3,
 IF(B20&lt;=15, Q20*'Fund Allocation Strategy'!$D$4,
 IF(B20&lt;=20, Q20*'Fund Allocation Strategy'!$D$5,
 IF(B20&lt;=25, Q20*'Fund Allocation Strategy'!$D$6,
 IF(B20&lt;=30, Q20*'Fund Allocation Strategy'!$D$7,
 Q20*'Fund Allocation Strategy'!$D$8))))))</f>
        <v>2476.8923394046333</v>
      </c>
      <c r="AA20" s="16">
        <f ca="1">_xlfn.NORM.INV(RAND(),'Fund Allocation Strategy'!$B$13,'Fund Allocation Strategy'!$C$13)</f>
        <v>0.10079414704435266</v>
      </c>
      <c r="AB20" s="15">
        <f t="shared" ca="1" si="25"/>
        <v>2058.5694618416696</v>
      </c>
      <c r="AC20" s="15">
        <f t="shared" ca="1" si="26"/>
        <v>23720.517612624622</v>
      </c>
      <c r="AD20" s="15">
        <f ca="1">IF(B20&lt;=5, Q20*'Fund Allocation Strategy'!$E$2,
 IF(B20&lt;=10, Q20*'Fund Allocation Strategy'!$E$3,
 IF(B20&lt;=15, Q20*'Fund Allocation Strategy'!$E$4,
 IF(B20&lt;=20, Q20*'Fund Allocation Strategy'!$E$5,
 IF(B20&lt;=25, Q20*'Fund Allocation Strategy'!$E$6,
 IF(B20&lt;=30, Q20*'Fund Allocation Strategy'!$E$7,
 Q20*'Fund Allocation Strategy'!$E$8))))))</f>
        <v>1548.0577121278957</v>
      </c>
      <c r="AE20" s="16">
        <f ca="1">_xlfn.NORM.INV(RAND(), 'Fund Allocation Strategy'!$B$14, 'Fund Allocation Strategy'!$C$14) + _xlfn.NORM.INV(RAND(), 'Fund Allocation Strategy'!$D$14,'Fund Allocation Strategy'!$E$14)</f>
        <v>3.1419889196112771E-2</v>
      </c>
      <c r="AF20" s="15">
        <f t="shared" ca="1" si="15"/>
        <v>619.70599284951891</v>
      </c>
      <c r="AG20" s="15">
        <f ca="1">IF(B20&lt;=5, Q20*'Fund Allocation Strategy'!$F$2,
 IF(B20&lt;=10, Q20*'Fund Allocation Strategy'!$F$3,
 IF(B20&lt;=15, Q20*'Fund Allocation Strategy'!$F$4,
 IF(B20&lt;=20, Q20*'Fund Allocation Strategy'!$F$5,
 IF(B20&lt;=25, Q20*'Fund Allocation Strategy'!$F$6,
 IF(B20&lt;=30, Q20*'Fund Allocation Strategy'!$F$7,
 Q20*'Fund Allocation Strategy'!$F$8))))))</f>
        <v>774.02885606394784</v>
      </c>
      <c r="AH20" s="16">
        <f ca="1">_xlfn.NORM.INV(RAND(),'Fund Allocation Strategy'!$B$15,'Fund Allocation Strategy'!$C$15)</f>
        <v>0.20247356739502329</v>
      </c>
      <c r="AI20" s="15">
        <f t="shared" ca="1" si="27"/>
        <v>98.614615529048095</v>
      </c>
      <c r="AJ20" s="15">
        <f t="shared" ca="1" si="16"/>
        <v>5957.591611536629</v>
      </c>
      <c r="AK20" s="15">
        <f t="shared" ca="1" si="6"/>
        <v>0</v>
      </c>
      <c r="AL20" s="17">
        <f t="shared" ca="1" si="7"/>
        <v>0</v>
      </c>
      <c r="AM20" s="15">
        <f t="shared" ca="1" si="17"/>
        <v>21117.101439467453</v>
      </c>
      <c r="AN20" s="15">
        <f t="shared" ca="1" si="18"/>
        <v>21117.101439467453</v>
      </c>
      <c r="AO20" s="15">
        <f ca="1">IF(AV20 = 0, I20 * (
    'Lifestyle Strategy'!$B$2 +
    ('Lifestyle Strategy'!$C$2 - 'Lifestyle Strategy'!$B$2) *
    _xlfn.BETA.INV(RAND(), 'Lifestyle Strategy'!$F$2, 'Lifestyle Strategy'!$G$2)
),IF(AV20 = "", "",0))</f>
        <v>0</v>
      </c>
      <c r="AP20" s="15">
        <f ca="1" xml:space="preserve"> I20 * (
    'Lifestyle Strategy'!$B$3 +
    ('Lifestyle Strategy'!$C$3 - 'Lifestyle Strategy'!$B$3) *
    _xlfn.BETA.INV(RAND(), 'Lifestyle Strategy'!$F$3, 'Lifestyle Strategy'!$G$3)
) * IF(MOD(B20,5)=0, 1 + 'Lifestyle Strategy'!$M$4, 1 + 0.025)</f>
        <v>8863.4336725326611</v>
      </c>
      <c r="AQ20" s="15">
        <f ca="1" xml:space="preserve"> I20 * (
    'Lifestyle Strategy'!$B$4 +
    ('Lifestyle Strategy'!$C$4 - 'Lifestyle Strategy'!$B$4) *
    _xlfn.BETA.INV(RAND(), 'Lifestyle Strategy'!$F$4, 'Lifestyle Strategy'!$G$4)
) * IF(MOD(B20,5)=0, 1 + 'Lifestyle Strategy'!$M$4, 1 + 0.025)</f>
        <v>4854.9966392884999</v>
      </c>
      <c r="AR20" s="15">
        <f ca="1" xml:space="preserve"> I20 * (
    'Lifestyle Strategy'!$B$5 +
    ('Lifestyle Strategy'!$C$5 - 'Lifestyle Strategy'!$B$5) *
    _xlfn.BETA.INV(RAND(), 'Lifestyle Strategy'!$F$5, 'Lifestyle Strategy'!$G$5)
) * IF(MOD(B20,5)=0, 1 + 'Lifestyle Strategy'!$M$4, 1 + 0.025)</f>
        <v>3472.2914188841528</v>
      </c>
      <c r="AS20" s="15">
        <f ca="1" xml:space="preserve"> I20 * (
    'Lifestyle Strategy'!$B$6 +
    ('Lifestyle Strategy'!$C$6 - 'Lifestyle Strategy'!$B$6) *
    _xlfn.BETA.INV(RAND(), 'Lifestyle Strategy'!$F$6, 'Lifestyle Strategy'!$G$6)
) * IF(MOD(B20,5)=0, 1 + 'Lifestyle Strategy'!$M$4, 1 + 0.025)</f>
        <v>3908.8021867527236</v>
      </c>
      <c r="AT20" s="15">
        <f ca="1" xml:space="preserve"> I20 * (
    'Lifestyle Strategy'!$B$7 +
    ('Lifestyle Strategy'!$C$7 - 'Lifestyle Strategy'!$B$7) *
    _xlfn.BETA.INV(RAND(), 'Lifestyle Strategy'!$F$7, 'Lifestyle Strategy'!$G$7)
) * IF(MOD(B20,5)=0, 1 + 'Lifestyle Strategy'!$M$4, 1 + 0.025)</f>
        <v>7707.797006809833</v>
      </c>
      <c r="AU20" s="15">
        <f ca="1" xml:space="preserve"> I20 * (
    'Lifestyle Strategy'!$B$8 +
    ('Lifestyle Strategy'!$C$8 - 'Lifestyle Strategy'!$B$8) *
    _xlfn.BETA.INV(RAND(), 'Lifestyle Strategy'!$F$8, 'Lifestyle Strategy'!$G$8)
) * IF(MOD(B20,5)=0, 1 + 'Lifestyle Strategy'!$M$4, 1 + 0.025)</f>
        <v>3200.2232740023819</v>
      </c>
      <c r="AV20" s="15">
        <f ca="1">IF('Lifestyle Strategy'!$B$14 = "Yes",
   IF(AND(B20&gt;='Lifestyle Strategy'!$B$15, B20&lt;'Lifestyle Strategy'!$B$16),
      'Lifestyle Strategy'!$B$25,
      IF(B20&gt;='Lifestyle Strategy'!$B$16, "",
         0)
   ),
   0
)</f>
        <v>17163.199985889616</v>
      </c>
      <c r="AW20" s="15">
        <f ca="1">IF('Lifestyle Strategy'!$Q$4="No", 0,
   IF(AND(B20&gt;='Lifestyle Strategy'!$Q$5, B20&lt;'Lifestyle Strategy'!$Q$6),
      'Lifestyle Strategy'!$Q$8 * (1.025^(B20-'Lifestyle Strategy'!$Q$5)) * (1.12^INT((B20-'Lifestyle Strategy'!$Q$5)/5)),
      0
   )
)</f>
        <v>0</v>
      </c>
      <c r="AX20" s="15">
        <f t="shared" ca="1" si="8"/>
        <v>49170.74418415987</v>
      </c>
      <c r="AY20" s="15">
        <f ca="1">IF(B20='Lifestyle Strategy'!$Q$10, MIN(AN20, 'Lifestyle Strategy'!$Q$11), 0)</f>
        <v>0</v>
      </c>
      <c r="AZ20" s="15">
        <f ca="1">IF(B20='Lifestyle Strategy'!$Q$10, 'Lifestyle Strategy'!$Q$11, 0)</f>
        <v>0</v>
      </c>
      <c r="BA20" s="15">
        <f ca="1">IF(B20='Lifestyle Strategy'!$Q$10, MAX(AZ20 - AY20, 0), 0)</f>
        <v>0</v>
      </c>
      <c r="BB20" s="26">
        <f t="shared" ca="1" si="19"/>
        <v>56925.377717753494</v>
      </c>
      <c r="BC20" s="18" t="str">
        <f t="shared" ca="1" si="20"/>
        <v>$0.06M</v>
      </c>
      <c r="BD20" s="27"/>
      <c r="BQ20" s="8"/>
      <c r="BR20" s="8">
        <v>5</v>
      </c>
      <c r="BS20" s="8">
        <v>70</v>
      </c>
      <c r="BT20" s="15">
        <f ca="1">IF(BS20&lt;'Lifestyle Strategy'!$M$14, 0,
   'Lifestyle Strategy'!$M$15 *
   (1 + 'Lifestyle Strategy'!$M$16)^(BS20-'Lifestyle Strategy'!$M$14) *
   (1 + IF(RAND() &lt; (0.08 - 0.06) / (0.1 - 0.06),
             0.06 + SQRT(RAND() * (0.08 - 0.06) * (0.1 - 0.06)),
             0.1 - SQRT((1 - RAND()) * (0.1 - 0.08) * (0.1 - 0.06))
         ))^INT((BS20-'Lifestyle Strategy'!$M$14)/5)
)</f>
        <v>158738.88052289793</v>
      </c>
      <c r="BU20" s="139">
        <f t="shared" ca="1" si="29"/>
        <v>3.0827979452103253E-2</v>
      </c>
      <c r="BV20" s="15">
        <f>'Lifestyle Strategy'!$M$22*(1+'Lifestyle Strategy'!$M$16)^('Lifestyle Strategy'!$M$23 + BR20-1)</f>
        <v>60250.212958994394</v>
      </c>
      <c r="BW20" s="15">
        <f t="shared" ca="1" si="30"/>
        <v>98488.667563903538</v>
      </c>
      <c r="BX20" s="139">
        <f t="shared" ca="1" si="31"/>
        <v>1.9127050725843291E-2</v>
      </c>
      <c r="BY20" s="140">
        <f ca="1">IFERROR(_xlfn.NORM.INV(RAND(),'Lifestyle Strategy'!$M$27,'Lifestyle Strategy'!$M$28),0)</f>
        <v>1.0144856465800309E-2</v>
      </c>
      <c r="BZ20" s="15">
        <f t="shared" ca="1" si="32"/>
        <v>52702.210536044877</v>
      </c>
      <c r="CA20" s="15">
        <f t="shared" ca="1" si="33"/>
        <v>5149182.117807202</v>
      </c>
      <c r="CB20" s="15">
        <f ca="1">IF('Post-Retirement_Cal'!$K20&lt;0, ABS('Post-Retirement_Cal'!$K20),0)</f>
        <v>0</v>
      </c>
    </row>
    <row r="21" spans="1:80" x14ac:dyDescent="0.2">
      <c r="A21" s="8"/>
      <c r="B21" s="8">
        <v>8</v>
      </c>
      <c r="C21" s="8">
        <v>38</v>
      </c>
      <c r="D21" s="15">
        <f t="shared" ca="1" si="21"/>
        <v>93173.733982614765</v>
      </c>
      <c r="E21" s="15">
        <f t="shared" ca="1" si="28"/>
        <v>3740.0856075006741</v>
      </c>
      <c r="F21" s="16">
        <f t="shared" ca="1" si="22"/>
        <v>4.1819669391251119E-2</v>
      </c>
      <c r="G21" s="15">
        <f ca="1">'Tax rate cal'!C18</f>
        <v>20371.769714262871</v>
      </c>
      <c r="H21" s="15">
        <f t="shared" ca="1" si="9"/>
        <v>1556.0013575096666</v>
      </c>
      <c r="I21" s="15">
        <f t="shared" ca="1" si="10"/>
        <v>71245.962910842223</v>
      </c>
      <c r="J21" s="16">
        <f t="shared" ca="1" si="11"/>
        <v>7.0000000000000007E-2</v>
      </c>
      <c r="K21" s="16">
        <v>0.03</v>
      </c>
      <c r="L21" s="17">
        <f ca="1">IF(O21 = 0,0,'Lifestyle Strategy'!$Q$9)</f>
        <v>0</v>
      </c>
      <c r="M21" s="15">
        <f t="shared" ca="1" si="3"/>
        <v>4987.2174037589557</v>
      </c>
      <c r="N21" s="15">
        <f t="shared" ca="1" si="4"/>
        <v>2137.3788873252665</v>
      </c>
      <c r="O21" s="15">
        <f ca="1">IF(AND('Lifestyle Strategy'!$Q$2="Yes", B21 &gt;='Lifestyle Strategy'!$Q$3),
     I21 * 'Lifestyle Strategy'!$Q$9,
     0
)</f>
        <v>0</v>
      </c>
      <c r="P21" s="8">
        <f t="shared" si="5"/>
        <v>0</v>
      </c>
      <c r="Q21" s="15">
        <f t="shared" ca="1" si="12"/>
        <v>7124.5962910842227</v>
      </c>
      <c r="R21" s="15">
        <f ca="1">IF(B21&lt;=5, Q21*'Fund Allocation Strategy'!$B$2,
 IF(B21&lt;=10, Q21*'Fund Allocation Strategy'!$B$3,
 IF(B21&lt;=15, Q21*'Fund Allocation Strategy'!$B$4,
 IF(B21&lt;=20, Q21*'Fund Allocation Strategy'!$B$5,
 IF(B21&lt;=25, Q21*'Fund Allocation Strategy'!$B$6,
 IF(B21&lt;=30, Q21*'Fund Allocation Strategy'!$B$7,
 Q21*'Fund Allocation Strategy'!$B$8))))))</f>
        <v>712.45962910842229</v>
      </c>
      <c r="S21" s="17">
        <f ca="1">_xlfn.NORM.INV(RAND(),'Fund Allocation Strategy'!$B$11,'Fund Allocation Strategy'!$C$11)</f>
        <v>3.7513694307734193E-2</v>
      </c>
      <c r="T21" s="15">
        <f t="shared" ca="1" si="13"/>
        <v>116.89410819952832</v>
      </c>
      <c r="U21" s="15">
        <f t="shared" ca="1" si="14"/>
        <v>3589.1622217444174</v>
      </c>
      <c r="V21" s="15">
        <f ca="1">IF(B21&lt;=5, Q21*'Fund Allocation Strategy'!$C$2,
 IF(B21&lt;=10, Q21*'Fund Allocation Strategy'!$C$3,
 IF(B21&lt;=15, Q21*'Fund Allocation Strategy'!$C$4,
 IF(B21&lt;=20, Q21*'Fund Allocation Strategy'!$C$5,
 IF(B21&lt;=25, Q21*'Fund Allocation Strategy'!$C$6,
 IF(B21&lt;=30, Q21*'Fund Allocation Strategy'!$C$7,
 Q21*'Fund Allocation Strategy'!$C$8))))))</f>
        <v>890.57453638552784</v>
      </c>
      <c r="W21" s="16">
        <f ca="1">_xlfn.NORM.INV(RAND(),'Fund Allocation Strategy'!$B$12,'Fund Allocation Strategy'!$C$12)</f>
        <v>7.1159410596241382E-2</v>
      </c>
      <c r="X21" s="15">
        <f t="shared" ca="1" si="23"/>
        <v>271.51910886761954</v>
      </c>
      <c r="Y21" s="15">
        <f t="shared" ca="1" si="24"/>
        <v>4532.452214941467</v>
      </c>
      <c r="Z21" s="15">
        <f ca="1">IF(B21&lt;=5, Q21*'Fund Allocation Strategy'!$D$2,
 IF(B21&lt;=10, Q21*'Fund Allocation Strategy'!$D$3,
 IF(B21&lt;=15, Q21*'Fund Allocation Strategy'!$D$4,
 IF(B21&lt;=20, Q21*'Fund Allocation Strategy'!$D$5,
 IF(B21&lt;=25, Q21*'Fund Allocation Strategy'!$D$6,
 IF(B21&lt;=30, Q21*'Fund Allocation Strategy'!$D$7,
 Q21*'Fund Allocation Strategy'!$D$8))))))</f>
        <v>2849.8385164336892</v>
      </c>
      <c r="AA21" s="16">
        <f ca="1">_xlfn.NORM.INV(RAND(),'Fund Allocation Strategy'!$B$13,'Fund Allocation Strategy'!$C$13)</f>
        <v>0.10255552610823743</v>
      </c>
      <c r="AB21" s="15">
        <f t="shared" ca="1" si="25"/>
        <v>2578.8035075106181</v>
      </c>
      <c r="AC21" s="15">
        <f t="shared" ca="1" si="26"/>
        <v>29149.159636568933</v>
      </c>
      <c r="AD21" s="15">
        <f ca="1">IF(B21&lt;=5, Q21*'Fund Allocation Strategy'!$E$2,
 IF(B21&lt;=10, Q21*'Fund Allocation Strategy'!$E$3,
 IF(B21&lt;=15, Q21*'Fund Allocation Strategy'!$E$4,
 IF(B21&lt;=20, Q21*'Fund Allocation Strategy'!$E$5,
 IF(B21&lt;=25, Q21*'Fund Allocation Strategy'!$E$6,
 IF(B21&lt;=30, Q21*'Fund Allocation Strategy'!$E$7,
 Q21*'Fund Allocation Strategy'!$E$8))))))</f>
        <v>1781.1490727710557</v>
      </c>
      <c r="AE21" s="16">
        <f ca="1">_xlfn.NORM.INV(RAND(), 'Fund Allocation Strategy'!$B$14, 'Fund Allocation Strategy'!$C$14) + _xlfn.NORM.INV(RAND(), 'Fund Allocation Strategy'!$D$14,'Fund Allocation Strategy'!$E$14)</f>
        <v>2.9861960661874354E-2</v>
      </c>
      <c r="AF21" s="15">
        <f t="shared" ca="1" si="15"/>
        <v>657.19235425019895</v>
      </c>
      <c r="AG21" s="15">
        <f ca="1">IF(B21&lt;=5, Q21*'Fund Allocation Strategy'!$F$2,
 IF(B21&lt;=10, Q21*'Fund Allocation Strategy'!$F$3,
 IF(B21&lt;=15, Q21*'Fund Allocation Strategy'!$F$4,
 IF(B21&lt;=20, Q21*'Fund Allocation Strategy'!$F$5,
 IF(B21&lt;=25, Q21*'Fund Allocation Strategy'!$F$6,
 IF(B21&lt;=30, Q21*'Fund Allocation Strategy'!$F$7,
 Q21*'Fund Allocation Strategy'!$F$8))))))</f>
        <v>890.57453638552784</v>
      </c>
      <c r="AH21" s="16">
        <f ca="1">_xlfn.NORM.INV(RAND(),'Fund Allocation Strategy'!$B$15,'Fund Allocation Strategy'!$C$15)</f>
        <v>0.20840602696106969</v>
      </c>
      <c r="AI21" s="15">
        <f t="shared" ca="1" si="27"/>
        <v>113.35243064310455</v>
      </c>
      <c r="AJ21" s="15">
        <f t="shared" ca="1" si="16"/>
        <v>6961.5185785652611</v>
      </c>
      <c r="AK21" s="15">
        <f t="shared" ca="1" si="6"/>
        <v>0</v>
      </c>
      <c r="AL21" s="17">
        <f t="shared" ca="1" si="7"/>
        <v>0</v>
      </c>
      <c r="AM21" s="15">
        <f t="shared" ca="1" si="17"/>
        <v>23555.442866488705</v>
      </c>
      <c r="AN21" s="15">
        <f t="shared" ca="1" si="18"/>
        <v>23555.442866488705</v>
      </c>
      <c r="AO21" s="15">
        <f ca="1">IF(AV21 = 0, I21 * (
    'Lifestyle Strategy'!$B$2 +
    ('Lifestyle Strategy'!$C$2 - 'Lifestyle Strategy'!$B$2) *
    _xlfn.BETA.INV(RAND(), 'Lifestyle Strategy'!$F$2, 'Lifestyle Strategy'!$G$2)
),IF(AV21 = "", "",0))</f>
        <v>0</v>
      </c>
      <c r="AP21" s="15">
        <f ca="1" xml:space="preserve"> I21 * (
    'Lifestyle Strategy'!$B$3 +
    ('Lifestyle Strategy'!$C$3 - 'Lifestyle Strategy'!$B$3) *
    _xlfn.BETA.INV(RAND(), 'Lifestyle Strategy'!$F$3, 'Lifestyle Strategy'!$G$3)
) * IF(MOD(B21,5)=0, 1 + 'Lifestyle Strategy'!$M$4, 1 + 0.025)</f>
        <v>8506.6498924340758</v>
      </c>
      <c r="AQ21" s="15">
        <f ca="1" xml:space="preserve"> I21 * (
    'Lifestyle Strategy'!$B$4 +
    ('Lifestyle Strategy'!$C$4 - 'Lifestyle Strategy'!$B$4) *
    _xlfn.BETA.INV(RAND(), 'Lifestyle Strategy'!$F$4, 'Lifestyle Strategy'!$G$4)
) * IF(MOD(B21,5)=0, 1 + 'Lifestyle Strategy'!$M$4, 1 + 0.025)</f>
        <v>6364.7395254962703</v>
      </c>
      <c r="AR21" s="15">
        <f ca="1" xml:space="preserve"> I21 * (
    'Lifestyle Strategy'!$B$5 +
    ('Lifestyle Strategy'!$C$5 - 'Lifestyle Strategy'!$B$5) *
    _xlfn.BETA.INV(RAND(), 'Lifestyle Strategy'!$F$5, 'Lifestyle Strategy'!$G$5)
) * IF(MOD(B21,5)=0, 1 + 'Lifestyle Strategy'!$M$4, 1 + 0.025)</f>
        <v>3675.0257323461587</v>
      </c>
      <c r="AS21" s="15">
        <f ca="1" xml:space="preserve"> I21 * (
    'Lifestyle Strategy'!$B$6 +
    ('Lifestyle Strategy'!$C$6 - 'Lifestyle Strategy'!$B$6) *
    _xlfn.BETA.INV(RAND(), 'Lifestyle Strategy'!$F$6, 'Lifestyle Strategy'!$G$6)
) * IF(MOD(B21,5)=0, 1 + 'Lifestyle Strategy'!$M$4, 1 + 0.025)</f>
        <v>3916.2116639012061</v>
      </c>
      <c r="AT21" s="15">
        <f ca="1" xml:space="preserve"> I21 * (
    'Lifestyle Strategy'!$B$7 +
    ('Lifestyle Strategy'!$C$7 - 'Lifestyle Strategy'!$B$7) *
    _xlfn.BETA.INV(RAND(), 'Lifestyle Strategy'!$F$7, 'Lifestyle Strategy'!$G$7)
) * IF(MOD(B21,5)=0, 1 + 'Lifestyle Strategy'!$M$4, 1 + 0.025)</f>
        <v>7485.3795988442798</v>
      </c>
      <c r="AU21" s="15">
        <f ca="1" xml:space="preserve"> I21 * (
    'Lifestyle Strategy'!$B$8 +
    ('Lifestyle Strategy'!$C$8 - 'Lifestyle Strategy'!$B$8) *
    _xlfn.BETA.INV(RAND(), 'Lifestyle Strategy'!$F$8, 'Lifestyle Strategy'!$G$8)
) * IF(MOD(B21,5)=0, 1 + 'Lifestyle Strategy'!$M$4, 1 + 0.025)</f>
        <v>2254.6243897182526</v>
      </c>
      <c r="AV21" s="15">
        <f ca="1">IF('Lifestyle Strategy'!$B$14 = "Yes",
   IF(AND(B21&gt;='Lifestyle Strategy'!$B$15, B21&lt;'Lifestyle Strategy'!$B$16),
      'Lifestyle Strategy'!$B$25,
      IF(B21&gt;='Lifestyle Strategy'!$B$16, "",
         0)
   ),
   0
)</f>
        <v>17163.199985889616</v>
      </c>
      <c r="AW21" s="15">
        <f ca="1">IF('Lifestyle Strategy'!$Q$4="No", 0,
   IF(AND(B21&gt;='Lifestyle Strategy'!$Q$5, B21&lt;'Lifestyle Strategy'!$Q$6),
      'Lifestyle Strategy'!$Q$8 * (1.025^(B21-'Lifestyle Strategy'!$Q$5)) * (1.12^INT((B21-'Lifestyle Strategy'!$Q$5)/5)),
      0
   )
)</f>
        <v>0</v>
      </c>
      <c r="AX21" s="15">
        <f t="shared" ca="1" si="8"/>
        <v>49365.830788629857</v>
      </c>
      <c r="AY21" s="15">
        <f ca="1">IF(B21='Lifestyle Strategy'!$Q$10, MIN(AN21, 'Lifestyle Strategy'!$Q$11), 0)</f>
        <v>0</v>
      </c>
      <c r="AZ21" s="15">
        <f ca="1">IF(B21='Lifestyle Strategy'!$Q$10, 'Lifestyle Strategy'!$Q$11, 0)</f>
        <v>0</v>
      </c>
      <c r="BA21" s="15">
        <f ca="1">IF(B21='Lifestyle Strategy'!$Q$10, MAX(AZ21 - AY21, 0), 0)</f>
        <v>0</v>
      </c>
      <c r="BB21" s="26">
        <f t="shared" ca="1" si="19"/>
        <v>67787.735518308793</v>
      </c>
      <c r="BC21" s="18" t="str">
        <f t="shared" ca="1" si="20"/>
        <v>$0.07M</v>
      </c>
      <c r="BD21" s="27"/>
      <c r="BQ21" s="8"/>
      <c r="BR21" s="8">
        <v>6</v>
      </c>
      <c r="BS21" s="8">
        <v>71</v>
      </c>
      <c r="BT21" s="15">
        <f ca="1">IF(BS21&lt;'Lifestyle Strategy'!$M$14, 0,
   'Lifestyle Strategy'!$M$15 *
   (1 + 'Lifestyle Strategy'!$M$16)^(BS21-'Lifestyle Strategy'!$M$14) *
   (1 + IF(RAND() &lt; (0.08 - 0.06) / (0.1 - 0.06),
             0.06 + SQRT(RAND() * (0.08 - 0.06) * (0.1 - 0.06)),
             0.1 - SQRT((1 - RAND()) * (0.1 - 0.08) * (0.1 - 0.06))
         ))^INT((BS21-'Lifestyle Strategy'!$M$14)/5)
)</f>
        <v>173354.13736068871</v>
      </c>
      <c r="BU21" s="139">
        <f t="shared" ca="1" si="29"/>
        <v>3.276539804053364E-2</v>
      </c>
      <c r="BV21" s="15">
        <f>'Lifestyle Strategy'!$M$22*(1+'Lifestyle Strategy'!$M$16)^('Lifestyle Strategy'!$M$23 + BR21-1)</f>
        <v>61756.468282969247</v>
      </c>
      <c r="BW21" s="15">
        <f t="shared" ca="1" si="30"/>
        <v>111597.66907771946</v>
      </c>
      <c r="BX21" s="139">
        <f t="shared" ca="1" si="31"/>
        <v>2.1092903252255577E-2</v>
      </c>
      <c r="BY21" s="140">
        <f ca="1">IFERROR(_xlfn.NORM.INV(RAND(),'Lifestyle Strategy'!$M$27,'Lifestyle Strategy'!$M$28),0)</f>
        <v>4.9169769451421166E-2</v>
      </c>
      <c r="BZ21" s="15">
        <f t="shared" ca="1" si="32"/>
        <v>253184.09759596072</v>
      </c>
      <c r="CA21" s="15">
        <f t="shared" ca="1" si="33"/>
        <v>5290768.5463254433</v>
      </c>
      <c r="CB21" s="15">
        <f ca="1">IF('Post-Retirement_Cal'!$K21&lt;0, ABS('Post-Retirement_Cal'!$K21),0)</f>
        <v>0</v>
      </c>
    </row>
    <row r="22" spans="1:80" x14ac:dyDescent="0.2">
      <c r="A22" s="8"/>
      <c r="B22" s="8">
        <v>9</v>
      </c>
      <c r="C22" s="8">
        <v>39</v>
      </c>
      <c r="D22" s="15">
        <f t="shared" ca="1" si="21"/>
        <v>96201.393193661803</v>
      </c>
      <c r="E22" s="15">
        <f t="shared" ca="1" si="28"/>
        <v>3027.6592110470374</v>
      </c>
      <c r="F22" s="16">
        <f t="shared" ca="1" si="22"/>
        <v>3.2494771666143236E-2</v>
      </c>
      <c r="G22" s="15">
        <f ca="1">'Tax rate cal'!C19</f>
        <v>21370.897253908395</v>
      </c>
      <c r="H22" s="15">
        <f t="shared" ca="1" si="9"/>
        <v>1606.5632663341521</v>
      </c>
      <c r="I22" s="15">
        <f t="shared" ca="1" si="10"/>
        <v>73223.932673419258</v>
      </c>
      <c r="J22" s="16">
        <f t="shared" ca="1" si="11"/>
        <v>7.0000000000000007E-2</v>
      </c>
      <c r="K22" s="16">
        <v>0.03</v>
      </c>
      <c r="L22" s="17">
        <f ca="1">IF(O22 = 0,0,'Lifestyle Strategy'!$Q$9)</f>
        <v>0</v>
      </c>
      <c r="M22" s="15">
        <f t="shared" ca="1" si="3"/>
        <v>5125.6752871393483</v>
      </c>
      <c r="N22" s="15">
        <f t="shared" ca="1" si="4"/>
        <v>2196.7179802025776</v>
      </c>
      <c r="O22" s="15">
        <f ca="1">IF(AND('Lifestyle Strategy'!$Q$2="Yes", B22 &gt;='Lifestyle Strategy'!$Q$3),
     I22 * 'Lifestyle Strategy'!$Q$9,
     0
)</f>
        <v>0</v>
      </c>
      <c r="P22" s="8">
        <f t="shared" si="5"/>
        <v>0</v>
      </c>
      <c r="Q22" s="15">
        <f t="shared" ca="1" si="12"/>
        <v>7322.3932673419258</v>
      </c>
      <c r="R22" s="15">
        <f ca="1">IF(B22&lt;=5, Q22*'Fund Allocation Strategy'!$B$2,
 IF(B22&lt;=10, Q22*'Fund Allocation Strategy'!$B$3,
 IF(B22&lt;=15, Q22*'Fund Allocation Strategy'!$B$4,
 IF(B22&lt;=20, Q22*'Fund Allocation Strategy'!$B$5,
 IF(B22&lt;=25, Q22*'Fund Allocation Strategy'!$B$6,
 IF(B22&lt;=30, Q22*'Fund Allocation Strategy'!$B$7,
 Q22*'Fund Allocation Strategy'!$B$8))))))</f>
        <v>732.23932673419267</v>
      </c>
      <c r="S22" s="17">
        <f ca="1">_xlfn.NORM.INV(RAND(),'Fund Allocation Strategy'!$B$11,'Fund Allocation Strategy'!$C$11)</f>
        <v>3.8082447512939474E-2</v>
      </c>
      <c r="T22" s="15">
        <f t="shared" ca="1" si="13"/>
        <v>150.62681478863954</v>
      </c>
      <c r="U22" s="15">
        <f t="shared" ca="1" si="14"/>
        <v>4472.0283632672499</v>
      </c>
      <c r="V22" s="15">
        <f ca="1">IF(B22&lt;=5, Q22*'Fund Allocation Strategy'!$C$2,
 IF(B22&lt;=10, Q22*'Fund Allocation Strategy'!$C$3,
 IF(B22&lt;=15, Q22*'Fund Allocation Strategy'!$C$4,
 IF(B22&lt;=20, Q22*'Fund Allocation Strategy'!$C$5,
 IF(B22&lt;=25, Q22*'Fund Allocation Strategy'!$C$6,
 IF(B22&lt;=30, Q22*'Fund Allocation Strategy'!$C$7,
 Q22*'Fund Allocation Strategy'!$C$8))))))</f>
        <v>915.29915841774073</v>
      </c>
      <c r="W22" s="16">
        <f ca="1">_xlfn.NORM.INV(RAND(),'Fund Allocation Strategy'!$B$12,'Fund Allocation Strategy'!$C$12)</f>
        <v>7.0404552568532508E-2</v>
      </c>
      <c r="X22" s="15">
        <f t="shared" ca="1" si="23"/>
        <v>351.32588408858584</v>
      </c>
      <c r="Y22" s="15">
        <f t="shared" ca="1" si="24"/>
        <v>5799.0772574477933</v>
      </c>
      <c r="Z22" s="15">
        <f ca="1">IF(B22&lt;=5, Q22*'Fund Allocation Strategy'!$D$2,
 IF(B22&lt;=10, Q22*'Fund Allocation Strategy'!$D$3,
 IF(B22&lt;=15, Q22*'Fund Allocation Strategy'!$D$4,
 IF(B22&lt;=20, Q22*'Fund Allocation Strategy'!$D$5,
 IF(B22&lt;=25, Q22*'Fund Allocation Strategy'!$D$6,
 IF(B22&lt;=30, Q22*'Fund Allocation Strategy'!$D$7,
 Q22*'Fund Allocation Strategy'!$D$8))))))</f>
        <v>2928.9573069367707</v>
      </c>
      <c r="AA22" s="16">
        <f ca="1">_xlfn.NORM.INV(RAND(),'Fund Allocation Strategy'!$B$13,'Fund Allocation Strategy'!$C$13)</f>
        <v>0.10484180210672447</v>
      </c>
      <c r="AB22" s="15">
        <f t="shared" ca="1" si="25"/>
        <v>3209.5890073709356</v>
      </c>
      <c r="AC22" s="15">
        <f t="shared" ca="1" si="26"/>
        <v>35287.70595087664</v>
      </c>
      <c r="AD22" s="15">
        <f ca="1">IF(B22&lt;=5, Q22*'Fund Allocation Strategy'!$E$2,
 IF(B22&lt;=10, Q22*'Fund Allocation Strategy'!$E$3,
 IF(B22&lt;=15, Q22*'Fund Allocation Strategy'!$E$4,
 IF(B22&lt;=20, Q22*'Fund Allocation Strategy'!$E$5,
 IF(B22&lt;=25, Q22*'Fund Allocation Strategy'!$E$6,
 IF(B22&lt;=30, Q22*'Fund Allocation Strategy'!$E$7,
 Q22*'Fund Allocation Strategy'!$E$8))))))</f>
        <v>1830.5983168354815</v>
      </c>
      <c r="AE22" s="16">
        <f ca="1">_xlfn.NORM.INV(RAND(), 'Fund Allocation Strategy'!$B$14, 'Fund Allocation Strategy'!$C$14) + _xlfn.NORM.INV(RAND(), 'Fund Allocation Strategy'!$D$14,'Fund Allocation Strategy'!$E$14)</f>
        <v>5.0720878123759236E-2</v>
      </c>
      <c r="AF22" s="15">
        <f t="shared" ca="1" si="15"/>
        <v>1241.1775238432331</v>
      </c>
      <c r="AG22" s="15">
        <f ca="1">IF(B22&lt;=5, Q22*'Fund Allocation Strategy'!$F$2,
 IF(B22&lt;=10, Q22*'Fund Allocation Strategy'!$F$3,
 IF(B22&lt;=15, Q22*'Fund Allocation Strategy'!$F$4,
 IF(B22&lt;=20, Q22*'Fund Allocation Strategy'!$F$5,
 IF(B22&lt;=25, Q22*'Fund Allocation Strategy'!$F$6,
 IF(B22&lt;=30, Q22*'Fund Allocation Strategy'!$F$7,
 Q22*'Fund Allocation Strategy'!$F$8))))))</f>
        <v>915.29915841774073</v>
      </c>
      <c r="AH22" s="16">
        <f ca="1">_xlfn.NORM.INV(RAND(),'Fund Allocation Strategy'!$B$15,'Fund Allocation Strategy'!$C$15)</f>
        <v>0.20980075235117146</v>
      </c>
      <c r="AI22" s="15">
        <f t="shared" ca="1" si="27"/>
        <v>119.79665126097535</v>
      </c>
      <c r="AJ22" s="15">
        <f t="shared" ca="1" si="16"/>
        <v>7996.6143882439774</v>
      </c>
      <c r="AK22" s="15">
        <f t="shared" ca="1" si="6"/>
        <v>0</v>
      </c>
      <c r="AL22" s="17">
        <f t="shared" ca="1" si="7"/>
        <v>0</v>
      </c>
      <c r="AM22" s="15">
        <f t="shared" ca="1" si="17"/>
        <v>26627.218707167423</v>
      </c>
      <c r="AN22" s="15">
        <f t="shared" ca="1" si="18"/>
        <v>26627.218707167423</v>
      </c>
      <c r="AO22" s="15">
        <f ca="1">IF(AV22 = 0, I22 * (
    'Lifestyle Strategy'!$B$2 +
    ('Lifestyle Strategy'!$C$2 - 'Lifestyle Strategy'!$B$2) *
    _xlfn.BETA.INV(RAND(), 'Lifestyle Strategy'!$F$2, 'Lifestyle Strategy'!$G$2)
),IF(AV22 = "", "",0))</f>
        <v>0</v>
      </c>
      <c r="AP22" s="15">
        <f ca="1" xml:space="preserve"> I22 * (
    'Lifestyle Strategy'!$B$3 +
    ('Lifestyle Strategy'!$C$3 - 'Lifestyle Strategy'!$B$3) *
    _xlfn.BETA.INV(RAND(), 'Lifestyle Strategy'!$F$3, 'Lifestyle Strategy'!$G$3)
) * IF(MOD(B22,5)=0, 1 + 'Lifestyle Strategy'!$M$4, 1 + 0.025)</f>
        <v>10305.33189796162</v>
      </c>
      <c r="AQ22" s="15">
        <f ca="1" xml:space="preserve"> I22 * (
    'Lifestyle Strategy'!$B$4 +
    ('Lifestyle Strategy'!$C$4 - 'Lifestyle Strategy'!$B$4) *
    _xlfn.BETA.INV(RAND(), 'Lifestyle Strategy'!$F$4, 'Lifestyle Strategy'!$G$4)
) * IF(MOD(B22,5)=0, 1 + 'Lifestyle Strategy'!$M$4, 1 + 0.025)</f>
        <v>4939.148937320304</v>
      </c>
      <c r="AR22" s="15">
        <f ca="1" xml:space="preserve"> I22 * (
    'Lifestyle Strategy'!$B$5 +
    ('Lifestyle Strategy'!$C$5 - 'Lifestyle Strategy'!$B$5) *
    _xlfn.BETA.INV(RAND(), 'Lifestyle Strategy'!$F$5, 'Lifestyle Strategy'!$G$5)
) * IF(MOD(B22,5)=0, 1 + 'Lifestyle Strategy'!$M$4, 1 + 0.025)</f>
        <v>3910.2746287574064</v>
      </c>
      <c r="AS22" s="15">
        <f ca="1" xml:space="preserve"> I22 * (
    'Lifestyle Strategy'!$B$6 +
    ('Lifestyle Strategy'!$C$6 - 'Lifestyle Strategy'!$B$6) *
    _xlfn.BETA.INV(RAND(), 'Lifestyle Strategy'!$F$6, 'Lifestyle Strategy'!$G$6)
) * IF(MOD(B22,5)=0, 1 + 'Lifestyle Strategy'!$M$4, 1 + 0.025)</f>
        <v>3744.2982752888302</v>
      </c>
      <c r="AT22" s="15">
        <f ca="1" xml:space="preserve"> I22 * (
    'Lifestyle Strategy'!$B$7 +
    ('Lifestyle Strategy'!$C$7 - 'Lifestyle Strategy'!$B$7) *
    _xlfn.BETA.INV(RAND(), 'Lifestyle Strategy'!$F$7, 'Lifestyle Strategy'!$G$7)
) * IF(MOD(B22,5)=0, 1 + 'Lifestyle Strategy'!$M$4, 1 + 0.025)</f>
        <v>6723.101406301751</v>
      </c>
      <c r="AU22" s="15">
        <f ca="1" xml:space="preserve"> I22 * (
    'Lifestyle Strategy'!$B$8 +
    ('Lifestyle Strategy'!$C$8 - 'Lifestyle Strategy'!$B$8) *
    _xlfn.BETA.INV(RAND(), 'Lifestyle Strategy'!$F$8, 'Lifestyle Strategy'!$G$8)
) * IF(MOD(B22,5)=0, 1 + 'Lifestyle Strategy'!$M$4, 1 + 0.025)</f>
        <v>2989.7758416415791</v>
      </c>
      <c r="AV22" s="15">
        <f ca="1">IF('Lifestyle Strategy'!$B$14 = "Yes",
   IF(AND(B22&gt;='Lifestyle Strategy'!$B$15, B22&lt;'Lifestyle Strategy'!$B$16),
      'Lifestyle Strategy'!$B$25,
      IF(B22&gt;='Lifestyle Strategy'!$B$16, "",
         0)
   ),
   0
)</f>
        <v>17163.199985889616</v>
      </c>
      <c r="AW22" s="15">
        <f ca="1">IF('Lifestyle Strategy'!$Q$4="No", 0,
   IF(AND(B22&gt;='Lifestyle Strategy'!$Q$5, B22&lt;'Lifestyle Strategy'!$Q$6),
      'Lifestyle Strategy'!$Q$8 * (1.025^(B22-'Lifestyle Strategy'!$Q$5)) * (1.12^INT((B22-'Lifestyle Strategy'!$Q$5)/5)),
      0
   )
)</f>
        <v>0</v>
      </c>
      <c r="AX22" s="15">
        <f t="shared" ca="1" si="8"/>
        <v>49775.130973161104</v>
      </c>
      <c r="AY22" s="15">
        <f ca="1">IF(B22='Lifestyle Strategy'!$Q$10, MIN(AN22, 'Lifestyle Strategy'!$Q$11), 0)</f>
        <v>0</v>
      </c>
      <c r="AZ22" s="15">
        <f ca="1">IF(B22='Lifestyle Strategy'!$Q$10, 'Lifestyle Strategy'!$Q$11, 0)</f>
        <v>0</v>
      </c>
      <c r="BA22" s="15">
        <f ca="1">IF(B22='Lifestyle Strategy'!$Q$10, MAX(AZ22 - AY22, 0), 0)</f>
        <v>0</v>
      </c>
      <c r="BB22" s="26">
        <f t="shared" ca="1" si="19"/>
        <v>80182.644667003085</v>
      </c>
      <c r="BC22" s="18" t="str">
        <f t="shared" ca="1" si="20"/>
        <v>$0.08M</v>
      </c>
      <c r="BD22" s="27"/>
      <c r="BQ22" s="8"/>
      <c r="BR22" s="8">
        <v>7</v>
      </c>
      <c r="BS22" s="8">
        <v>72</v>
      </c>
      <c r="BT22" s="15">
        <f ca="1">IF(BS22&lt;'Lifestyle Strategy'!$M$14, 0,
   'Lifestyle Strategy'!$M$15 *
   (1 + 'Lifestyle Strategy'!$M$16)^(BS22-'Lifestyle Strategy'!$M$14) *
   (1 + IF(RAND() &lt; (0.08 - 0.06) / (0.1 - 0.06),
             0.06 + SQRT(RAND() * (0.08 - 0.06) * (0.1 - 0.06)),
             0.1 - SQRT((1 - RAND()) * (0.1 - 0.08) * (0.1 - 0.06))
         ))^INT((BS22-'Lifestyle Strategy'!$M$14)/5)
)</f>
        <v>179954.1574831621</v>
      </c>
      <c r="BU22" s="139">
        <f t="shared" ca="1" si="29"/>
        <v>3.6385969904751576E-2</v>
      </c>
      <c r="BV22" s="15">
        <f>'Lifestyle Strategy'!$M$22*(1+'Lifestyle Strategy'!$M$16)^('Lifestyle Strategy'!$M$23 + BR22-1)</f>
        <v>63300.379990043475</v>
      </c>
      <c r="BW22" s="15">
        <f t="shared" ca="1" si="30"/>
        <v>116653.77749311863</v>
      </c>
      <c r="BX22" s="139">
        <f t="shared" ca="1" si="31"/>
        <v>2.3586900666839859E-2</v>
      </c>
      <c r="BY22" s="140">
        <f ca="1">IFERROR(_xlfn.NORM.INV(RAND(),'Lifestyle Strategy'!$M$27,'Lifestyle Strategy'!$M$28),0)</f>
        <v>-4.3171979553562036E-2</v>
      </c>
      <c r="BZ22" s="15">
        <f t="shared" ca="1" si="32"/>
        <v>-228412.95150459118</v>
      </c>
      <c r="CA22" s="15">
        <f t="shared" ca="1" si="33"/>
        <v>4945701.8173277341</v>
      </c>
      <c r="CB22" s="15">
        <f>IF('Post-Retirement_Cal'!$K22&lt;0, ABS('Post-Retirement_Cal'!$K22),0)</f>
        <v>0</v>
      </c>
    </row>
    <row r="23" spans="1:80" x14ac:dyDescent="0.2">
      <c r="A23" s="8"/>
      <c r="B23" s="8">
        <v>10</v>
      </c>
      <c r="C23" s="8">
        <v>40</v>
      </c>
      <c r="D23" s="15">
        <f t="shared" ca="1" si="21"/>
        <v>198732.59520101669</v>
      </c>
      <c r="E23" s="15">
        <f t="shared" ca="1" si="28"/>
        <v>102531.20200735489</v>
      </c>
      <c r="F23" s="16">
        <f t="shared" ca="1" si="22"/>
        <v>1.0657974755204493</v>
      </c>
      <c r="G23" s="15">
        <f ca="1">'Tax rate cal'!C20</f>
        <v>56060.149628396517</v>
      </c>
      <c r="H23" s="15">
        <f t="shared" ca="1" si="9"/>
        <v>3318.8343398569787</v>
      </c>
      <c r="I23" s="15">
        <f t="shared" ca="1" si="10"/>
        <v>139353.61123276319</v>
      </c>
      <c r="J23" s="16">
        <f t="shared" ca="1" si="11"/>
        <v>0.08</v>
      </c>
      <c r="K23" s="16">
        <v>0.03</v>
      </c>
      <c r="L23" s="17">
        <f ca="1">IF(O23 = 0,0,'Lifestyle Strategy'!$Q$9)</f>
        <v>0</v>
      </c>
      <c r="M23" s="15">
        <f t="shared" ca="1" si="3"/>
        <v>11148.288898621055</v>
      </c>
      <c r="N23" s="15">
        <f t="shared" ca="1" si="4"/>
        <v>4180.6083369828957</v>
      </c>
      <c r="O23" s="15">
        <f ca="1">IF(AND('Lifestyle Strategy'!$Q$2="Yes", B23 &gt;='Lifestyle Strategy'!$Q$3),
     I23 * 'Lifestyle Strategy'!$Q$9,
     0
)</f>
        <v>0</v>
      </c>
      <c r="P23" s="8">
        <f t="shared" ca="1" si="5"/>
        <v>10000</v>
      </c>
      <c r="Q23" s="15">
        <f t="shared" ca="1" si="12"/>
        <v>25328.897235603952</v>
      </c>
      <c r="R23" s="15">
        <f ca="1">IF(B23&lt;=5, Q23*'Fund Allocation Strategy'!$B$2,
 IF(B23&lt;=10, Q23*'Fund Allocation Strategy'!$B$3,
 IF(B23&lt;=15, Q23*'Fund Allocation Strategy'!$B$4,
 IF(B23&lt;=20, Q23*'Fund Allocation Strategy'!$B$5,
 IF(B23&lt;=25, Q23*'Fund Allocation Strategy'!$B$6,
 IF(B23&lt;=30, Q23*'Fund Allocation Strategy'!$B$7,
 Q23*'Fund Allocation Strategy'!$B$8))))))</f>
        <v>2532.8897235603954</v>
      </c>
      <c r="S23" s="17">
        <f ca="1">_xlfn.NORM.INV(RAND(),'Fund Allocation Strategy'!$B$11,'Fund Allocation Strategy'!$C$11)</f>
        <v>3.6272625789338091E-2</v>
      </c>
      <c r="T23" s="15">
        <f t="shared" ca="1" si="13"/>
        <v>208.14949189428216</v>
      </c>
      <c r="U23" s="15">
        <f t="shared" ca="1" si="14"/>
        <v>7213.0675787219279</v>
      </c>
      <c r="V23" s="15">
        <f ca="1">IF(B23&lt;=5, Q23*'Fund Allocation Strategy'!$C$2,
 IF(B23&lt;=10, Q23*'Fund Allocation Strategy'!$C$3,
 IF(B23&lt;=15, Q23*'Fund Allocation Strategy'!$C$4,
 IF(B23&lt;=20, Q23*'Fund Allocation Strategy'!$C$5,
 IF(B23&lt;=25, Q23*'Fund Allocation Strategy'!$C$6,
 IF(B23&lt;=30, Q23*'Fund Allocation Strategy'!$C$7,
 Q23*'Fund Allocation Strategy'!$C$8))))))</f>
        <v>3166.112154450494</v>
      </c>
      <c r="W23" s="16">
        <f ca="1">_xlfn.NORM.INV(RAND(),'Fund Allocation Strategy'!$B$12,'Fund Allocation Strategy'!$C$12)</f>
        <v>7.0376811517692969E-2</v>
      </c>
      <c r="X23" s="15">
        <f t="shared" ca="1" si="23"/>
        <v>519.53100629276287</v>
      </c>
      <c r="Y23" s="15">
        <f t="shared" ca="1" si="24"/>
        <v>9484.7204181910492</v>
      </c>
      <c r="Z23" s="15">
        <f ca="1">IF(B23&lt;=5, Q23*'Fund Allocation Strategy'!$D$2,
 IF(B23&lt;=10, Q23*'Fund Allocation Strategy'!$D$3,
 IF(B23&lt;=15, Q23*'Fund Allocation Strategy'!$D$4,
 IF(B23&lt;=20, Q23*'Fund Allocation Strategy'!$D$5,
 IF(B23&lt;=25, Q23*'Fund Allocation Strategy'!$D$6,
 IF(B23&lt;=30, Q23*'Fund Allocation Strategy'!$D$7,
 Q23*'Fund Allocation Strategy'!$D$8))))))</f>
        <v>10131.558894241582</v>
      </c>
      <c r="AA23" s="16">
        <f ca="1">_xlfn.NORM.INV(RAND(),'Fund Allocation Strategy'!$B$13,'Fund Allocation Strategy'!$C$13)</f>
        <v>0.101903499300179</v>
      </c>
      <c r="AB23" s="15">
        <f t="shared" ca="1" si="25"/>
        <v>4112.1613710146148</v>
      </c>
      <c r="AC23" s="15">
        <f t="shared" ca="1" si="26"/>
        <v>49531.42621613283</v>
      </c>
      <c r="AD23" s="15">
        <f ca="1">IF(B23&lt;=5, Q23*'Fund Allocation Strategy'!$E$2,
 IF(B23&lt;=10, Q23*'Fund Allocation Strategy'!$E$3,
 IF(B23&lt;=15, Q23*'Fund Allocation Strategy'!$E$4,
 IF(B23&lt;=20, Q23*'Fund Allocation Strategy'!$E$5,
 IF(B23&lt;=25, Q23*'Fund Allocation Strategy'!$E$6,
 IF(B23&lt;=30, Q23*'Fund Allocation Strategy'!$E$7,
 Q23*'Fund Allocation Strategy'!$E$8))))))</f>
        <v>6332.224308900988</v>
      </c>
      <c r="AE23" s="16">
        <f ca="1">_xlfn.NORM.INV(RAND(), 'Fund Allocation Strategy'!$B$14, 'Fund Allocation Strategy'!$C$14) + _xlfn.NORM.INV(RAND(), 'Fund Allocation Strategy'!$D$14,'Fund Allocation Strategy'!$E$14)</f>
        <v>-0.21507914152120555</v>
      </c>
      <c r="AF23" s="15">
        <f t="shared" ca="1" si="15"/>
        <v>-6407.9240247740208</v>
      </c>
      <c r="AG23" s="15">
        <f ca="1">IF(B23&lt;=5, Q23*'Fund Allocation Strategy'!$F$2,
 IF(B23&lt;=10, Q23*'Fund Allocation Strategy'!$F$3,
 IF(B23&lt;=15, Q23*'Fund Allocation Strategy'!$F$4,
 IF(B23&lt;=20, Q23*'Fund Allocation Strategy'!$F$5,
 IF(B23&lt;=25, Q23*'Fund Allocation Strategy'!$F$6,
 IF(B23&lt;=30, Q23*'Fund Allocation Strategy'!$F$7,
 Q23*'Fund Allocation Strategy'!$F$8))))))</f>
        <v>3166.112154450494</v>
      </c>
      <c r="AH23" s="16">
        <f ca="1">_xlfn.NORM.INV(RAND(),'Fund Allocation Strategy'!$B$15,'Fund Allocation Strategy'!$C$15)</f>
        <v>0.22188487321462336</v>
      </c>
      <c r="AI23" s="15">
        <f t="shared" ca="1" si="27"/>
        <v>377.8372617633409</v>
      </c>
      <c r="AJ23" s="15">
        <f t="shared" ca="1" si="16"/>
        <v>11540.563804457814</v>
      </c>
      <c r="AK23" s="15">
        <f t="shared" ca="1" si="6"/>
        <v>0</v>
      </c>
      <c r="AL23" s="17">
        <f t="shared" ca="1" si="7"/>
        <v>0</v>
      </c>
      <c r="AM23" s="15">
        <f t="shared" ca="1" si="17"/>
        <v>26551.518991294393</v>
      </c>
      <c r="AN23" s="15">
        <f t="shared" ca="1" si="18"/>
        <v>26551.518991294393</v>
      </c>
      <c r="AO23" s="15">
        <f ca="1">IF(AV23 = 0, I23 * (
    'Lifestyle Strategy'!$B$2 +
    ('Lifestyle Strategy'!$C$2 - 'Lifestyle Strategy'!$B$2) *
    _xlfn.BETA.INV(RAND(), 'Lifestyle Strategy'!$F$2, 'Lifestyle Strategy'!$G$2)
),IF(AV23 = "", "",0))</f>
        <v>0</v>
      </c>
      <c r="AP23" s="15">
        <f ca="1" xml:space="preserve"> I23 * (
    'Lifestyle Strategy'!$B$3 +
    ('Lifestyle Strategy'!$C$3 - 'Lifestyle Strategy'!$B$3) *
    _xlfn.BETA.INV(RAND(), 'Lifestyle Strategy'!$F$3, 'Lifestyle Strategy'!$G$3)
) * IF(MOD(B23,5)=0, 1 + 'Lifestyle Strategy'!$M$4, 1 + 0.025)</f>
        <v>19074.483975525138</v>
      </c>
      <c r="AQ23" s="15">
        <f ca="1" xml:space="preserve"> I23 * (
    'Lifestyle Strategy'!$B$4 +
    ('Lifestyle Strategy'!$C$4 - 'Lifestyle Strategy'!$B$4) *
    _xlfn.BETA.INV(RAND(), 'Lifestyle Strategy'!$F$4, 'Lifestyle Strategy'!$G$4)
) * IF(MOD(B23,5)=0, 1 + 'Lifestyle Strategy'!$M$4, 1 + 0.025)</f>
        <v>14329.112684577383</v>
      </c>
      <c r="AR23" s="15">
        <f ca="1" xml:space="preserve"> I23 * (
    'Lifestyle Strategy'!$B$5 +
    ('Lifestyle Strategy'!$C$5 - 'Lifestyle Strategy'!$B$5) *
    _xlfn.BETA.INV(RAND(), 'Lifestyle Strategy'!$F$5, 'Lifestyle Strategy'!$G$5)
) * IF(MOD(B23,5)=0, 1 + 'Lifestyle Strategy'!$M$4, 1 + 0.025)</f>
        <v>8219.2479555710233</v>
      </c>
      <c r="AS23" s="15">
        <f ca="1" xml:space="preserve"> I23 * (
    'Lifestyle Strategy'!$B$6 +
    ('Lifestyle Strategy'!$C$6 - 'Lifestyle Strategy'!$B$6) *
    _xlfn.BETA.INV(RAND(), 'Lifestyle Strategy'!$F$6, 'Lifestyle Strategy'!$G$6)
) * IF(MOD(B23,5)=0, 1 + 'Lifestyle Strategy'!$M$4, 1 + 0.025)</f>
        <v>7369.5790369175211</v>
      </c>
      <c r="AT23" s="15">
        <f ca="1" xml:space="preserve"> I23 * (
    'Lifestyle Strategy'!$B$7 +
    ('Lifestyle Strategy'!$C$7 - 'Lifestyle Strategy'!$B$7) *
    _xlfn.BETA.INV(RAND(), 'Lifestyle Strategy'!$F$7, 'Lifestyle Strategy'!$G$7)
) * IF(MOD(B23,5)=0, 1 + 'Lifestyle Strategy'!$M$4, 1 + 0.025)</f>
        <v>16500.514922752231</v>
      </c>
      <c r="AU23" s="15">
        <f ca="1" xml:space="preserve"> I23 * (
    'Lifestyle Strategy'!$B$8 +
    ('Lifestyle Strategy'!$C$8 - 'Lifestyle Strategy'!$B$8) *
    _xlfn.BETA.INV(RAND(), 'Lifestyle Strategy'!$F$8, 'Lifestyle Strategy'!$G$8)
) * IF(MOD(B23,5)=0, 1 + 'Lifestyle Strategy'!$M$4, 1 + 0.025)</f>
        <v>6149.0804386490372</v>
      </c>
      <c r="AV23" s="15">
        <f ca="1">IF('Lifestyle Strategy'!$B$14 = "Yes",
   IF(AND(B23&gt;='Lifestyle Strategy'!$B$15, B23&lt;'Lifestyle Strategy'!$B$16),
      'Lifestyle Strategy'!$B$25,
      IF(B23&gt;='Lifestyle Strategy'!$B$16, "",
         0)
   ),
   0
)</f>
        <v>17163.199985889616</v>
      </c>
      <c r="AW23" s="15">
        <f ca="1">IF('Lifestyle Strategy'!$Q$4="No", 0,
   IF(AND(B23&gt;='Lifestyle Strategy'!$Q$5, B23&lt;'Lifestyle Strategy'!$Q$6),
      'Lifestyle Strategy'!$Q$8 * (1.025^(B23-'Lifestyle Strategy'!$Q$5)) * (1.12^INT((B23-'Lifestyle Strategy'!$Q$5)/5)),
      0
   )
)</f>
        <v>0</v>
      </c>
      <c r="AX23" s="15">
        <f t="shared" ca="1" si="8"/>
        <v>88805.218999881952</v>
      </c>
      <c r="AY23" s="15">
        <f ca="1">IF(B23='Lifestyle Strategy'!$Q$10, MIN(AN23, 'Lifestyle Strategy'!$Q$11), 0)</f>
        <v>0</v>
      </c>
      <c r="AZ23" s="15">
        <f ca="1">IF(B23='Lifestyle Strategy'!$Q$10, 'Lifestyle Strategy'!$Q$11, 0)</f>
        <v>0</v>
      </c>
      <c r="BA23" s="15">
        <f ca="1">IF(B23='Lifestyle Strategy'!$Q$10, MAX(AZ23 - AY23, 0), 0)</f>
        <v>0</v>
      </c>
      <c r="BB23" s="26">
        <f t="shared" ca="1" si="19"/>
        <v>104321.29700879801</v>
      </c>
      <c r="BC23" s="18" t="str">
        <f t="shared" ca="1" si="20"/>
        <v>$0.10M</v>
      </c>
      <c r="BD23" s="27"/>
      <c r="BQ23" s="8"/>
      <c r="BR23" s="8">
        <v>8</v>
      </c>
      <c r="BS23" s="8">
        <v>73</v>
      </c>
      <c r="BT23" s="15">
        <f ca="1">IF(BS23&lt;'Lifestyle Strategy'!$M$14, 0,
   'Lifestyle Strategy'!$M$15 *
   (1 + 'Lifestyle Strategy'!$M$16)^(BS23-'Lifestyle Strategy'!$M$14) *
   (1 + IF(RAND() &lt; (0.08 - 0.06) / (0.1 - 0.06),
             0.06 + SQRT(RAND() * (0.08 - 0.06) * (0.1 - 0.06)),
             0.1 - SQRT((1 - RAND()) * (0.1 - 0.08) * (0.1 - 0.06))
         ))^INT((BS23-'Lifestyle Strategy'!$M$14)/5)
)</f>
        <v>183239.96797443993</v>
      </c>
      <c r="BU23" s="139">
        <f t="shared" ca="1" si="29"/>
        <v>3.6407345095210743E-2</v>
      </c>
      <c r="BV23" s="15">
        <f>'Lifestyle Strategy'!$M$22*(1+'Lifestyle Strategy'!$M$16)^('Lifestyle Strategy'!$M$23 + BR23-1)</f>
        <v>64882.889489794557</v>
      </c>
      <c r="BW23" s="15">
        <f t="shared" ca="1" si="30"/>
        <v>118357.07848464538</v>
      </c>
      <c r="BX23" s="139">
        <f t="shared" ca="1" si="31"/>
        <v>2.3515977701177599E-2</v>
      </c>
      <c r="BY23" s="140">
        <f ca="1">IFERROR(_xlfn.NORM.INV(RAND(),'Lifestyle Strategy'!$M$27,'Lifestyle Strategy'!$M$28),0)</f>
        <v>4.1592621705821911E-2</v>
      </c>
      <c r="BZ23" s="15">
        <f t="shared" ca="1" si="32"/>
        <v>205704.70475790839</v>
      </c>
      <c r="CA23" s="15">
        <f t="shared" ca="1" si="33"/>
        <v>5033049.4436009973</v>
      </c>
      <c r="CB23" s="15">
        <f>IF('Post-Retirement_Cal'!$K23&lt;0, ABS('Post-Retirement_Cal'!$K23),0)</f>
        <v>0</v>
      </c>
    </row>
    <row r="24" spans="1:80" x14ac:dyDescent="0.2">
      <c r="A24" s="8"/>
      <c r="B24" s="8">
        <v>11</v>
      </c>
      <c r="C24" s="8">
        <v>41</v>
      </c>
      <c r="D24" s="15">
        <f t="shared" ca="1" si="21"/>
        <v>205504.80108211836</v>
      </c>
      <c r="E24" s="15">
        <f t="shared" ca="1" si="28"/>
        <v>6772.2058811016614</v>
      </c>
      <c r="F24" s="16">
        <f t="shared" ca="1" si="22"/>
        <v>3.4076976020222652E-2</v>
      </c>
      <c r="G24" s="15">
        <f ca="1">'Tax rate cal'!C21</f>
        <v>58701.309922026165</v>
      </c>
      <c r="H24" s="15">
        <f t="shared" ca="1" si="9"/>
        <v>3431.9301780713763</v>
      </c>
      <c r="I24" s="15">
        <f t="shared" ca="1" si="10"/>
        <v>143371.5609820208</v>
      </c>
      <c r="J24" s="16">
        <f t="shared" ca="1" si="11"/>
        <v>0.08</v>
      </c>
      <c r="K24" s="16">
        <v>0.03</v>
      </c>
      <c r="L24" s="17">
        <f ca="1">IF(O24 = 0,0,'Lifestyle Strategy'!$Q$9)</f>
        <v>0</v>
      </c>
      <c r="M24" s="15">
        <f t="shared" ca="1" si="3"/>
        <v>11469.724878561665</v>
      </c>
      <c r="N24" s="15">
        <f t="shared" ca="1" si="4"/>
        <v>4301.1468294606238</v>
      </c>
      <c r="O24" s="15">
        <f ca="1">IF(AND('Lifestyle Strategy'!$Q$2="Yes", B24 &gt;='Lifestyle Strategy'!$Q$3),
     I24 * 'Lifestyle Strategy'!$Q$9,
     0
)</f>
        <v>0</v>
      </c>
      <c r="P24" s="8">
        <f t="shared" si="5"/>
        <v>0</v>
      </c>
      <c r="Q24" s="15">
        <f t="shared" ca="1" si="12"/>
        <v>15770.871708022289</v>
      </c>
      <c r="R24" s="15">
        <f ca="1">IF(B24&lt;=5, Q24*'Fund Allocation Strategy'!$B$2,
 IF(B24&lt;=10, Q24*'Fund Allocation Strategy'!$B$3,
 IF(B24&lt;=15, Q24*'Fund Allocation Strategy'!$B$4,
 IF(B24&lt;=20, Q24*'Fund Allocation Strategy'!$B$5,
 IF(B24&lt;=25, Q24*'Fund Allocation Strategy'!$B$6,
 IF(B24&lt;=30, Q24*'Fund Allocation Strategy'!$B$7,
 Q24*'Fund Allocation Strategy'!$B$8))))))</f>
        <v>2365.630756203343</v>
      </c>
      <c r="S24" s="17">
        <f ca="1">_xlfn.NORM.INV(RAND(),'Fund Allocation Strategy'!$B$11,'Fund Allocation Strategy'!$C$11)</f>
        <v>3.7414346881817301E-2</v>
      </c>
      <c r="T24" s="15">
        <f t="shared" ca="1" si="13"/>
        <v>314.12647732573606</v>
      </c>
      <c r="U24" s="15">
        <f t="shared" ca="1" si="14"/>
        <v>9892.8248122510067</v>
      </c>
      <c r="V24" s="15">
        <f ca="1">IF(B24&lt;=5, Q24*'Fund Allocation Strategy'!$C$2,
 IF(B24&lt;=10, Q24*'Fund Allocation Strategy'!$C$3,
 IF(B24&lt;=15, Q24*'Fund Allocation Strategy'!$C$4,
 IF(B24&lt;=20, Q24*'Fund Allocation Strategy'!$C$5,
 IF(B24&lt;=25, Q24*'Fund Allocation Strategy'!$C$6,
 IF(B24&lt;=30, Q24*'Fund Allocation Strategy'!$C$7,
 Q24*'Fund Allocation Strategy'!$C$8))))))</f>
        <v>3154.1743416044578</v>
      </c>
      <c r="W24" s="16">
        <f ca="1">_xlfn.NORM.INV(RAND(),'Fund Allocation Strategy'!$B$12,'Fund Allocation Strategy'!$C$12)</f>
        <v>7.2700749585251898E-2</v>
      </c>
      <c r="X24" s="15">
        <f t="shared" ca="1" si="23"/>
        <v>804.20170348763941</v>
      </c>
      <c r="Y24" s="15">
        <f t="shared" ca="1" si="24"/>
        <v>13443.096463283146</v>
      </c>
      <c r="Z24" s="15">
        <f ca="1">IF(B24&lt;=5, Q24*'Fund Allocation Strategy'!$D$2,
 IF(B24&lt;=10, Q24*'Fund Allocation Strategy'!$D$3,
 IF(B24&lt;=15, Q24*'Fund Allocation Strategy'!$D$4,
 IF(B24&lt;=20, Q24*'Fund Allocation Strategy'!$D$5,
 IF(B24&lt;=25, Q24*'Fund Allocation Strategy'!$D$6,
 IF(B24&lt;=30, Q24*'Fund Allocation Strategy'!$D$7,
 Q24*'Fund Allocation Strategy'!$D$8))))))</f>
        <v>5519.8050978078008</v>
      </c>
      <c r="AA24" s="16">
        <f ca="1">_xlfn.NORM.INV(RAND(),'Fund Allocation Strategy'!$B$13,'Fund Allocation Strategy'!$C$13)</f>
        <v>0.10314726624021178</v>
      </c>
      <c r="AB24" s="15">
        <f t="shared" ca="1" si="25"/>
        <v>5393.7076101816883</v>
      </c>
      <c r="AC24" s="15">
        <f t="shared" ca="1" si="26"/>
        <v>60444.938924122318</v>
      </c>
      <c r="AD24" s="15">
        <f ca="1">IF(B24&lt;=5, Q24*'Fund Allocation Strategy'!$E$2,
 IF(B24&lt;=10, Q24*'Fund Allocation Strategy'!$E$3,
 IF(B24&lt;=15, Q24*'Fund Allocation Strategy'!$E$4,
 IF(B24&lt;=20, Q24*'Fund Allocation Strategy'!$E$5,
 IF(B24&lt;=25, Q24*'Fund Allocation Strategy'!$E$6,
 IF(B24&lt;=30, Q24*'Fund Allocation Strategy'!$E$7,
 Q24*'Fund Allocation Strategy'!$E$8))))))</f>
        <v>3154.1743416044578</v>
      </c>
      <c r="AE24" s="16">
        <f ca="1">_xlfn.NORM.INV(RAND(), 'Fund Allocation Strategy'!$B$14, 'Fund Allocation Strategy'!$C$14) + _xlfn.NORM.INV(RAND(), 'Fund Allocation Strategy'!$D$14,'Fund Allocation Strategy'!$E$14)</f>
        <v>0.36657354285946003</v>
      </c>
      <c r="AF24" s="15">
        <f t="shared" ca="1" si="15"/>
        <v>10311.202816538198</v>
      </c>
      <c r="AG24" s="15">
        <f ca="1">IF(B24&lt;=5, Q24*'Fund Allocation Strategy'!$F$2,
 IF(B24&lt;=10, Q24*'Fund Allocation Strategy'!$F$3,
 IF(B24&lt;=15, Q24*'Fund Allocation Strategy'!$F$4,
 IF(B24&lt;=20, Q24*'Fund Allocation Strategy'!$F$5,
 IF(B24&lt;=25, Q24*'Fund Allocation Strategy'!$F$6,
 IF(B24&lt;=30, Q24*'Fund Allocation Strategy'!$F$7,
 Q24*'Fund Allocation Strategy'!$F$8))))))</f>
        <v>1577.0871708022289</v>
      </c>
      <c r="AH24" s="16">
        <f ca="1">_xlfn.NORM.INV(RAND(),'Fund Allocation Strategy'!$B$15,'Fund Allocation Strategy'!$C$15)</f>
        <v>0.20546912246735333</v>
      </c>
      <c r="AI24" s="15">
        <f t="shared" ca="1" si="27"/>
        <v>239.65524912960882</v>
      </c>
      <c r="AJ24" s="15">
        <f t="shared" ca="1" si="16"/>
        <v>13357.306224389653</v>
      </c>
      <c r="AK24" s="15">
        <f t="shared" ca="1" si="6"/>
        <v>0</v>
      </c>
      <c r="AL24" s="17">
        <f t="shared" ca="1" si="7"/>
        <v>0</v>
      </c>
      <c r="AM24" s="15">
        <f t="shared" ca="1" si="17"/>
        <v>40016.896149437052</v>
      </c>
      <c r="AN24" s="15">
        <f t="shared" ca="1" si="18"/>
        <v>40016.896149437052</v>
      </c>
      <c r="AO24" s="15">
        <f ca="1">IF(AV24 = 0, I24 * (
    'Lifestyle Strategy'!$B$2 +
    ('Lifestyle Strategy'!$C$2 - 'Lifestyle Strategy'!$B$2) *
    _xlfn.BETA.INV(RAND(), 'Lifestyle Strategy'!$F$2, 'Lifestyle Strategy'!$G$2)
),IF(AV24 = "", "",0))</f>
        <v>0</v>
      </c>
      <c r="AP24" s="15">
        <f ca="1" xml:space="preserve"> I24 * (
    'Lifestyle Strategy'!$B$3 +
    ('Lifestyle Strategy'!$C$3 - 'Lifestyle Strategy'!$B$3) *
    _xlfn.BETA.INV(RAND(), 'Lifestyle Strategy'!$F$3, 'Lifestyle Strategy'!$G$3)
) * IF(MOD(B24,5)=0, 1 + 'Lifestyle Strategy'!$M$4, 1 + 0.025)</f>
        <v>18441.110604508442</v>
      </c>
      <c r="AQ24" s="15">
        <f ca="1" xml:space="preserve"> I24 * (
    'Lifestyle Strategy'!$B$4 +
    ('Lifestyle Strategy'!$C$4 - 'Lifestyle Strategy'!$B$4) *
    _xlfn.BETA.INV(RAND(), 'Lifestyle Strategy'!$F$4, 'Lifestyle Strategy'!$G$4)
) * IF(MOD(B24,5)=0, 1 + 'Lifestyle Strategy'!$M$4, 1 + 0.025)</f>
        <v>12254.284794233876</v>
      </c>
      <c r="AR24" s="15">
        <f ca="1" xml:space="preserve"> I24 * (
    'Lifestyle Strategy'!$B$5 +
    ('Lifestyle Strategy'!$C$5 - 'Lifestyle Strategy'!$B$5) *
    _xlfn.BETA.INV(RAND(), 'Lifestyle Strategy'!$F$5, 'Lifestyle Strategy'!$G$5)
) * IF(MOD(B24,5)=0, 1 + 'Lifestyle Strategy'!$M$4, 1 + 0.025)</f>
        <v>7319.2193537724543</v>
      </c>
      <c r="AS24" s="15">
        <f ca="1" xml:space="preserve"> I24 * (
    'Lifestyle Strategy'!$B$6 +
    ('Lifestyle Strategy'!$C$6 - 'Lifestyle Strategy'!$B$6) *
    _xlfn.BETA.INV(RAND(), 'Lifestyle Strategy'!$F$6, 'Lifestyle Strategy'!$G$6)
) * IF(MOD(B24,5)=0, 1 + 'Lifestyle Strategy'!$M$4, 1 + 0.025)</f>
        <v>6973.327692137289</v>
      </c>
      <c r="AT24" s="15">
        <f ca="1" xml:space="preserve"> I24 * (
    'Lifestyle Strategy'!$B$7 +
    ('Lifestyle Strategy'!$C$7 - 'Lifestyle Strategy'!$B$7) *
    _xlfn.BETA.INV(RAND(), 'Lifestyle Strategy'!$F$7, 'Lifestyle Strategy'!$G$7)
) * IF(MOD(B24,5)=0, 1 + 'Lifestyle Strategy'!$M$4, 1 + 0.025)</f>
        <v>15802.849632675607</v>
      </c>
      <c r="AU24" s="15">
        <f ca="1" xml:space="preserve"> I24 * (
    'Lifestyle Strategy'!$B$8 +
    ('Lifestyle Strategy'!$C$8 - 'Lifestyle Strategy'!$B$8) *
    _xlfn.BETA.INV(RAND(), 'Lifestyle Strategy'!$F$8, 'Lifestyle Strategy'!$G$8)
) * IF(MOD(B24,5)=0, 1 + 'Lifestyle Strategy'!$M$4, 1 + 0.025)</f>
        <v>5701.1946269231694</v>
      </c>
      <c r="AV24" s="15">
        <f ca="1">IF('Lifestyle Strategy'!$B$14 = "Yes",
   IF(AND(B24&gt;='Lifestyle Strategy'!$B$15, B24&lt;'Lifestyle Strategy'!$B$16),
      'Lifestyle Strategy'!$B$25,
      IF(B24&gt;='Lifestyle Strategy'!$B$16, "",
         0)
   ),
   0
)</f>
        <v>17163.199985889616</v>
      </c>
      <c r="AW24" s="15">
        <f ca="1">IF('Lifestyle Strategy'!$Q$4="No", 0,
   IF(AND(B24&gt;='Lifestyle Strategy'!$Q$5, B24&lt;'Lifestyle Strategy'!$Q$6),
      'Lifestyle Strategy'!$Q$8 * (1.025^(B24-'Lifestyle Strategy'!$Q$5)) * (1.12^INT((B24-'Lifestyle Strategy'!$Q$5)/5)),
      0
   )
)</f>
        <v>0</v>
      </c>
      <c r="AX24" s="15">
        <f t="shared" ca="1" si="8"/>
        <v>83655.186690140443</v>
      </c>
      <c r="AY24" s="15">
        <f ca="1">IF(B24='Lifestyle Strategy'!$Q$10, MIN(AN24, 'Lifestyle Strategy'!$Q$11), 0)</f>
        <v>0</v>
      </c>
      <c r="AZ24" s="15">
        <f ca="1">IF(B24='Lifestyle Strategy'!$Q$10, 'Lifestyle Strategy'!$Q$11, 0)</f>
        <v>0</v>
      </c>
      <c r="BA24" s="15">
        <f ca="1">IF(B24='Lifestyle Strategy'!$Q$10, MAX(AZ24 - AY24, 0), 0)</f>
        <v>0</v>
      </c>
      <c r="BB24" s="26">
        <f t="shared" ca="1" si="19"/>
        <v>137155.06257348318</v>
      </c>
      <c r="BC24" s="18" t="str">
        <f t="shared" ca="1" si="20"/>
        <v>$0.14M</v>
      </c>
      <c r="BD24" s="27"/>
      <c r="BQ24" s="8"/>
      <c r="BR24" s="8">
        <v>9</v>
      </c>
      <c r="BS24" s="8">
        <v>74</v>
      </c>
      <c r="BT24" s="15">
        <f ca="1">IF(BS24&lt;'Lifestyle Strategy'!$M$14, 0,
   'Lifestyle Strategy'!$M$15 *
   (1 + 'Lifestyle Strategy'!$M$16)^(BS24-'Lifestyle Strategy'!$M$14) *
   (1 + IF(RAND() &lt; (0.08 - 0.06) / (0.1 - 0.06),
             0.06 + SQRT(RAND() * (0.08 - 0.06) * (0.1 - 0.06)),
             0.1 - SQRT((1 - RAND()) * (0.1 - 0.08) * (0.1 - 0.06))
         ))^INT((BS24-'Lifestyle Strategy'!$M$14)/5)
)</f>
        <v>189750.73946045397</v>
      </c>
      <c r="BU24" s="139">
        <f t="shared" ca="1" si="29"/>
        <v>3.7238800802817891E-2</v>
      </c>
      <c r="BV24" s="15">
        <f>'Lifestyle Strategy'!$M$22*(1+'Lifestyle Strategy'!$M$16)^('Lifestyle Strategy'!$M$23 + BR24-1)</f>
        <v>66504.961727039423</v>
      </c>
      <c r="BW24" s="15">
        <f t="shared" ca="1" si="30"/>
        <v>123245.77773341455</v>
      </c>
      <c r="BX24" s="139">
        <f t="shared" ca="1" si="31"/>
        <v>2.4187125593571127E-2</v>
      </c>
      <c r="BY24" s="140">
        <f ca="1">IFERROR(_xlfn.NORM.INV(RAND(),'Lifestyle Strategy'!$M$27,'Lifestyle Strategy'!$M$28),0)</f>
        <v>3.6897686481209786E-2</v>
      </c>
      <c r="BZ24" s="15">
        <f t="shared" ca="1" si="32"/>
        <v>185707.88041441696</v>
      </c>
      <c r="CA24" s="15">
        <f t="shared" ca="1" si="33"/>
        <v>5095511.5462819999</v>
      </c>
      <c r="CB24" s="15">
        <f>IF('Post-Retirement_Cal'!$K24&lt;0, ABS('Post-Retirement_Cal'!$K24),0)</f>
        <v>0</v>
      </c>
    </row>
    <row r="25" spans="1:80" x14ac:dyDescent="0.2">
      <c r="A25" s="8"/>
      <c r="B25" s="8">
        <v>12</v>
      </c>
      <c r="C25" s="8">
        <v>42</v>
      </c>
      <c r="D25" s="15">
        <f t="shared" ca="1" si="21"/>
        <v>215082.48031009536</v>
      </c>
      <c r="E25" s="15">
        <f t="shared" ca="1" si="28"/>
        <v>9577.6792279770016</v>
      </c>
      <c r="F25" s="16">
        <f t="shared" ca="1" si="22"/>
        <v>4.6605622727762086E-2</v>
      </c>
      <c r="G25" s="15">
        <f ca="1">'Tax rate cal'!C22</f>
        <v>62436.604820937195</v>
      </c>
      <c r="H25" s="15">
        <f t="shared" ca="1" si="9"/>
        <v>3591.8774211785922</v>
      </c>
      <c r="I25" s="15">
        <f t="shared" ca="1" si="10"/>
        <v>149053.99806797956</v>
      </c>
      <c r="J25" s="16">
        <f t="shared" ca="1" si="11"/>
        <v>0.09</v>
      </c>
      <c r="K25" s="16">
        <v>0.03</v>
      </c>
      <c r="L25" s="17">
        <f ca="1">IF(O25 = 0,0,'Lifestyle Strategy'!$Q$9)</f>
        <v>0</v>
      </c>
      <c r="M25" s="15">
        <f t="shared" ca="1" si="3"/>
        <v>13414.85982611816</v>
      </c>
      <c r="N25" s="15">
        <f t="shared" ca="1" si="4"/>
        <v>4471.6199420393868</v>
      </c>
      <c r="O25" s="15">
        <f ca="1">IF(AND('Lifestyle Strategy'!$Q$2="Yes", B25 &gt;='Lifestyle Strategy'!$Q$3),
     I25 * 'Lifestyle Strategy'!$Q$9,
     0
)</f>
        <v>0</v>
      </c>
      <c r="P25" s="8">
        <f t="shared" si="5"/>
        <v>0</v>
      </c>
      <c r="Q25" s="15">
        <f t="shared" ca="1" si="12"/>
        <v>17886.479768157547</v>
      </c>
      <c r="R25" s="15">
        <f ca="1">IF(B25&lt;=5, Q25*'Fund Allocation Strategy'!$B$2,
 IF(B25&lt;=10, Q25*'Fund Allocation Strategy'!$B$3,
 IF(B25&lt;=15, Q25*'Fund Allocation Strategy'!$B$4,
 IF(B25&lt;=20, Q25*'Fund Allocation Strategy'!$B$5,
 IF(B25&lt;=25, Q25*'Fund Allocation Strategy'!$B$6,
 IF(B25&lt;=30, Q25*'Fund Allocation Strategy'!$B$7,
 Q25*'Fund Allocation Strategy'!$B$8))))))</f>
        <v>2682.9719652236322</v>
      </c>
      <c r="S25" s="17">
        <f ca="1">_xlfn.NORM.INV(RAND(),'Fund Allocation Strategy'!$B$11,'Fund Allocation Strategy'!$C$11)</f>
        <v>3.7550834255692153E-2</v>
      </c>
      <c r="T25" s="15">
        <f t="shared" ca="1" si="13"/>
        <v>421.85774263482705</v>
      </c>
      <c r="U25" s="15">
        <f t="shared" ca="1" si="14"/>
        <v>12997.654520109467</v>
      </c>
      <c r="V25" s="15">
        <f ca="1">IF(B25&lt;=5, Q25*'Fund Allocation Strategy'!$C$2,
 IF(B25&lt;=10, Q25*'Fund Allocation Strategy'!$C$3,
 IF(B25&lt;=15, Q25*'Fund Allocation Strategy'!$C$4,
 IF(B25&lt;=20, Q25*'Fund Allocation Strategy'!$C$5,
 IF(B25&lt;=25, Q25*'Fund Allocation Strategy'!$C$6,
 IF(B25&lt;=30, Q25*'Fund Allocation Strategy'!$C$7,
 Q25*'Fund Allocation Strategy'!$C$8))))))</f>
        <v>3577.2959536315097</v>
      </c>
      <c r="W25" s="16">
        <f ca="1">_xlfn.NORM.INV(RAND(),'Fund Allocation Strategy'!$B$12,'Fund Allocation Strategy'!$C$12)</f>
        <v>6.9498047732460488E-2</v>
      </c>
      <c r="X25" s="15">
        <f t="shared" ca="1" si="23"/>
        <v>1058.5765021466332</v>
      </c>
      <c r="Y25" s="15">
        <f t="shared" ca="1" si="24"/>
        <v>18078.968919061288</v>
      </c>
      <c r="Z25" s="15">
        <f ca="1">IF(B25&lt;=5, Q25*'Fund Allocation Strategy'!$D$2,
 IF(B25&lt;=10, Q25*'Fund Allocation Strategy'!$D$3,
 IF(B25&lt;=15, Q25*'Fund Allocation Strategy'!$D$4,
 IF(B25&lt;=20, Q25*'Fund Allocation Strategy'!$D$5,
 IF(B25&lt;=25, Q25*'Fund Allocation Strategy'!$D$6,
 IF(B25&lt;=30, Q25*'Fund Allocation Strategy'!$D$7,
 Q25*'Fund Allocation Strategy'!$D$8))))))</f>
        <v>6260.267918855141</v>
      </c>
      <c r="AA25" s="16">
        <f ca="1">_xlfn.NORM.INV(RAND(),'Fund Allocation Strategy'!$B$13,'Fund Allocation Strategy'!$C$13)</f>
        <v>0.10577060477581375</v>
      </c>
      <c r="AB25" s="15">
        <f t="shared" ca="1" si="25"/>
        <v>6724.3739075595095</v>
      </c>
      <c r="AC25" s="15">
        <f t="shared" ca="1" si="26"/>
        <v>73429.580750536974</v>
      </c>
      <c r="AD25" s="15">
        <f ca="1">IF(B25&lt;=5, Q25*'Fund Allocation Strategy'!$E$2,
 IF(B25&lt;=10, Q25*'Fund Allocation Strategy'!$E$3,
 IF(B25&lt;=15, Q25*'Fund Allocation Strategy'!$E$4,
 IF(B25&lt;=20, Q25*'Fund Allocation Strategy'!$E$5,
 IF(B25&lt;=25, Q25*'Fund Allocation Strategy'!$E$6,
 IF(B25&lt;=30, Q25*'Fund Allocation Strategy'!$E$7,
 Q25*'Fund Allocation Strategy'!$E$8))))))</f>
        <v>3577.2959536315097</v>
      </c>
      <c r="AE25" s="16">
        <f ca="1">_xlfn.NORM.INV(RAND(), 'Fund Allocation Strategy'!$B$14, 'Fund Allocation Strategy'!$C$14) + _xlfn.NORM.INV(RAND(), 'Fund Allocation Strategy'!$D$14,'Fund Allocation Strategy'!$E$14)</f>
        <v>0.34769535078427927</v>
      </c>
      <c r="AF25" s="15">
        <f t="shared" ca="1" si="15"/>
        <v>14535.593329705136</v>
      </c>
      <c r="AG25" s="15">
        <f ca="1">IF(B25&lt;=5, Q25*'Fund Allocation Strategy'!$F$2,
 IF(B25&lt;=10, Q25*'Fund Allocation Strategy'!$F$3,
 IF(B25&lt;=15, Q25*'Fund Allocation Strategy'!$F$4,
 IF(B25&lt;=20, Q25*'Fund Allocation Strategy'!$F$5,
 IF(B25&lt;=25, Q25*'Fund Allocation Strategy'!$F$6,
 IF(B25&lt;=30, Q25*'Fund Allocation Strategy'!$F$7,
 Q25*'Fund Allocation Strategy'!$F$8))))))</f>
        <v>1788.6479768157549</v>
      </c>
      <c r="AH25" s="16">
        <f ca="1">_xlfn.NORM.INV(RAND(),'Fund Allocation Strategy'!$B$15,'Fund Allocation Strategy'!$C$15)</f>
        <v>0.20677810646859376</v>
      </c>
      <c r="AI25" s="15">
        <f t="shared" ca="1" si="27"/>
        <v>234.48207951270109</v>
      </c>
      <c r="AJ25" s="15">
        <f t="shared" ca="1" si="16"/>
        <v>15380.43628071811</v>
      </c>
      <c r="AK25" s="15">
        <f t="shared" ca="1" si="6"/>
        <v>871.94678149160552</v>
      </c>
      <c r="AL25" s="17">
        <f t="shared" ca="1" si="7"/>
        <v>1.4999999999999999E-2</v>
      </c>
      <c r="AM25" s="15">
        <f t="shared" ca="1" si="17"/>
        <v>58129.7854327737</v>
      </c>
      <c r="AN25" s="15">
        <f t="shared" ca="1" si="18"/>
        <v>57257.838651282094</v>
      </c>
      <c r="AO25" s="15">
        <f ca="1">IF(AV25 = 0, I25 * (
    'Lifestyle Strategy'!$B$2 +
    ('Lifestyle Strategy'!$C$2 - 'Lifestyle Strategy'!$B$2) *
    _xlfn.BETA.INV(RAND(), 'Lifestyle Strategy'!$F$2, 'Lifestyle Strategy'!$G$2)
),IF(AV25 = "", "",0))</f>
        <v>0</v>
      </c>
      <c r="AP25" s="15">
        <f ca="1" xml:space="preserve"> I25 * (
    'Lifestyle Strategy'!$B$3 +
    ('Lifestyle Strategy'!$C$3 - 'Lifestyle Strategy'!$B$3) *
    _xlfn.BETA.INV(RAND(), 'Lifestyle Strategy'!$F$3, 'Lifestyle Strategy'!$G$3)
) * IF(MOD(B25,5)=0, 1 + 'Lifestyle Strategy'!$M$4, 1 + 0.025)</f>
        <v>17027.376218531412</v>
      </c>
      <c r="AQ25" s="15">
        <f ca="1" xml:space="preserve"> I25 * (
    'Lifestyle Strategy'!$B$4 +
    ('Lifestyle Strategy'!$C$4 - 'Lifestyle Strategy'!$B$4) *
    _xlfn.BETA.INV(RAND(), 'Lifestyle Strategy'!$F$4, 'Lifestyle Strategy'!$G$4)
) * IF(MOD(B25,5)=0, 1 + 'Lifestyle Strategy'!$M$4, 1 + 0.025)</f>
        <v>12440.547305514514</v>
      </c>
      <c r="AR25" s="15">
        <f ca="1" xml:space="preserve"> I25 * (
    'Lifestyle Strategy'!$B$5 +
    ('Lifestyle Strategy'!$C$5 - 'Lifestyle Strategy'!$B$5) *
    _xlfn.BETA.INV(RAND(), 'Lifestyle Strategy'!$F$5, 'Lifestyle Strategy'!$G$5)
) * IF(MOD(B25,5)=0, 1 + 'Lifestyle Strategy'!$M$4, 1 + 0.025)</f>
        <v>7075.1288846639</v>
      </c>
      <c r="AS25" s="15">
        <f ca="1" xml:space="preserve"> I25 * (
    'Lifestyle Strategy'!$B$6 +
    ('Lifestyle Strategy'!$C$6 - 'Lifestyle Strategy'!$B$6) *
    _xlfn.BETA.INV(RAND(), 'Lifestyle Strategy'!$F$6, 'Lifestyle Strategy'!$G$6)
) * IF(MOD(B25,5)=0, 1 + 'Lifestyle Strategy'!$M$4, 1 + 0.025)</f>
        <v>7157.4316169602453</v>
      </c>
      <c r="AT25" s="15">
        <f ca="1" xml:space="preserve"> I25 * (
    'Lifestyle Strategy'!$B$7 +
    ('Lifestyle Strategy'!$C$7 - 'Lifestyle Strategy'!$B$7) *
    _xlfn.BETA.INV(RAND(), 'Lifestyle Strategy'!$F$7, 'Lifestyle Strategy'!$G$7)
) * IF(MOD(B25,5)=0, 1 + 'Lifestyle Strategy'!$M$4, 1 + 0.025)</f>
        <v>16304.068940646739</v>
      </c>
      <c r="AU25" s="15">
        <f ca="1" xml:space="preserve"> I25 * (
    'Lifestyle Strategy'!$B$8 +
    ('Lifestyle Strategy'!$C$8 - 'Lifestyle Strategy'!$B$8) *
    _xlfn.BETA.INV(RAND(), 'Lifestyle Strategy'!$F$8, 'Lifestyle Strategy'!$G$8)
) * IF(MOD(B25,5)=0, 1 + 'Lifestyle Strategy'!$M$4, 1 + 0.025)</f>
        <v>6458.9274516669011</v>
      </c>
      <c r="AV25" s="15">
        <f ca="1">IF('Lifestyle Strategy'!$B$14 = "Yes",
   IF(AND(B25&gt;='Lifestyle Strategy'!$B$15, B25&lt;'Lifestyle Strategy'!$B$16),
      'Lifestyle Strategy'!$B$25,
      IF(B25&gt;='Lifestyle Strategy'!$B$16, "",
         0)
   ),
   0
)</f>
        <v>17163.199985889616</v>
      </c>
      <c r="AW25" s="15">
        <f ca="1">IF('Lifestyle Strategy'!$Q$4="No", 0,
   IF(AND(B25&gt;='Lifestyle Strategy'!$Q$5, B25&lt;'Lifestyle Strategy'!$Q$6),
      'Lifestyle Strategy'!$Q$8 * (1.025^(B25-'Lifestyle Strategy'!$Q$5)) * (1.12^INT((B25-'Lifestyle Strategy'!$Q$5)/5)),
      0
   )
)</f>
        <v>0</v>
      </c>
      <c r="AX25" s="15">
        <f t="shared" ca="1" si="8"/>
        <v>83626.680403873324</v>
      </c>
      <c r="AY25" s="15">
        <f ca="1">IF(B25='Lifestyle Strategy'!$Q$10, MIN(AN25, 'Lifestyle Strategy'!$Q$11), 0)</f>
        <v>0</v>
      </c>
      <c r="AZ25" s="15">
        <f ca="1">IF(B25='Lifestyle Strategy'!$Q$10, 'Lifestyle Strategy'!$Q$11, 0)</f>
        <v>0</v>
      </c>
      <c r="BA25" s="15">
        <f ca="1">IF(B25='Lifestyle Strategy'!$Q$10, MAX(AZ25 - AY25, 0), 0)</f>
        <v>0</v>
      </c>
      <c r="BB25" s="26">
        <f t="shared" ca="1" si="19"/>
        <v>177144.47912170793</v>
      </c>
      <c r="BC25" s="18" t="str">
        <f t="shared" ca="1" si="20"/>
        <v>$0.18M</v>
      </c>
      <c r="BD25" s="27"/>
      <c r="BQ25" s="8"/>
      <c r="BR25" s="8">
        <v>10</v>
      </c>
      <c r="BS25" s="8">
        <v>75</v>
      </c>
      <c r="BT25" s="15">
        <f ca="1">IF(BS25&lt;'Lifestyle Strategy'!$M$14, 0,
   'Lifestyle Strategy'!$M$15 *
   (1 + 'Lifestyle Strategy'!$M$16)^(BS25-'Lifestyle Strategy'!$M$14) *
   (1 + IF(RAND() &lt; (0.08 - 0.06) / (0.1 - 0.06),
             0.06 + SQRT(RAND() * (0.08 - 0.06) * (0.1 - 0.06)),
             0.1 - SQRT((1 - RAND()) * (0.1 - 0.08) * (0.1 - 0.06))
         ))^INT((BS25-'Lifestyle Strategy'!$M$14)/5)
)</f>
        <v>194824.35840951087</v>
      </c>
      <c r="BU25" s="139">
        <f t="shared" ca="1" si="29"/>
        <v>3.930368169544176E-2</v>
      </c>
      <c r="BV25" s="15">
        <f>'Lifestyle Strategy'!$M$22*(1+'Lifestyle Strategy'!$M$16)^('Lifestyle Strategy'!$M$23 + BR25-1)</f>
        <v>68167.585770215403</v>
      </c>
      <c r="BW25" s="15">
        <f t="shared" ca="1" si="30"/>
        <v>126656.77263929546</v>
      </c>
      <c r="BX25" s="139">
        <f t="shared" ca="1" si="31"/>
        <v>2.5551617451874988E-2</v>
      </c>
      <c r="BY25" s="140">
        <f ca="1">IFERROR(_xlfn.NORM.INV(RAND(),'Lifestyle Strategy'!$M$27,'Lifestyle Strategy'!$M$28),0)</f>
        <v>-2.3464445892055763E-3</v>
      </c>
      <c r="BZ25" s="15">
        <f t="shared" ca="1" si="32"/>
        <v>-11956.335497007938</v>
      </c>
      <c r="CA25" s="15">
        <f t="shared" ca="1" si="33"/>
        <v>4956898.4381456971</v>
      </c>
      <c r="CB25" s="15">
        <f>IF('Post-Retirement_Cal'!$K25&lt;0, ABS('Post-Retirement_Cal'!$K25),0)</f>
        <v>0</v>
      </c>
    </row>
    <row r="26" spans="1:80" x14ac:dyDescent="0.2">
      <c r="A26" s="8"/>
      <c r="B26" s="8">
        <v>13</v>
      </c>
      <c r="C26" s="8">
        <v>43</v>
      </c>
      <c r="D26" s="15">
        <f t="shared" ca="1" si="21"/>
        <v>221884.12104191325</v>
      </c>
      <c r="E26" s="15">
        <f t="shared" ca="1" si="28"/>
        <v>6801.6407318178972</v>
      </c>
      <c r="F26" s="19">
        <f t="shared" ca="1" si="22"/>
        <v>3.1623406620621193E-2</v>
      </c>
      <c r="G26" s="15">
        <f ca="1">'Tax rate cal'!C23</f>
        <v>65089.244706346173</v>
      </c>
      <c r="H26" s="15">
        <f t="shared" ca="1" si="9"/>
        <v>3705.4648213999512</v>
      </c>
      <c r="I26" s="15">
        <f t="shared" ca="1" si="10"/>
        <v>153089.41151416715</v>
      </c>
      <c r="J26" s="19">
        <f t="shared" ca="1" si="11"/>
        <v>0.09</v>
      </c>
      <c r="K26" s="19">
        <v>0.03</v>
      </c>
      <c r="L26" s="17">
        <f ca="1">IF(O26 = 0,0,'Lifestyle Strategy'!$Q$9)</f>
        <v>0</v>
      </c>
      <c r="M26" s="15">
        <f t="shared" ca="1" si="3"/>
        <v>13778.047036275044</v>
      </c>
      <c r="N26" s="15">
        <f t="shared" ca="1" si="4"/>
        <v>4592.6823454250143</v>
      </c>
      <c r="O26" s="15">
        <f ca="1">IF(AND('Lifestyle Strategy'!$Q$2="Yes", B26 &gt;='Lifestyle Strategy'!$Q$3),
     I26 * 'Lifestyle Strategy'!$Q$9,
     0
)</f>
        <v>0</v>
      </c>
      <c r="P26" s="8">
        <f t="shared" si="5"/>
        <v>0</v>
      </c>
      <c r="Q26" s="15">
        <f t="shared" ca="1" si="12"/>
        <v>18370.729381700057</v>
      </c>
      <c r="R26" s="15">
        <f ca="1">IF(B26&lt;=5, Q26*'Fund Allocation Strategy'!$B$2,
 IF(B26&lt;=10, Q26*'Fund Allocation Strategy'!$B$3,
 IF(B26&lt;=15, Q26*'Fund Allocation Strategy'!$B$4,
 IF(B26&lt;=20, Q26*'Fund Allocation Strategy'!$B$5,
 IF(B26&lt;=25, Q26*'Fund Allocation Strategy'!$B$6,
 IF(B26&lt;=30, Q26*'Fund Allocation Strategy'!$B$7,
 Q26*'Fund Allocation Strategy'!$B$8))))))</f>
        <v>2755.6094072550086</v>
      </c>
      <c r="S26" s="20">
        <f ca="1">_xlfn.NORM.INV(RAND(),'Fund Allocation Strategy'!$B$11,'Fund Allocation Strategy'!$C$11)</f>
        <v>3.6577799377955619E-2</v>
      </c>
      <c r="T26" s="15">
        <f t="shared" ca="1" si="13"/>
        <v>525.82266345183257</v>
      </c>
      <c r="U26" s="15">
        <f t="shared" ca="1" si="14"/>
        <v>16279.086590816307</v>
      </c>
      <c r="V26" s="15">
        <f ca="1">IF(B26&lt;=5, Q26*'Fund Allocation Strategy'!$C$2,
 IF(B26&lt;=10, Q26*'Fund Allocation Strategy'!$C$3,
 IF(B26&lt;=15, Q26*'Fund Allocation Strategy'!$C$4,
 IF(B26&lt;=20, Q26*'Fund Allocation Strategy'!$C$5,
 IF(B26&lt;=25, Q26*'Fund Allocation Strategy'!$C$6,
 IF(B26&lt;=30, Q26*'Fund Allocation Strategy'!$C$7,
 Q26*'Fund Allocation Strategy'!$C$8))))))</f>
        <v>3674.1458763400115</v>
      </c>
      <c r="W26" s="19">
        <f ca="1">_xlfn.NORM.INV(RAND(),'Fund Allocation Strategy'!$B$12,'Fund Allocation Strategy'!$C$12)</f>
        <v>7.0329657969589579E-2</v>
      </c>
      <c r="X26" s="15">
        <f t="shared" ca="1" si="23"/>
        <v>1400.6884119271065</v>
      </c>
      <c r="Y26" s="15">
        <f t="shared" ca="1" si="24"/>
        <v>23153.803207328405</v>
      </c>
      <c r="Z26" s="15">
        <f ca="1">IF(B26&lt;=5, Q26*'Fund Allocation Strategy'!$D$2,
 IF(B26&lt;=10, Q26*'Fund Allocation Strategy'!$D$3,
 IF(B26&lt;=15, Q26*'Fund Allocation Strategy'!$D$4,
 IF(B26&lt;=20, Q26*'Fund Allocation Strategy'!$D$5,
 IF(B26&lt;=25, Q26*'Fund Allocation Strategy'!$D$6,
 IF(B26&lt;=30, Q26*'Fund Allocation Strategy'!$D$7,
 Q26*'Fund Allocation Strategy'!$D$8))))))</f>
        <v>6429.75528359502</v>
      </c>
      <c r="AA26" s="19">
        <f ca="1">_xlfn.NORM.INV(RAND(),'Fund Allocation Strategy'!$B$13,'Fund Allocation Strategy'!$C$13)</f>
        <v>0.10567987371811093</v>
      </c>
      <c r="AB26" s="15">
        <f t="shared" ca="1" si="25"/>
        <v>8099.7766840949153</v>
      </c>
      <c r="AC26" s="15">
        <f t="shared" ca="1" si="26"/>
        <v>87959.112718226912</v>
      </c>
      <c r="AD26" s="15">
        <f ca="1">IF(B26&lt;=5, Q26*'Fund Allocation Strategy'!$E$2,
 IF(B26&lt;=10, Q26*'Fund Allocation Strategy'!$E$3,
 IF(B26&lt;=15, Q26*'Fund Allocation Strategy'!$E$4,
 IF(B26&lt;=20, Q26*'Fund Allocation Strategy'!$E$5,
 IF(B26&lt;=25, Q26*'Fund Allocation Strategy'!$E$6,
 IF(B26&lt;=30, Q26*'Fund Allocation Strategy'!$E$7,
 Q26*'Fund Allocation Strategy'!$E$8))))))</f>
        <v>3674.1458763400115</v>
      </c>
      <c r="AE26" s="16">
        <f ca="1">_xlfn.NORM.INV(RAND(), 'Fund Allocation Strategy'!$B$14, 'Fund Allocation Strategy'!$C$14) + _xlfn.NORM.INV(RAND(), 'Fund Allocation Strategy'!$D$14,'Fund Allocation Strategy'!$E$14)</f>
        <v>3.2418528086600798E-2</v>
      </c>
      <c r="AF26" s="15">
        <f t="shared" ca="1" si="15"/>
        <v>1944.0372823636508</v>
      </c>
      <c r="AG26" s="15">
        <f ca="1">IF(B26&lt;=5, Q26*'Fund Allocation Strategy'!$F$2,
 IF(B26&lt;=10, Q26*'Fund Allocation Strategy'!$F$3,
 IF(B26&lt;=15, Q26*'Fund Allocation Strategy'!$F$4,
 IF(B26&lt;=20, Q26*'Fund Allocation Strategy'!$F$5,
 IF(B26&lt;=25, Q26*'Fund Allocation Strategy'!$F$6,
 IF(B26&lt;=30, Q26*'Fund Allocation Strategy'!$F$7,
 Q26*'Fund Allocation Strategy'!$F$8))))))</f>
        <v>1837.0729381700057</v>
      </c>
      <c r="AH26" s="19">
        <f ca="1">_xlfn.NORM.INV(RAND(),'Fund Allocation Strategy'!$B$15,'Fund Allocation Strategy'!$C$15)</f>
        <v>0.20173993916006266</v>
      </c>
      <c r="AI26" s="15">
        <f t="shared" ca="1" si="27"/>
        <v>232.60989184452455</v>
      </c>
      <c r="AJ26" s="15">
        <f t="shared" ca="1" si="16"/>
        <v>17450.119110732641</v>
      </c>
      <c r="AK26" s="15">
        <f t="shared" ca="1" si="6"/>
        <v>956.21952887216048</v>
      </c>
      <c r="AL26" s="20">
        <f t="shared" ca="1" si="7"/>
        <v>1.4999999999999999E-2</v>
      </c>
      <c r="AM26" s="15">
        <f t="shared" ca="1" si="17"/>
        <v>63747.968591477365</v>
      </c>
      <c r="AN26" s="15">
        <f t="shared" ca="1" si="18"/>
        <v>62791.749062605202</v>
      </c>
      <c r="AO26" s="15">
        <f ca="1">IF(AV26 = 0, I26 * (
    'Lifestyle Strategy'!$B$2 +
    ('Lifestyle Strategy'!$C$2 - 'Lifestyle Strategy'!$B$2) *
    _xlfn.BETA.INV(RAND(), 'Lifestyle Strategy'!$F$2, 'Lifestyle Strategy'!$G$2)
),IF(AV26 = "", "",0))</f>
        <v>0</v>
      </c>
      <c r="AP26" s="15">
        <f ca="1" xml:space="preserve"> I26 * (
    'Lifestyle Strategy'!$B$3 +
    ('Lifestyle Strategy'!$C$3 - 'Lifestyle Strategy'!$B$3) *
    _xlfn.BETA.INV(RAND(), 'Lifestyle Strategy'!$F$3, 'Lifestyle Strategy'!$G$3)
) * IF(MOD(B26,5)=0, 1 + 'Lifestyle Strategy'!$M$4, 1 + 0.025)</f>
        <v>18962.398913995745</v>
      </c>
      <c r="AQ26" s="15">
        <f ca="1" xml:space="preserve"> I26 * (
    'Lifestyle Strategy'!$B$4 +
    ('Lifestyle Strategy'!$C$4 - 'Lifestyle Strategy'!$B$4) *
    _xlfn.BETA.INV(RAND(), 'Lifestyle Strategy'!$F$4, 'Lifestyle Strategy'!$G$4)
) * IF(MOD(B26,5)=0, 1 + 'Lifestyle Strategy'!$M$4, 1 + 0.025)</f>
        <v>14726.985425010313</v>
      </c>
      <c r="AR26" s="15">
        <f ca="1" xml:space="preserve"> I26 * (
    'Lifestyle Strategy'!$B$5 +
    ('Lifestyle Strategy'!$C$5 - 'Lifestyle Strategy'!$B$5) *
    _xlfn.BETA.INV(RAND(), 'Lifestyle Strategy'!$F$5, 'Lifestyle Strategy'!$G$5)
) * IF(MOD(B26,5)=0, 1 + 'Lifestyle Strategy'!$M$4, 1 + 0.025)</f>
        <v>8357.2344154402836</v>
      </c>
      <c r="AS26" s="15">
        <f ca="1" xml:space="preserve"> I26 * (
    'Lifestyle Strategy'!$B$6 +
    ('Lifestyle Strategy'!$C$6 - 'Lifestyle Strategy'!$B$6) *
    _xlfn.BETA.INV(RAND(), 'Lifestyle Strategy'!$F$6, 'Lifestyle Strategy'!$G$6)
) * IF(MOD(B26,5)=0, 1 + 'Lifestyle Strategy'!$M$4, 1 + 0.025)</f>
        <v>7958.1217850195953</v>
      </c>
      <c r="AT26" s="15">
        <f ca="1" xml:space="preserve"> I26 * (
    'Lifestyle Strategy'!$B$7 +
    ('Lifestyle Strategy'!$C$7 - 'Lifestyle Strategy'!$B$7) *
    _xlfn.BETA.INV(RAND(), 'Lifestyle Strategy'!$F$7, 'Lifestyle Strategy'!$G$7)
) * IF(MOD(B26,5)=0, 1 + 'Lifestyle Strategy'!$M$4, 1 + 0.025)</f>
        <v>15144.086293196711</v>
      </c>
      <c r="AU26" s="15">
        <f ca="1" xml:space="preserve"> I26 * (
    'Lifestyle Strategy'!$B$8 +
    ('Lifestyle Strategy'!$C$8 - 'Lifestyle Strategy'!$B$8) *
    _xlfn.BETA.INV(RAND(), 'Lifestyle Strategy'!$F$8, 'Lifestyle Strategy'!$G$8)
) * IF(MOD(B26,5)=0, 1 + 'Lifestyle Strategy'!$M$4, 1 + 0.025)</f>
        <v>7809.2522081667894</v>
      </c>
      <c r="AV26" s="15">
        <f ca="1">IF('Lifestyle Strategy'!$B$14 = "Yes",
   IF(AND(B26&gt;='Lifestyle Strategy'!$B$15, B26&lt;'Lifestyle Strategy'!$B$16),
      'Lifestyle Strategy'!$B$25,
      IF(B26&gt;='Lifestyle Strategy'!$B$16, "",
         0)
   ),
   0
)</f>
        <v>17163.199985889616</v>
      </c>
      <c r="AW26" s="15">
        <f ca="1">IF('Lifestyle Strategy'!$Q$4="No", 0,
   IF(AND(B26&gt;='Lifestyle Strategy'!$Q$5, B26&lt;'Lifestyle Strategy'!$Q$6),
      'Lifestyle Strategy'!$Q$8 * (1.025^(B26-'Lifestyle Strategy'!$Q$5)) * (1.12^INT((B26-'Lifestyle Strategy'!$Q$5)/5)),
      0
   )
)</f>
        <v>0</v>
      </c>
      <c r="AX26" s="15">
        <f t="shared" ca="1" si="8"/>
        <v>90121.279026719058</v>
      </c>
      <c r="AY26" s="15">
        <f ca="1">IF(B26='Lifestyle Strategy'!$Q$10, MIN(AN26, 'Lifestyle Strategy'!$Q$11), 0)</f>
        <v>0</v>
      </c>
      <c r="AZ26" s="15">
        <f ca="1">IF(B26='Lifestyle Strategy'!$Q$10, 'Lifestyle Strategy'!$Q$11, 0)</f>
        <v>0</v>
      </c>
      <c r="BA26" s="15">
        <f ca="1">IF(B26='Lifestyle Strategy'!$Q$10, MAX(AZ26 - AY26, 0), 0)</f>
        <v>0</v>
      </c>
      <c r="BB26" s="26">
        <f t="shared" ca="1" si="19"/>
        <v>207633.87068970947</v>
      </c>
      <c r="BC26" s="18" t="str">
        <f t="shared" ca="1" si="20"/>
        <v>$0.21M</v>
      </c>
      <c r="BD26" s="27"/>
      <c r="BQ26" s="8"/>
      <c r="BR26" s="8">
        <v>11</v>
      </c>
      <c r="BS26" s="8">
        <v>76</v>
      </c>
      <c r="BT26" s="15">
        <f ca="1">IF(BS26&lt;'Lifestyle Strategy'!$M$14, 0,
   'Lifestyle Strategy'!$M$15 *
   (1 + 'Lifestyle Strategy'!$M$16)^(BS26-'Lifestyle Strategy'!$M$14) *
   (1 + IF(RAND() &lt; (0.08 - 0.06) / (0.1 - 0.06),
             0.06 + SQRT(RAND() * (0.08 - 0.06) * (0.1 - 0.06)),
             0.1 - SQRT((1 - RAND()) * (0.1 - 0.08) * (0.1 - 0.06))
         ))^INT((BS26-'Lifestyle Strategy'!$M$14)/5)
)</f>
        <v>215322.25590001559</v>
      </c>
      <c r="BU26" s="139">
        <f t="shared" ca="1" si="29"/>
        <v>4.5012053205676306E-2</v>
      </c>
      <c r="BV26" s="15">
        <f>'Lifestyle Strategy'!$M$22*(1+'Lifestyle Strategy'!$M$16)^('Lifestyle Strategy'!$M$23 + BR26-1)</f>
        <v>69871.775414470787</v>
      </c>
      <c r="BW26" s="15">
        <f t="shared" ca="1" si="30"/>
        <v>145450.4804855448</v>
      </c>
      <c r="BX26" s="139">
        <f t="shared" ca="1" si="31"/>
        <v>3.0405703948441918E-2</v>
      </c>
      <c r="BY26" s="140">
        <f ca="1">IFERROR(_xlfn.NORM.INV(RAND(),'Lifestyle Strategy'!$M$27,'Lifestyle Strategy'!$M$28),0)</f>
        <v>-5.6063758448262058E-3</v>
      </c>
      <c r="BZ26" s="15">
        <f t="shared" ca="1" si="32"/>
        <v>-27790.235668876783</v>
      </c>
      <c r="CA26" s="15">
        <f t="shared" ca="1" si="33"/>
        <v>4783657.7219912754</v>
      </c>
      <c r="CB26" s="15">
        <f>IF('Post-Retirement_Cal'!$K26&lt;0, ABS('Post-Retirement_Cal'!$K26),0)</f>
        <v>0</v>
      </c>
    </row>
    <row r="27" spans="1:80" x14ac:dyDescent="0.2">
      <c r="A27" s="8"/>
      <c r="B27" s="8">
        <v>14</v>
      </c>
      <c r="C27" s="8">
        <v>44</v>
      </c>
      <c r="D27" s="15">
        <f t="shared" ca="1" si="21"/>
        <v>230338.17117369821</v>
      </c>
      <c r="E27" s="15">
        <f t="shared" ca="1" si="28"/>
        <v>8454.0501317849557</v>
      </c>
      <c r="F27" s="16">
        <f t="shared" ca="1" si="22"/>
        <v>3.8101194858319809E-2</v>
      </c>
      <c r="G27" s="15">
        <f ca="1">'Tax rate cal'!C24</f>
        <v>68386.324257742308</v>
      </c>
      <c r="H27" s="15">
        <f t="shared" ca="1" si="9"/>
        <v>3846.6474586007598</v>
      </c>
      <c r="I27" s="15">
        <f t="shared" ca="1" si="10"/>
        <v>158105.19945735513</v>
      </c>
      <c r="J27" s="16">
        <f t="shared" ca="1" si="11"/>
        <v>0.1</v>
      </c>
      <c r="K27" s="16">
        <v>0.03</v>
      </c>
      <c r="L27" s="17">
        <f ca="1">IF(O27 = 0,0,'Lifestyle Strategy'!$Q$9)</f>
        <v>0</v>
      </c>
      <c r="M27" s="15">
        <f t="shared" ca="1" si="3"/>
        <v>15810.519945735514</v>
      </c>
      <c r="N27" s="15">
        <f t="shared" ca="1" si="4"/>
        <v>4743.1559837206541</v>
      </c>
      <c r="O27" s="15">
        <f ca="1">IF(AND('Lifestyle Strategy'!$Q$2="Yes", B27 &gt;='Lifestyle Strategy'!$Q$3),
     I27 * 'Lifestyle Strategy'!$Q$9,
     0
)</f>
        <v>0</v>
      </c>
      <c r="P27" s="8">
        <f t="shared" si="5"/>
        <v>0</v>
      </c>
      <c r="Q27" s="15">
        <f t="shared" ca="1" si="12"/>
        <v>20553.675929456167</v>
      </c>
      <c r="R27" s="15">
        <f ca="1">IF(B27&lt;=5, Q27*'Fund Allocation Strategy'!$B$2,
 IF(B27&lt;=10, Q27*'Fund Allocation Strategy'!$B$3,
 IF(B27&lt;=15, Q27*'Fund Allocation Strategy'!$B$4,
 IF(B27&lt;=20, Q27*'Fund Allocation Strategy'!$B$5,
 IF(B27&lt;=25, Q27*'Fund Allocation Strategy'!$B$6,
 IF(B27&lt;=30, Q27*'Fund Allocation Strategy'!$B$7,
 Q27*'Fund Allocation Strategy'!$B$8))))))</f>
        <v>3083.0513894184251</v>
      </c>
      <c r="S27" s="17">
        <f ca="1">_xlfn.NORM.INV(RAND(),'Fund Allocation Strategy'!$B$11,'Fund Allocation Strategy'!$C$11)</f>
        <v>3.7053447710889281E-2</v>
      </c>
      <c r="T27" s="15">
        <f t="shared" ca="1" si="13"/>
        <v>660.31512549775096</v>
      </c>
      <c r="U27" s="15">
        <f t="shared" ca="1" si="14"/>
        <v>20022.453105732482</v>
      </c>
      <c r="V27" s="15">
        <f ca="1">IF(B27&lt;=5, Q27*'Fund Allocation Strategy'!$C$2,
 IF(B27&lt;=10, Q27*'Fund Allocation Strategy'!$C$3,
 IF(B27&lt;=15, Q27*'Fund Allocation Strategy'!$C$4,
 IF(B27&lt;=20, Q27*'Fund Allocation Strategy'!$C$5,
 IF(B27&lt;=25, Q27*'Fund Allocation Strategy'!$C$6,
 IF(B27&lt;=30, Q27*'Fund Allocation Strategy'!$C$7,
 Q27*'Fund Allocation Strategy'!$C$8))))))</f>
        <v>4110.7351858912334</v>
      </c>
      <c r="W27" s="16">
        <f ca="1">_xlfn.NORM.INV(RAND(),'Fund Allocation Strategy'!$B$12,'Fund Allocation Strategy'!$C$12)</f>
        <v>6.9320661942010142E-2</v>
      </c>
      <c r="X27" s="15">
        <f t="shared" ca="1" si="23"/>
        <v>1747.5164068841887</v>
      </c>
      <c r="Y27" s="15">
        <f t="shared" ca="1" si="24"/>
        <v>29012.054800103826</v>
      </c>
      <c r="Z27" s="15">
        <f ca="1">IF(B27&lt;=5, Q27*'Fund Allocation Strategy'!$D$2,
 IF(B27&lt;=10, Q27*'Fund Allocation Strategy'!$D$3,
 IF(B27&lt;=15, Q27*'Fund Allocation Strategy'!$D$4,
 IF(B27&lt;=20, Q27*'Fund Allocation Strategy'!$D$5,
 IF(B27&lt;=25, Q27*'Fund Allocation Strategy'!$D$6,
 IF(B27&lt;=30, Q27*'Fund Allocation Strategy'!$D$7,
 Q27*'Fund Allocation Strategy'!$D$8))))))</f>
        <v>7193.7865753096576</v>
      </c>
      <c r="AA27" s="16">
        <f ca="1">_xlfn.NORM.INV(RAND(),'Fund Allocation Strategy'!$B$13,'Fund Allocation Strategy'!$C$13)</f>
        <v>0.10300214961781193</v>
      </c>
      <c r="AB27" s="15">
        <f t="shared" ca="1" si="25"/>
        <v>9430.4654290271192</v>
      </c>
      <c r="AC27" s="15">
        <f t="shared" ca="1" si="26"/>
        <v>104583.36472256368</v>
      </c>
      <c r="AD27" s="15">
        <f ca="1">IF(B27&lt;=5, Q27*'Fund Allocation Strategy'!$E$2,
 IF(B27&lt;=10, Q27*'Fund Allocation Strategy'!$E$3,
 IF(B27&lt;=15, Q27*'Fund Allocation Strategy'!$E$4,
 IF(B27&lt;=20, Q27*'Fund Allocation Strategy'!$E$5,
 IF(B27&lt;=25, Q27*'Fund Allocation Strategy'!$E$6,
 IF(B27&lt;=30, Q27*'Fund Allocation Strategy'!$E$7,
 Q27*'Fund Allocation Strategy'!$E$8))))))</f>
        <v>4110.7351858912334</v>
      </c>
      <c r="AE27" s="16">
        <f ca="1">_xlfn.NORM.INV(RAND(), 'Fund Allocation Strategy'!$B$14, 'Fund Allocation Strategy'!$C$14) + _xlfn.NORM.INV(RAND(), 'Fund Allocation Strategy'!$D$14,'Fund Allocation Strategy'!$E$14)</f>
        <v>0.1590467751837617</v>
      </c>
      <c r="AF27" s="15">
        <f t="shared" ca="1" si="15"/>
        <v>10465.808416465414</v>
      </c>
      <c r="AG27" s="15">
        <f ca="1">IF(B27&lt;=5, Q27*'Fund Allocation Strategy'!$F$2,
 IF(B27&lt;=10, Q27*'Fund Allocation Strategy'!$F$3,
 IF(B27&lt;=15, Q27*'Fund Allocation Strategy'!$F$4,
 IF(B27&lt;=20, Q27*'Fund Allocation Strategy'!$F$5,
 IF(B27&lt;=25, Q27*'Fund Allocation Strategy'!$F$6,
 IF(B27&lt;=30, Q27*'Fund Allocation Strategy'!$F$7,
 Q27*'Fund Allocation Strategy'!$F$8))))))</f>
        <v>2055.3675929456167</v>
      </c>
      <c r="AH27" s="16">
        <f ca="1">_xlfn.NORM.INV(RAND(),'Fund Allocation Strategy'!$B$15,'Fund Allocation Strategy'!$C$15)</f>
        <v>0.20332019983922689</v>
      </c>
      <c r="AI27" s="15">
        <f t="shared" ca="1" si="27"/>
        <v>256.24316456479642</v>
      </c>
      <c r="AJ27" s="15">
        <f t="shared" ca="1" si="16"/>
        <v>19761.729868243056</v>
      </c>
      <c r="AK27" s="15">
        <f t="shared" ca="1" si="6"/>
        <v>1174.8676829075102</v>
      </c>
      <c r="AL27" s="17">
        <f t="shared" ca="1" si="7"/>
        <v>1.4999999999999999E-2</v>
      </c>
      <c r="AM27" s="15">
        <f t="shared" ca="1" si="17"/>
        <v>78324.512193834016</v>
      </c>
      <c r="AN27" s="15">
        <f t="shared" ca="1" si="18"/>
        <v>77149.644510926504</v>
      </c>
      <c r="AO27" s="15">
        <f ca="1">IF(AV27 = 0, I27 * (
    'Lifestyle Strategy'!$B$2 +
    ('Lifestyle Strategy'!$C$2 - 'Lifestyle Strategy'!$B$2) *
    _xlfn.BETA.INV(RAND(), 'Lifestyle Strategy'!$F$2, 'Lifestyle Strategy'!$G$2)
),IF(AV27 = "", "",0))</f>
        <v>0</v>
      </c>
      <c r="AP27" s="15">
        <f ca="1" xml:space="preserve"> I27 * (
    'Lifestyle Strategy'!$B$3 +
    ('Lifestyle Strategy'!$C$3 - 'Lifestyle Strategy'!$B$3) *
    _xlfn.BETA.INV(RAND(), 'Lifestyle Strategy'!$F$3, 'Lifestyle Strategy'!$G$3)
) * IF(MOD(B27,5)=0, 1 + 'Lifestyle Strategy'!$M$4, 1 + 0.025)</f>
        <v>19525.914823024352</v>
      </c>
      <c r="AQ27" s="15">
        <f ca="1" xml:space="preserve"> I27 * (
    'Lifestyle Strategy'!$B$4 +
    ('Lifestyle Strategy'!$C$4 - 'Lifestyle Strategy'!$B$4) *
    _xlfn.BETA.INV(RAND(), 'Lifestyle Strategy'!$F$4, 'Lifestyle Strategy'!$G$4)
) * IF(MOD(B27,5)=0, 1 + 'Lifestyle Strategy'!$M$4, 1 + 0.025)</f>
        <v>13173.36528388395</v>
      </c>
      <c r="AR27" s="15">
        <f ca="1" xml:space="preserve"> I27 * (
    'Lifestyle Strategy'!$B$5 +
    ('Lifestyle Strategy'!$C$5 - 'Lifestyle Strategy'!$B$5) *
    _xlfn.BETA.INV(RAND(), 'Lifestyle Strategy'!$F$5, 'Lifestyle Strategy'!$G$5)
) * IF(MOD(B27,5)=0, 1 + 'Lifestyle Strategy'!$M$4, 1 + 0.025)</f>
        <v>7934.232634504222</v>
      </c>
      <c r="AS27" s="15">
        <f ca="1" xml:space="preserve"> I27 * (
    'Lifestyle Strategy'!$B$6 +
    ('Lifestyle Strategy'!$C$6 - 'Lifestyle Strategy'!$B$6) *
    _xlfn.BETA.INV(RAND(), 'Lifestyle Strategy'!$F$6, 'Lifestyle Strategy'!$G$6)
) * IF(MOD(B27,5)=0, 1 + 'Lifestyle Strategy'!$M$4, 1 + 0.025)</f>
        <v>7707.8814664212714</v>
      </c>
      <c r="AT27" s="15">
        <f ca="1" xml:space="preserve"> I27 * (
    'Lifestyle Strategy'!$B$7 +
    ('Lifestyle Strategy'!$C$7 - 'Lifestyle Strategy'!$B$7) *
    _xlfn.BETA.INV(RAND(), 'Lifestyle Strategy'!$F$7, 'Lifestyle Strategy'!$G$7)
) * IF(MOD(B27,5)=0, 1 + 'Lifestyle Strategy'!$M$4, 1 + 0.025)</f>
        <v>15178.695974985809</v>
      </c>
      <c r="AU27" s="15">
        <f ca="1" xml:space="preserve"> I27 * (
    'Lifestyle Strategy'!$B$8 +
    ('Lifestyle Strategy'!$C$8 - 'Lifestyle Strategy'!$B$8) *
    _xlfn.BETA.INV(RAND(), 'Lifestyle Strategy'!$F$8, 'Lifestyle Strategy'!$G$8)
) * IF(MOD(B27,5)=0, 1 + 'Lifestyle Strategy'!$M$4, 1 + 0.025)</f>
        <v>5113.0425175864384</v>
      </c>
      <c r="AV27" s="15">
        <f ca="1">IF('Lifestyle Strategy'!$B$14 = "Yes",
   IF(AND(B27&gt;='Lifestyle Strategy'!$B$15, B27&lt;'Lifestyle Strategy'!$B$16),
      'Lifestyle Strategy'!$B$25,
      IF(B27&gt;='Lifestyle Strategy'!$B$16, "",
         0)
   ),
   0
)</f>
        <v>17163.199985889616</v>
      </c>
      <c r="AW27" s="15">
        <f ca="1">IF('Lifestyle Strategy'!$Q$4="No", 0,
   IF(AND(B27&gt;='Lifestyle Strategy'!$Q$5, B27&lt;'Lifestyle Strategy'!$Q$6),
      'Lifestyle Strategy'!$Q$8 * (1.025^(B27-'Lifestyle Strategy'!$Q$5)) * (1.12^INT((B27-'Lifestyle Strategy'!$Q$5)/5)),
      0
   )
)</f>
        <v>0</v>
      </c>
      <c r="AX27" s="15">
        <f t="shared" ca="1" si="8"/>
        <v>85796.33268629566</v>
      </c>
      <c r="AY27" s="15">
        <f ca="1">IF(B27='Lifestyle Strategy'!$Q$10, MIN(AN27, 'Lifestyle Strategy'!$Q$11), 0)</f>
        <v>0</v>
      </c>
      <c r="AZ27" s="15">
        <f ca="1">IF(B27='Lifestyle Strategy'!$Q$10, 'Lifestyle Strategy'!$Q$11, 0)</f>
        <v>0</v>
      </c>
      <c r="BA27" s="15">
        <f ca="1">IF(B27='Lifestyle Strategy'!$Q$10, MAX(AZ27 - AY27, 0), 0)</f>
        <v>0</v>
      </c>
      <c r="BB27" s="26">
        <f t="shared" ca="1" si="19"/>
        <v>250529.24700756953</v>
      </c>
      <c r="BC27" s="18" t="str">
        <f t="shared" ca="1" si="20"/>
        <v>$0.25M</v>
      </c>
      <c r="BD27" s="27"/>
      <c r="BQ27" s="8"/>
      <c r="BR27" s="8">
        <v>12</v>
      </c>
      <c r="BS27" s="8">
        <v>77</v>
      </c>
      <c r="BT27" s="15">
        <f ca="1">IF(BS27&lt;'Lifestyle Strategy'!$M$14, 0,
   'Lifestyle Strategy'!$M$15 *
   (1 + 'Lifestyle Strategy'!$M$16)^(BS27-'Lifestyle Strategy'!$M$14) *
   (1 + IF(RAND() &lt; (0.08 - 0.06) / (0.1 - 0.06),
             0.06 + SQRT(RAND() * (0.08 - 0.06) * (0.1 - 0.06)),
             0.1 - SQRT((1 - RAND()) * (0.1 - 0.08) * (0.1 - 0.06))
         ))^INT((BS27-'Lifestyle Strategy'!$M$14)/5)
)</f>
        <v>222550.47423221983</v>
      </c>
      <c r="BU27" s="139">
        <f t="shared" ca="1" si="29"/>
        <v>4.3385427077390848E-2</v>
      </c>
      <c r="BV27" s="15">
        <f>'Lifestyle Strategy'!$M$22*(1+'Lifestyle Strategy'!$M$16)^('Lifestyle Strategy'!$M$23 + BR27-1)</f>
        <v>71618.569799832534</v>
      </c>
      <c r="BW27" s="15">
        <f t="shared" ca="1" si="30"/>
        <v>150931.90443238729</v>
      </c>
      <c r="BX27" s="139">
        <f t="shared" ca="1" si="31"/>
        <v>2.942364043929338E-2</v>
      </c>
      <c r="BY27" s="140">
        <f ca="1">IFERROR(_xlfn.NORM.INV(RAND(),'Lifestyle Strategy'!$M$27,'Lifestyle Strategy'!$M$28),0)</f>
        <v>0.10387192241593282</v>
      </c>
      <c r="BZ27" s="15">
        <f t="shared" ca="1" si="32"/>
        <v>496887.72376305569</v>
      </c>
      <c r="CA27" s="15">
        <f t="shared" ca="1" si="33"/>
        <v>5129613.5413219444</v>
      </c>
      <c r="CB27" s="15">
        <f>IF('Post-Retirement_Cal'!$K27&lt;0, ABS('Post-Retirement_Cal'!$K27),0)</f>
        <v>0</v>
      </c>
    </row>
    <row r="28" spans="1:80" x14ac:dyDescent="0.2">
      <c r="A28" s="8"/>
      <c r="B28" s="8">
        <v>15</v>
      </c>
      <c r="C28" s="8">
        <v>45</v>
      </c>
      <c r="D28" s="15">
        <f t="shared" ca="1" si="21"/>
        <v>237156.64178498273</v>
      </c>
      <c r="E28" s="15">
        <f t="shared" ca="1" si="28"/>
        <v>6818.4706112845161</v>
      </c>
      <c r="F28" s="16">
        <f t="shared" ca="1" si="22"/>
        <v>2.9602000296089448E-2</v>
      </c>
      <c r="G28" s="15">
        <f ca="1">'Tax rate cal'!C25</f>
        <v>71045.527796143273</v>
      </c>
      <c r="H28" s="15">
        <f t="shared" ca="1" si="9"/>
        <v>3960.5159178092113</v>
      </c>
      <c r="I28" s="15">
        <f t="shared" ca="1" si="10"/>
        <v>162150.59807103022</v>
      </c>
      <c r="J28" s="16">
        <f t="shared" ca="1" si="11"/>
        <v>0.1</v>
      </c>
      <c r="K28" s="16">
        <v>0.03</v>
      </c>
      <c r="L28" s="17">
        <f ca="1">IF(O28 = 0,0,'Lifestyle Strategy'!$Q$9)</f>
        <v>0</v>
      </c>
      <c r="M28" s="15">
        <f t="shared" ca="1" si="3"/>
        <v>16215.059807103024</v>
      </c>
      <c r="N28" s="15">
        <f t="shared" ca="1" si="4"/>
        <v>4864.5179421309067</v>
      </c>
      <c r="O28" s="15">
        <f ca="1">IF(AND('Lifestyle Strategy'!$Q$2="Yes", B28 &gt;='Lifestyle Strategy'!$Q$3),
     I28 * 'Lifestyle Strategy'!$Q$9,
     0
)</f>
        <v>0</v>
      </c>
      <c r="P28" s="8">
        <f t="shared" ca="1" si="5"/>
        <v>10000</v>
      </c>
      <c r="Q28" s="15">
        <f t="shared" ca="1" si="12"/>
        <v>31079.577749233929</v>
      </c>
      <c r="R28" s="15">
        <f ca="1">IF(B28&lt;=5, Q28*'Fund Allocation Strategy'!$B$2,
 IF(B28&lt;=10, Q28*'Fund Allocation Strategy'!$B$3,
 IF(B28&lt;=15, Q28*'Fund Allocation Strategy'!$B$4,
 IF(B28&lt;=20, Q28*'Fund Allocation Strategy'!$B$5,
 IF(B28&lt;=25, Q28*'Fund Allocation Strategy'!$B$6,
 IF(B28&lt;=30, Q28*'Fund Allocation Strategy'!$B$7,
 Q28*'Fund Allocation Strategy'!$B$8))))))</f>
        <v>4661.9366623850892</v>
      </c>
      <c r="S28" s="17">
        <f ca="1">_xlfn.NORM.INV(RAND(),'Fund Allocation Strategy'!$B$11,'Fund Allocation Strategy'!$C$11)</f>
        <v>3.7541350222033261E-2</v>
      </c>
      <c r="T28" s="15">
        <f t="shared" ca="1" si="13"/>
        <v>839.1776228243084</v>
      </c>
      <c r="U28" s="15">
        <f t="shared" ca="1" si="14"/>
        <v>25523.56739094188</v>
      </c>
      <c r="V28" s="15">
        <f ca="1">IF(B28&lt;=5, Q28*'Fund Allocation Strategy'!$C$2,
 IF(B28&lt;=10, Q28*'Fund Allocation Strategy'!$C$3,
 IF(B28&lt;=15, Q28*'Fund Allocation Strategy'!$C$4,
 IF(B28&lt;=20, Q28*'Fund Allocation Strategy'!$C$5,
 IF(B28&lt;=25, Q28*'Fund Allocation Strategy'!$C$6,
 IF(B28&lt;=30, Q28*'Fund Allocation Strategy'!$C$7,
 Q28*'Fund Allocation Strategy'!$C$8))))))</f>
        <v>6215.9155498467862</v>
      </c>
      <c r="W28" s="16">
        <f ca="1">_xlfn.NORM.INV(RAND(),'Fund Allocation Strategy'!$B$12,'Fund Allocation Strategy'!$C$12)</f>
        <v>6.9822100219374308E-2</v>
      </c>
      <c r="X28" s="15">
        <f t="shared" ca="1" si="23"/>
        <v>2242.6867370611135</v>
      </c>
      <c r="Y28" s="15">
        <f t="shared" ca="1" si="24"/>
        <v>37470.657087011728</v>
      </c>
      <c r="Z28" s="15">
        <f ca="1">IF(B28&lt;=5, Q28*'Fund Allocation Strategy'!$D$2,
 IF(B28&lt;=10, Q28*'Fund Allocation Strategy'!$D$3,
 IF(B28&lt;=15, Q28*'Fund Allocation Strategy'!$D$4,
 IF(B28&lt;=20, Q28*'Fund Allocation Strategy'!$D$5,
 IF(B28&lt;=25, Q28*'Fund Allocation Strategy'!$D$6,
 IF(B28&lt;=30, Q28*'Fund Allocation Strategy'!$D$7,
 Q28*'Fund Allocation Strategy'!$D$8))))))</f>
        <v>10877.852212231875</v>
      </c>
      <c r="AA28" s="16">
        <f ca="1">_xlfn.NORM.INV(RAND(),'Fund Allocation Strategy'!$B$13,'Fund Allocation Strategy'!$C$13)</f>
        <v>0.10369222248330735</v>
      </c>
      <c r="AB28" s="15">
        <f t="shared" ca="1" si="25"/>
        <v>11408.455858730595</v>
      </c>
      <c r="AC28" s="15">
        <f t="shared" ca="1" si="26"/>
        <v>126869.67279352614</v>
      </c>
      <c r="AD28" s="15">
        <f ca="1">IF(B28&lt;=5, Q28*'Fund Allocation Strategy'!$E$2,
 IF(B28&lt;=10, Q28*'Fund Allocation Strategy'!$E$3,
 IF(B28&lt;=15, Q28*'Fund Allocation Strategy'!$E$4,
 IF(B28&lt;=20, Q28*'Fund Allocation Strategy'!$E$5,
 IF(B28&lt;=25, Q28*'Fund Allocation Strategy'!$E$6,
 IF(B28&lt;=30, Q28*'Fund Allocation Strategy'!$E$7,
 Q28*'Fund Allocation Strategy'!$E$8))))))</f>
        <v>6215.9155498467862</v>
      </c>
      <c r="AE28" s="16">
        <f ca="1">_xlfn.NORM.INV(RAND(), 'Fund Allocation Strategy'!$B$14, 'Fund Allocation Strategy'!$C$14) + _xlfn.NORM.INV(RAND(), 'Fund Allocation Strategy'!$D$14,'Fund Allocation Strategy'!$E$14)</f>
        <v>-4.2225358102624955E-3</v>
      </c>
      <c r="AF28" s="15">
        <f t="shared" ca="1" si="15"/>
        <v>-343.85152056120342</v>
      </c>
      <c r="AG28" s="15">
        <f ca="1">IF(B28&lt;=5, Q28*'Fund Allocation Strategy'!$F$2,
 IF(B28&lt;=10, Q28*'Fund Allocation Strategy'!$F$3,
 IF(B28&lt;=15, Q28*'Fund Allocation Strategy'!$F$4,
 IF(B28&lt;=20, Q28*'Fund Allocation Strategy'!$F$5,
 IF(B28&lt;=25, Q28*'Fund Allocation Strategy'!$F$6,
 IF(B28&lt;=30, Q28*'Fund Allocation Strategy'!$F$7,
 Q28*'Fund Allocation Strategy'!$F$8))))))</f>
        <v>3107.9577749233931</v>
      </c>
      <c r="AH28" s="16">
        <f ca="1">_xlfn.NORM.INV(RAND(),'Fund Allocation Strategy'!$B$15,'Fund Allocation Strategy'!$C$15)</f>
        <v>0.20447431647377301</v>
      </c>
      <c r="AI28" s="15">
        <f t="shared" ca="1" si="27"/>
        <v>370.14391675386793</v>
      </c>
      <c r="AJ28" s="15">
        <f t="shared" ca="1" si="16"/>
        <v>23239.831559920316</v>
      </c>
      <c r="AK28" s="15">
        <f t="shared" ca="1" si="6"/>
        <v>1262.9486433467939</v>
      </c>
      <c r="AL28" s="17">
        <f t="shared" ca="1" si="7"/>
        <v>1.4999999999999999E-2</v>
      </c>
      <c r="AM28" s="15">
        <f t="shared" ca="1" si="17"/>
        <v>84196.576223119599</v>
      </c>
      <c r="AN28" s="15">
        <f t="shared" ca="1" si="18"/>
        <v>82933.627579772801</v>
      </c>
      <c r="AO28" s="15">
        <f ca="1">IF(AV28 = 0, I28 * (
    'Lifestyle Strategy'!$B$2 +
    ('Lifestyle Strategy'!$C$2 - 'Lifestyle Strategy'!$B$2) *
    _xlfn.BETA.INV(RAND(), 'Lifestyle Strategy'!$F$2, 'Lifestyle Strategy'!$G$2)
),IF(AV28 = "", "",0))</f>
        <v>0</v>
      </c>
      <c r="AP28" s="15">
        <f ca="1" xml:space="preserve"> I28 * (
    'Lifestyle Strategy'!$B$3 +
    ('Lifestyle Strategy'!$C$3 - 'Lifestyle Strategy'!$B$3) *
    _xlfn.BETA.INV(RAND(), 'Lifestyle Strategy'!$F$3, 'Lifestyle Strategy'!$G$3)
) * IF(MOD(B28,5)=0, 1 + 'Lifestyle Strategy'!$M$4, 1 + 0.025)</f>
        <v>22310.061368294009</v>
      </c>
      <c r="AQ28" s="15">
        <f ca="1" xml:space="preserve"> I28 * (
    'Lifestyle Strategy'!$B$4 +
    ('Lifestyle Strategy'!$C$4 - 'Lifestyle Strategy'!$B$4) *
    _xlfn.BETA.INV(RAND(), 'Lifestyle Strategy'!$F$4, 'Lifestyle Strategy'!$G$4)
) * IF(MOD(B28,5)=0, 1 + 'Lifestyle Strategy'!$M$4, 1 + 0.025)</f>
        <v>14306.475066256675</v>
      </c>
      <c r="AR28" s="15">
        <f ca="1" xml:space="preserve"> I28 * (
    'Lifestyle Strategy'!$B$5 +
    ('Lifestyle Strategy'!$C$5 - 'Lifestyle Strategy'!$B$5) *
    _xlfn.BETA.INV(RAND(), 'Lifestyle Strategy'!$F$5, 'Lifestyle Strategy'!$G$5)
) * IF(MOD(B28,5)=0, 1 + 'Lifestyle Strategy'!$M$4, 1 + 0.025)</f>
        <v>8989.0054838985779</v>
      </c>
      <c r="AS28" s="15">
        <f ca="1" xml:space="preserve"> I28 * (
    'Lifestyle Strategy'!$B$6 +
    ('Lifestyle Strategy'!$C$6 - 'Lifestyle Strategy'!$B$6) *
    _xlfn.BETA.INV(RAND(), 'Lifestyle Strategy'!$F$6, 'Lifestyle Strategy'!$G$6)
) * IF(MOD(B28,5)=0, 1 + 'Lifestyle Strategy'!$M$4, 1 + 0.025)</f>
        <v>9232.0610949588172</v>
      </c>
      <c r="AT28" s="15">
        <f ca="1" xml:space="preserve"> I28 * (
    'Lifestyle Strategy'!$B$7 +
    ('Lifestyle Strategy'!$C$7 - 'Lifestyle Strategy'!$B$7) *
    _xlfn.BETA.INV(RAND(), 'Lifestyle Strategy'!$F$7, 'Lifestyle Strategy'!$G$7)
) * IF(MOD(B28,5)=0, 1 + 'Lifestyle Strategy'!$M$4, 1 + 0.025)</f>
        <v>18572.479039513437</v>
      </c>
      <c r="AU28" s="15">
        <f ca="1" xml:space="preserve"> I28 * (
    'Lifestyle Strategy'!$B$8 +
    ('Lifestyle Strategy'!$C$8 - 'Lifestyle Strategy'!$B$8) *
    _xlfn.BETA.INV(RAND(), 'Lifestyle Strategy'!$F$8, 'Lifestyle Strategy'!$G$8)
) * IF(MOD(B28,5)=0, 1 + 'Lifestyle Strategy'!$M$4, 1 + 0.025)</f>
        <v>6539.3660679174382</v>
      </c>
      <c r="AV28" s="15">
        <f ca="1">IF('Lifestyle Strategy'!$B$14 = "Yes",
   IF(AND(B28&gt;='Lifestyle Strategy'!$B$15, B28&lt;'Lifestyle Strategy'!$B$16),
      'Lifestyle Strategy'!$B$25,
      IF(B28&gt;='Lifestyle Strategy'!$B$16, "",
         0)
   ),
   0
)</f>
        <v>17163.199985889616</v>
      </c>
      <c r="AW28" s="15">
        <f ca="1">IF('Lifestyle Strategy'!$Q$4="No", 0,
   IF(AND(B28&gt;='Lifestyle Strategy'!$Q$5, B28&lt;'Lifestyle Strategy'!$Q$6),
      'Lifestyle Strategy'!$Q$8 * (1.025^(B28-'Lifestyle Strategy'!$Q$5)) * (1.12^INT((B28-'Lifestyle Strategy'!$Q$5)/5)),
      0
   )
)</f>
        <v>0</v>
      </c>
      <c r="AX28" s="15">
        <f t="shared" ca="1" si="8"/>
        <v>97112.648106728564</v>
      </c>
      <c r="AY28" s="15">
        <f ca="1">IF(B28='Lifestyle Strategy'!$Q$10, MIN(AN28, 'Lifestyle Strategy'!$Q$11), 0)</f>
        <v>0</v>
      </c>
      <c r="AZ28" s="15">
        <f ca="1">IF(B28='Lifestyle Strategy'!$Q$10, 'Lifestyle Strategy'!$Q$11, 0)</f>
        <v>0</v>
      </c>
      <c r="BA28" s="15">
        <f ca="1">IF(B28='Lifestyle Strategy'!$Q$10, MAX(AZ28 - AY28, 0), 0)</f>
        <v>0</v>
      </c>
      <c r="BB28" s="26">
        <f t="shared" ca="1" si="19"/>
        <v>296037.35641117289</v>
      </c>
      <c r="BC28" s="18" t="str">
        <f t="shared" ca="1" si="20"/>
        <v>$0.30M</v>
      </c>
      <c r="BD28" s="27"/>
      <c r="BQ28" s="8"/>
      <c r="BR28" s="8">
        <v>13</v>
      </c>
      <c r="BS28" s="8">
        <v>78</v>
      </c>
      <c r="BT28" s="15">
        <f ca="1">IF(BS28&lt;'Lifestyle Strategy'!$M$14, 0,
   'Lifestyle Strategy'!$M$15 *
   (1 + 'Lifestyle Strategy'!$M$16)^(BS28-'Lifestyle Strategy'!$M$14) *
   (1 + IF(RAND() &lt; (0.08 - 0.06) / (0.1 - 0.06),
             0.06 + SQRT(RAND() * (0.08 - 0.06) * (0.1 - 0.06)),
             0.1 - SQRT((1 - RAND()) * (0.1 - 0.08) * (0.1 - 0.06))
         ))^INT((BS28-'Lifestyle Strategy'!$M$14)/5)
)</f>
        <v>221512.90776474748</v>
      </c>
      <c r="BU28" s="139">
        <f t="shared" ca="1" si="29"/>
        <v>4.2234681749500423E-2</v>
      </c>
      <c r="BV28" s="15">
        <f>'Lifestyle Strategy'!$M$22*(1+'Lifestyle Strategy'!$M$16)^('Lifestyle Strategy'!$M$23 + BR28-1)</f>
        <v>73409.034044828368</v>
      </c>
      <c r="BW28" s="15">
        <f t="shared" ca="1" si="30"/>
        <v>148103.87371991912</v>
      </c>
      <c r="BX28" s="139">
        <f t="shared" ca="1" si="31"/>
        <v>2.8238173727880837E-2</v>
      </c>
      <c r="BY28" s="140">
        <f ca="1">IFERROR(_xlfn.NORM.INV(RAND(),'Lifestyle Strategy'!$M$27,'Lifestyle Strategy'!$M$28),0)</f>
        <v>5.1329590343159155E-2</v>
      </c>
      <c r="BZ28" s="15">
        <f t="shared" ca="1" si="32"/>
        <v>263300.9616947773</v>
      </c>
      <c r="CA28" s="15">
        <f t="shared" ca="1" si="33"/>
        <v>5244810.629296802</v>
      </c>
      <c r="CB28" s="15">
        <f>IF('Post-Retirement_Cal'!$K28&lt;0, ABS('Post-Retirement_Cal'!$K28),0)</f>
        <v>0</v>
      </c>
    </row>
    <row r="29" spans="1:80" x14ac:dyDescent="0.2">
      <c r="A29" s="8"/>
      <c r="B29" s="8">
        <v>16</v>
      </c>
      <c r="C29" s="8">
        <v>46</v>
      </c>
      <c r="D29" s="15">
        <f t="shared" ca="1" si="21"/>
        <v>246745.75651246429</v>
      </c>
      <c r="E29" s="15">
        <f t="shared" ca="1" si="28"/>
        <v>9589.1147274815594</v>
      </c>
      <c r="F29" s="16">
        <f t="shared" ca="1" si="22"/>
        <v>4.0433675630200137E-2</v>
      </c>
      <c r="G29" s="15">
        <f ca="1">'Tax rate cal'!C26</f>
        <v>74785.282539861073</v>
      </c>
      <c r="H29" s="15">
        <f t="shared" ca="1" si="9"/>
        <v>4120.6541337581539</v>
      </c>
      <c r="I29" s="15">
        <f t="shared" ca="1" si="10"/>
        <v>167839.81983884505</v>
      </c>
      <c r="J29" s="16">
        <f t="shared" ca="1" si="11"/>
        <v>0.11</v>
      </c>
      <c r="K29" s="16">
        <v>0.03</v>
      </c>
      <c r="L29" s="17">
        <f ca="1">IF(O29 = 0,0,'Lifestyle Strategy'!$Q$9)</f>
        <v>0</v>
      </c>
      <c r="M29" s="15">
        <f t="shared" ca="1" si="3"/>
        <v>18462.380182272955</v>
      </c>
      <c r="N29" s="15">
        <f t="shared" ca="1" si="4"/>
        <v>5035.1945951653515</v>
      </c>
      <c r="O29" s="15">
        <f ca="1">IF(AND('Lifestyle Strategy'!$Q$2="Yes", B29 &gt;='Lifestyle Strategy'!$Q$3),
     I29 * 'Lifestyle Strategy'!$Q$9,
     0
)</f>
        <v>0</v>
      </c>
      <c r="P29" s="8">
        <f t="shared" si="5"/>
        <v>0</v>
      </c>
      <c r="Q29" s="15">
        <f t="shared" ca="1" si="12"/>
        <v>23497.574777438305</v>
      </c>
      <c r="R29" s="15">
        <f ca="1">IF(B29&lt;=5, Q29*'Fund Allocation Strategy'!$B$2,
 IF(B29&lt;=10, Q29*'Fund Allocation Strategy'!$B$3,
 IF(B29&lt;=15, Q29*'Fund Allocation Strategy'!$B$4,
 IF(B29&lt;=20, Q29*'Fund Allocation Strategy'!$B$5,
 IF(B29&lt;=25, Q29*'Fund Allocation Strategy'!$B$6,
 IF(B29&lt;=30, Q29*'Fund Allocation Strategy'!$B$7,
 Q29*'Fund Allocation Strategy'!$B$8))))))</f>
        <v>5286.9543249236185</v>
      </c>
      <c r="S29" s="17">
        <f ca="1">_xlfn.NORM.INV(RAND(),'Fund Allocation Strategy'!$B$11,'Fund Allocation Strategy'!$C$11)</f>
        <v>3.7804919163224086E-2</v>
      </c>
      <c r="T29" s="15">
        <f t="shared" ca="1" si="13"/>
        <v>1064.8528424083577</v>
      </c>
      <c r="U29" s="15">
        <f t="shared" ca="1" si="14"/>
        <v>31875.374558273856</v>
      </c>
      <c r="V29" s="15">
        <f ca="1">IF(B29&lt;=5, Q29*'Fund Allocation Strategy'!$C$2,
 IF(B29&lt;=10, Q29*'Fund Allocation Strategy'!$C$3,
 IF(B29&lt;=15, Q29*'Fund Allocation Strategy'!$C$4,
 IF(B29&lt;=20, Q29*'Fund Allocation Strategy'!$C$5,
 IF(B29&lt;=25, Q29*'Fund Allocation Strategy'!$C$6,
 IF(B29&lt;=30, Q29*'Fund Allocation Strategy'!$C$7,
 Q29*'Fund Allocation Strategy'!$C$8))))))</f>
        <v>5874.3936943595763</v>
      </c>
      <c r="W29" s="16">
        <f ca="1">_xlfn.NORM.INV(RAND(),'Fund Allocation Strategy'!$B$12,'Fund Allocation Strategy'!$C$12)</f>
        <v>6.9384650295711697E-2</v>
      </c>
      <c r="X29" s="15">
        <f t="shared" ca="1" si="23"/>
        <v>2803.6848144240766</v>
      </c>
      <c r="Y29" s="15">
        <f t="shared" ca="1" si="24"/>
        <v>46148.735595795384</v>
      </c>
      <c r="Z29" s="15">
        <f ca="1">IF(B29&lt;=5, Q29*'Fund Allocation Strategy'!$D$2,
 IF(B29&lt;=10, Q29*'Fund Allocation Strategy'!$D$3,
 IF(B29&lt;=15, Q29*'Fund Allocation Strategy'!$D$4,
 IF(B29&lt;=20, Q29*'Fund Allocation Strategy'!$D$5,
 IF(B29&lt;=25, Q29*'Fund Allocation Strategy'!$D$6,
 IF(B29&lt;=30, Q29*'Fund Allocation Strategy'!$D$7,
 Q29*'Fund Allocation Strategy'!$D$8))))))</f>
        <v>7049.272433231491</v>
      </c>
      <c r="AA29" s="16">
        <f ca="1">_xlfn.NORM.INV(RAND(),'Fund Allocation Strategy'!$B$13,'Fund Allocation Strategy'!$C$13)</f>
        <v>0.10357601275598814</v>
      </c>
      <c r="AB29" s="15">
        <f t="shared" ca="1" si="25"/>
        <v>13505.722613342716</v>
      </c>
      <c r="AC29" s="15">
        <f t="shared" ca="1" si="26"/>
        <v>147424.66784010036</v>
      </c>
      <c r="AD29" s="15">
        <f ca="1">IF(B29&lt;=5, Q29*'Fund Allocation Strategy'!$E$2,
 IF(B29&lt;=10, Q29*'Fund Allocation Strategy'!$E$3,
 IF(B29&lt;=15, Q29*'Fund Allocation Strategy'!$E$4,
 IF(B29&lt;=20, Q29*'Fund Allocation Strategy'!$E$5,
 IF(B29&lt;=25, Q29*'Fund Allocation Strategy'!$E$6,
 IF(B29&lt;=30, Q29*'Fund Allocation Strategy'!$E$7,
 Q29*'Fund Allocation Strategy'!$E$8))))))</f>
        <v>3524.6362166157455</v>
      </c>
      <c r="AE29" s="16">
        <f ca="1">_xlfn.NORM.INV(RAND(), 'Fund Allocation Strategy'!$B$14, 'Fund Allocation Strategy'!$C$14) + _xlfn.NORM.INV(RAND(), 'Fund Allocation Strategy'!$D$14,'Fund Allocation Strategy'!$E$14)</f>
        <v>0.14269052759736756</v>
      </c>
      <c r="AF29" s="15">
        <f t="shared" ca="1" si="15"/>
        <v>12265.519983837754</v>
      </c>
      <c r="AG29" s="15">
        <f ca="1">IF(B29&lt;=5, Q29*'Fund Allocation Strategy'!$F$2,
 IF(B29&lt;=10, Q29*'Fund Allocation Strategy'!$F$3,
 IF(B29&lt;=15, Q29*'Fund Allocation Strategy'!$F$4,
 IF(B29&lt;=20, Q29*'Fund Allocation Strategy'!$F$5,
 IF(B29&lt;=25, Q29*'Fund Allocation Strategy'!$F$6,
 IF(B29&lt;=30, Q29*'Fund Allocation Strategy'!$F$7,
 Q29*'Fund Allocation Strategy'!$F$8))))))</f>
        <v>1762.3181083078728</v>
      </c>
      <c r="AH29" s="16">
        <f ca="1">_xlfn.NORM.INV(RAND(),'Fund Allocation Strategy'!$B$15,'Fund Allocation Strategy'!$C$15)</f>
        <v>0.20308044362244942</v>
      </c>
      <c r="AI29" s="15">
        <f t="shared" ca="1" si="27"/>
        <v>254.11516243804584</v>
      </c>
      <c r="AJ29" s="15">
        <f t="shared" ca="1" si="16"/>
        <v>25256.264830666238</v>
      </c>
      <c r="AK29" s="15">
        <f t="shared" ca="1" si="6"/>
        <v>1499.8009863535965</v>
      </c>
      <c r="AL29" s="17">
        <f t="shared" ca="1" si="7"/>
        <v>1.4999999999999999E-2</v>
      </c>
      <c r="AM29" s="15">
        <f t="shared" ca="1" si="17"/>
        <v>99986.732423573107</v>
      </c>
      <c r="AN29" s="15">
        <f t="shared" ca="1" si="18"/>
        <v>98486.931437219508</v>
      </c>
      <c r="AO29" s="15">
        <f ca="1">IF(AV29 = 0, I29 * (
    'Lifestyle Strategy'!$B$2 +
    ('Lifestyle Strategy'!$C$2 - 'Lifestyle Strategy'!$B$2) *
    _xlfn.BETA.INV(RAND(), 'Lifestyle Strategy'!$F$2, 'Lifestyle Strategy'!$G$2)
),IF(AV29 = "", "",0))</f>
        <v>0</v>
      </c>
      <c r="AP29" s="15">
        <f ca="1" xml:space="preserve"> I29 * (
    'Lifestyle Strategy'!$B$3 +
    ('Lifestyle Strategy'!$C$3 - 'Lifestyle Strategy'!$B$3) *
    _xlfn.BETA.INV(RAND(), 'Lifestyle Strategy'!$F$3, 'Lifestyle Strategy'!$G$3)
) * IF(MOD(B29,5)=0, 1 + 'Lifestyle Strategy'!$M$4, 1 + 0.025)</f>
        <v>21427.39661682949</v>
      </c>
      <c r="AQ29" s="15">
        <f ca="1" xml:space="preserve"> I29 * (
    'Lifestyle Strategy'!$B$4 +
    ('Lifestyle Strategy'!$C$4 - 'Lifestyle Strategy'!$B$4) *
    _xlfn.BETA.INV(RAND(), 'Lifestyle Strategy'!$F$4, 'Lifestyle Strategy'!$G$4)
) * IF(MOD(B29,5)=0, 1 + 'Lifestyle Strategy'!$M$4, 1 + 0.025)</f>
        <v>14286.868152433228</v>
      </c>
      <c r="AR29" s="15">
        <f ca="1" xml:space="preserve"> I29 * (
    'Lifestyle Strategy'!$B$5 +
    ('Lifestyle Strategy'!$C$5 - 'Lifestyle Strategy'!$B$5) *
    _xlfn.BETA.INV(RAND(), 'Lifestyle Strategy'!$F$5, 'Lifestyle Strategy'!$G$5)
) * IF(MOD(B29,5)=0, 1 + 'Lifestyle Strategy'!$M$4, 1 + 0.025)</f>
        <v>7783.1107279866665</v>
      </c>
      <c r="AS29" s="15">
        <f ca="1" xml:space="preserve"> I29 * (
    'Lifestyle Strategy'!$B$6 +
    ('Lifestyle Strategy'!$C$6 - 'Lifestyle Strategy'!$B$6) *
    _xlfn.BETA.INV(RAND(), 'Lifestyle Strategy'!$F$6, 'Lifestyle Strategy'!$G$6)
) * IF(MOD(B29,5)=0, 1 + 'Lifestyle Strategy'!$M$4, 1 + 0.025)</f>
        <v>9117.4917291457732</v>
      </c>
      <c r="AT29" s="15">
        <f ca="1" xml:space="preserve"> I29 * (
    'Lifestyle Strategy'!$B$7 +
    ('Lifestyle Strategy'!$C$7 - 'Lifestyle Strategy'!$B$7) *
    _xlfn.BETA.INV(RAND(), 'Lifestyle Strategy'!$F$7, 'Lifestyle Strategy'!$G$7)
) * IF(MOD(B29,5)=0, 1 + 'Lifestyle Strategy'!$M$4, 1 + 0.025)</f>
        <v>17026.527964279292</v>
      </c>
      <c r="AU29" s="15">
        <f ca="1" xml:space="preserve"> I29 * (
    'Lifestyle Strategy'!$B$8 +
    ('Lifestyle Strategy'!$C$8 - 'Lifestyle Strategy'!$B$8) *
    _xlfn.BETA.INV(RAND(), 'Lifestyle Strategy'!$F$8, 'Lifestyle Strategy'!$G$8)
) * IF(MOD(B29,5)=0, 1 + 'Lifestyle Strategy'!$M$4, 1 + 0.025)</f>
        <v>6032.7995816676557</v>
      </c>
      <c r="AV29" s="15">
        <f ca="1">IF('Lifestyle Strategy'!$B$14 = "Yes",
   IF(AND(B29&gt;='Lifestyle Strategy'!$B$15, B29&lt;'Lifestyle Strategy'!$B$16),
      'Lifestyle Strategy'!$B$25,
      IF(B29&gt;='Lifestyle Strategy'!$B$16, "",
         0)
   ),
   0
)</f>
        <v>17163.199985889616</v>
      </c>
      <c r="AW29" s="15">
        <f ca="1">IF('Lifestyle Strategy'!$Q$4="No", 0,
   IF(AND(B29&gt;='Lifestyle Strategy'!$Q$5, B29&lt;'Lifestyle Strategy'!$Q$6),
      'Lifestyle Strategy'!$Q$8 * (1.025^(B29-'Lifestyle Strategy'!$Q$5)) * (1.12^INT((B29-'Lifestyle Strategy'!$Q$5)/5)),
      0
   )
)</f>
        <v>0</v>
      </c>
      <c r="AX29" s="15">
        <f t="shared" ca="1" si="8"/>
        <v>92837.394758231734</v>
      </c>
      <c r="AY29" s="15">
        <f ca="1">IF(B29='Lifestyle Strategy'!$Q$10, MIN(AN29, 'Lifestyle Strategy'!$Q$11), 0)</f>
        <v>0</v>
      </c>
      <c r="AZ29" s="15">
        <f ca="1">IF(B29='Lifestyle Strategy'!$Q$10, 'Lifestyle Strategy'!$Q$11, 0)</f>
        <v>0</v>
      </c>
      <c r="BA29" s="15">
        <f ca="1">IF(B29='Lifestyle Strategy'!$Q$10, MAX(AZ29 - AY29, 0), 0)</f>
        <v>0</v>
      </c>
      <c r="BB29" s="26">
        <f t="shared" ca="1" si="19"/>
        <v>349191.97426205536</v>
      </c>
      <c r="BC29" s="18" t="str">
        <f t="shared" ca="1" si="20"/>
        <v>$0.35M</v>
      </c>
      <c r="BD29" s="27"/>
      <c r="BQ29" s="8"/>
      <c r="BR29" s="8">
        <v>14</v>
      </c>
      <c r="BS29" s="8">
        <v>79</v>
      </c>
      <c r="BT29" s="15">
        <f ca="1">IF(BS29&lt;'Lifestyle Strategy'!$M$14, 0,
   'Lifestyle Strategy'!$M$15 *
   (1 + 'Lifestyle Strategy'!$M$16)^(BS29-'Lifestyle Strategy'!$M$14) *
   (1 + IF(RAND() &lt; (0.08 - 0.06) / (0.1 - 0.06),
             0.06 + SQRT(RAND() * (0.08 - 0.06) * (0.1 - 0.06)),
             0.1 - SQRT((1 - RAND()) * (0.1 - 0.08) * (0.1 - 0.06))
         ))^INT((BS29-'Lifestyle Strategy'!$M$14)/5)
)</f>
        <v>228947.90367290252</v>
      </c>
      <c r="BU29" s="139">
        <f t="shared" ca="1" si="29"/>
        <v>4.5829374022260422E-2</v>
      </c>
      <c r="BV29" s="15">
        <f>'Lifestyle Strategy'!$M$22*(1+'Lifestyle Strategy'!$M$16)^('Lifestyle Strategy'!$M$23 + BR29-1)</f>
        <v>75244.259895949072</v>
      </c>
      <c r="BW29" s="15">
        <f t="shared" ca="1" si="30"/>
        <v>153703.64377695345</v>
      </c>
      <c r="BX29" s="139">
        <f t="shared" ca="1" si="31"/>
        <v>3.0767443886720331E-2</v>
      </c>
      <c r="BY29" s="140">
        <f ca="1">IFERROR(_xlfn.NORM.INV(RAND(),'Lifestyle Strategy'!$M$27,'Lifestyle Strategy'!$M$28),0)</f>
        <v>-1.8198644952474467E-2</v>
      </c>
      <c r="BZ29" s="15">
        <f t="shared" ca="1" si="32"/>
        <v>-95448.446485536682</v>
      </c>
      <c r="CA29" s="15">
        <f t="shared" ca="1" si="33"/>
        <v>4995658.5390343117</v>
      </c>
      <c r="CB29" s="15">
        <f>IF('Post-Retirement_Cal'!$K29&lt;0, ABS('Post-Retirement_Cal'!$K29),0)</f>
        <v>0</v>
      </c>
    </row>
    <row r="30" spans="1:80" x14ac:dyDescent="0.2">
      <c r="A30" s="8"/>
      <c r="B30" s="8">
        <v>17</v>
      </c>
      <c r="C30" s="8">
        <v>47</v>
      </c>
      <c r="D30" s="15">
        <f t="shared" ca="1" si="21"/>
        <v>252726.30108315285</v>
      </c>
      <c r="E30" s="15">
        <f t="shared" ca="1" si="28"/>
        <v>5980.5445706885657</v>
      </c>
      <c r="F30" s="16">
        <f t="shared" ca="1" si="22"/>
        <v>2.4237679525752898E-2</v>
      </c>
      <c r="G30" s="15">
        <f ca="1">'Tax rate cal'!C27</f>
        <v>77117.694922429626</v>
      </c>
      <c r="H30" s="15">
        <f t="shared" ca="1" si="9"/>
        <v>4220.5292280886524</v>
      </c>
      <c r="I30" s="15">
        <f t="shared" ca="1" si="10"/>
        <v>171388.07693263458</v>
      </c>
      <c r="J30" s="16">
        <f t="shared" ca="1" si="11"/>
        <v>0.11</v>
      </c>
      <c r="K30" s="16">
        <v>0.03</v>
      </c>
      <c r="L30" s="17">
        <f ca="1">IF(O30 = 0,0,'Lifestyle Strategy'!$Q$9)</f>
        <v>0</v>
      </c>
      <c r="M30" s="15">
        <f t="shared" ca="1" si="3"/>
        <v>18852.688462589802</v>
      </c>
      <c r="N30" s="15">
        <f t="shared" ca="1" si="4"/>
        <v>5141.6423079790375</v>
      </c>
      <c r="O30" s="15">
        <f ca="1">IF(AND('Lifestyle Strategy'!$Q$2="Yes", B30 &gt;='Lifestyle Strategy'!$Q$3),
     I30 * 'Lifestyle Strategy'!$Q$9,
     0
)</f>
        <v>0</v>
      </c>
      <c r="P30" s="8">
        <f t="shared" si="5"/>
        <v>0</v>
      </c>
      <c r="Q30" s="15">
        <f t="shared" ca="1" si="12"/>
        <v>23994.330770568838</v>
      </c>
      <c r="R30" s="15">
        <f ca="1">IF(B30&lt;=5, Q30*'Fund Allocation Strategy'!$B$2,
 IF(B30&lt;=10, Q30*'Fund Allocation Strategy'!$B$3,
 IF(B30&lt;=15, Q30*'Fund Allocation Strategy'!$B$4,
 IF(B30&lt;=20, Q30*'Fund Allocation Strategy'!$B$5,
 IF(B30&lt;=25, Q30*'Fund Allocation Strategy'!$B$6,
 IF(B30&lt;=30, Q30*'Fund Allocation Strategy'!$B$7,
 Q30*'Fund Allocation Strategy'!$B$8))))))</f>
        <v>5398.7244233779884</v>
      </c>
      <c r="S30" s="17">
        <f ca="1">_xlfn.NORM.INV(RAND(),'Fund Allocation Strategy'!$B$11,'Fund Allocation Strategy'!$C$11)</f>
        <v>3.7082759765532214E-2</v>
      </c>
      <c r="T30" s="15">
        <f t="shared" ca="1" si="13"/>
        <v>1282.1266575970456</v>
      </c>
      <c r="U30" s="15">
        <f t="shared" ca="1" si="14"/>
        <v>38556.225639248885</v>
      </c>
      <c r="V30" s="15">
        <f ca="1">IF(B30&lt;=5, Q30*'Fund Allocation Strategy'!$C$2,
 IF(B30&lt;=10, Q30*'Fund Allocation Strategy'!$C$3,
 IF(B30&lt;=15, Q30*'Fund Allocation Strategy'!$C$4,
 IF(B30&lt;=20, Q30*'Fund Allocation Strategy'!$C$5,
 IF(B30&lt;=25, Q30*'Fund Allocation Strategy'!$C$6,
 IF(B30&lt;=30, Q30*'Fund Allocation Strategy'!$C$7,
 Q30*'Fund Allocation Strategy'!$C$8))))))</f>
        <v>5998.5826926422096</v>
      </c>
      <c r="W30" s="16">
        <f ca="1">_xlfn.NORM.INV(RAND(),'Fund Allocation Strategy'!$B$12,'Fund Allocation Strategy'!$C$12)</f>
        <v>6.9360766124158119E-2</v>
      </c>
      <c r="X30" s="15">
        <f t="shared" ca="1" si="23"/>
        <v>3408.9448021959638</v>
      </c>
      <c r="Y30" s="15">
        <f t="shared" ca="1" si="24"/>
        <v>55556.263090633554</v>
      </c>
      <c r="Z30" s="15">
        <f ca="1">IF(B30&lt;=5, Q30*'Fund Allocation Strategy'!$D$2,
 IF(B30&lt;=10, Q30*'Fund Allocation Strategy'!$D$3,
 IF(B30&lt;=15, Q30*'Fund Allocation Strategy'!$D$4,
 IF(B30&lt;=20, Q30*'Fund Allocation Strategy'!$D$5,
 IF(B30&lt;=25, Q30*'Fund Allocation Strategy'!$D$6,
 IF(B30&lt;=30, Q30*'Fund Allocation Strategy'!$D$7,
 Q30*'Fund Allocation Strategy'!$D$8))))))</f>
        <v>7198.2992311706512</v>
      </c>
      <c r="AA30" s="16">
        <f ca="1">_xlfn.NORM.INV(RAND(),'Fund Allocation Strategy'!$B$13,'Fund Allocation Strategy'!$C$13)</f>
        <v>0.10439430596919967</v>
      </c>
      <c r="AB30" s="15">
        <f t="shared" ca="1" si="25"/>
        <v>15766.026608105411</v>
      </c>
      <c r="AC30" s="15">
        <f t="shared" ca="1" si="26"/>
        <v>170388.99367937641</v>
      </c>
      <c r="AD30" s="15">
        <f ca="1">IF(B30&lt;=5, Q30*'Fund Allocation Strategy'!$E$2,
 IF(B30&lt;=10, Q30*'Fund Allocation Strategy'!$E$3,
 IF(B30&lt;=15, Q30*'Fund Allocation Strategy'!$E$4,
 IF(B30&lt;=20, Q30*'Fund Allocation Strategy'!$E$5,
 IF(B30&lt;=25, Q30*'Fund Allocation Strategy'!$E$6,
 IF(B30&lt;=30, Q30*'Fund Allocation Strategy'!$E$7,
 Q30*'Fund Allocation Strategy'!$E$8))))))</f>
        <v>3599.1496155853256</v>
      </c>
      <c r="AE30" s="16">
        <f ca="1">_xlfn.NORM.INV(RAND(), 'Fund Allocation Strategy'!$B$14, 'Fund Allocation Strategy'!$C$14) + _xlfn.NORM.INV(RAND(), 'Fund Allocation Strategy'!$D$14,'Fund Allocation Strategy'!$E$14)</f>
        <v>3.791197305231235E-2</v>
      </c>
      <c r="AF30" s="15">
        <f t="shared" ca="1" si="15"/>
        <v>3858.9197368499244</v>
      </c>
      <c r="AG30" s="15">
        <f ca="1">IF(B30&lt;=5, Q30*'Fund Allocation Strategy'!$F$2,
 IF(B30&lt;=10, Q30*'Fund Allocation Strategy'!$F$3,
 IF(B30&lt;=15, Q30*'Fund Allocation Strategy'!$F$4,
 IF(B30&lt;=20, Q30*'Fund Allocation Strategy'!$F$5,
 IF(B30&lt;=25, Q30*'Fund Allocation Strategy'!$F$6,
 IF(B30&lt;=30, Q30*'Fund Allocation Strategy'!$F$7,
 Q30*'Fund Allocation Strategy'!$F$8))))))</f>
        <v>1799.5748077926628</v>
      </c>
      <c r="AH30" s="16">
        <f ca="1">_xlfn.NORM.INV(RAND(),'Fund Allocation Strategy'!$B$15,'Fund Allocation Strategy'!$C$15)</f>
        <v>0.21248832293284103</v>
      </c>
      <c r="AI30" s="15">
        <f t="shared" ca="1" si="27"/>
        <v>245.19082114829317</v>
      </c>
      <c r="AJ30" s="15">
        <f t="shared" ca="1" si="16"/>
        <v>27301.030459607191</v>
      </c>
      <c r="AK30" s="15">
        <f t="shared" ca="1" si="6"/>
        <v>1611.6720266401253</v>
      </c>
      <c r="AL30" s="17">
        <f t="shared" ca="1" si="7"/>
        <v>1.4999999999999999E-2</v>
      </c>
      <c r="AM30" s="15">
        <f t="shared" ca="1" si="17"/>
        <v>107444.80177600836</v>
      </c>
      <c r="AN30" s="15">
        <f t="shared" ca="1" si="18"/>
        <v>105833.12974936824</v>
      </c>
      <c r="AO30" s="15">
        <f ca="1">IF(AV30 = 0, I30 * (
    'Lifestyle Strategy'!$B$2 +
    ('Lifestyle Strategy'!$C$2 - 'Lifestyle Strategy'!$B$2) *
    _xlfn.BETA.INV(RAND(), 'Lifestyle Strategy'!$F$2, 'Lifestyle Strategy'!$G$2)
),IF(AV30 = "", "",0))</f>
        <v>0</v>
      </c>
      <c r="AP30" s="15">
        <f ca="1" xml:space="preserve"> I30 * (
    'Lifestyle Strategy'!$B$3 +
    ('Lifestyle Strategy'!$C$3 - 'Lifestyle Strategy'!$B$3) *
    _xlfn.BETA.INV(RAND(), 'Lifestyle Strategy'!$F$3, 'Lifestyle Strategy'!$G$3)
) * IF(MOD(B30,5)=0, 1 + 'Lifestyle Strategy'!$M$4, 1 + 0.025)</f>
        <v>22186.265507115942</v>
      </c>
      <c r="AQ30" s="15">
        <f ca="1" xml:space="preserve"> I30 * (
    'Lifestyle Strategy'!$B$4 +
    ('Lifestyle Strategy'!$C$4 - 'Lifestyle Strategy'!$B$4) *
    _xlfn.BETA.INV(RAND(), 'Lifestyle Strategy'!$F$4, 'Lifestyle Strategy'!$G$4)
) * IF(MOD(B30,5)=0, 1 + 'Lifestyle Strategy'!$M$4, 1 + 0.025)</f>
        <v>14827.997911826962</v>
      </c>
      <c r="AR30" s="15">
        <f ca="1" xml:space="preserve"> I30 * (
    'Lifestyle Strategy'!$B$5 +
    ('Lifestyle Strategy'!$C$5 - 'Lifestyle Strategy'!$B$5) *
    _xlfn.BETA.INV(RAND(), 'Lifestyle Strategy'!$F$5, 'Lifestyle Strategy'!$G$5)
) * IF(MOD(B30,5)=0, 1 + 'Lifestyle Strategy'!$M$4, 1 + 0.025)</f>
        <v>8454.5966419340239</v>
      </c>
      <c r="AS30" s="15">
        <f ca="1" xml:space="preserve"> I30 * (
    'Lifestyle Strategy'!$B$6 +
    ('Lifestyle Strategy'!$C$6 - 'Lifestyle Strategy'!$B$6) *
    _xlfn.BETA.INV(RAND(), 'Lifestyle Strategy'!$F$6, 'Lifestyle Strategy'!$G$6)
) * IF(MOD(B30,5)=0, 1 + 'Lifestyle Strategy'!$M$4, 1 + 0.025)</f>
        <v>8632.7425165676887</v>
      </c>
      <c r="AT30" s="15">
        <f ca="1" xml:space="preserve"> I30 * (
    'Lifestyle Strategy'!$B$7 +
    ('Lifestyle Strategy'!$C$7 - 'Lifestyle Strategy'!$B$7) *
    _xlfn.BETA.INV(RAND(), 'Lifestyle Strategy'!$F$7, 'Lifestyle Strategy'!$G$7)
) * IF(MOD(B30,5)=0, 1 + 'Lifestyle Strategy'!$M$4, 1 + 0.025)</f>
        <v>18667.405571768588</v>
      </c>
      <c r="AU30" s="15">
        <f ca="1" xml:space="preserve"> I30 * (
    'Lifestyle Strategy'!$B$8 +
    ('Lifestyle Strategy'!$C$8 - 'Lifestyle Strategy'!$B$8) *
    _xlfn.BETA.INV(RAND(), 'Lifestyle Strategy'!$F$8, 'Lifestyle Strategy'!$G$8)
) * IF(MOD(B30,5)=0, 1 + 'Lifestyle Strategy'!$M$4, 1 + 0.025)</f>
        <v>6583.9404021414566</v>
      </c>
      <c r="AV30" s="15">
        <f ca="1">IF('Lifestyle Strategy'!$B$14 = "Yes",
   IF(AND(B30&gt;='Lifestyle Strategy'!$B$15, B30&lt;'Lifestyle Strategy'!$B$16),
      'Lifestyle Strategy'!$B$25,
      IF(B30&gt;='Lifestyle Strategy'!$B$16, "",
         0)
   ),
   0
)</f>
        <v>17163.199985889616</v>
      </c>
      <c r="AW30" s="15">
        <f ca="1">IF('Lifestyle Strategy'!$Q$4="No", 0,
   IF(AND(B30&gt;='Lifestyle Strategy'!$Q$5, B30&lt;'Lifestyle Strategy'!$Q$6),
      'Lifestyle Strategy'!$Q$8 * (1.025^(B30-'Lifestyle Strategy'!$Q$5)) * (1.12^INT((B30-'Lifestyle Strategy'!$Q$5)/5)),
      0
   )
)</f>
        <v>0</v>
      </c>
      <c r="AX30" s="15">
        <f t="shared" ca="1" si="8"/>
        <v>96516.148537244284</v>
      </c>
      <c r="AY30" s="15">
        <f ca="1">IF(B30='Lifestyle Strategy'!$Q$10, MIN(AN30, 'Lifestyle Strategy'!$Q$11), 0)</f>
        <v>0</v>
      </c>
      <c r="AZ30" s="15">
        <f ca="1">IF(B30='Lifestyle Strategy'!$Q$10, 'Lifestyle Strategy'!$Q$11, 0)</f>
        <v>0</v>
      </c>
      <c r="BA30" s="15">
        <f ca="1">IF(B30='Lifestyle Strategy'!$Q$10, MAX(AZ30 - AY30, 0), 0)</f>
        <v>0</v>
      </c>
      <c r="BB30" s="26">
        <f t="shared" ca="1" si="19"/>
        <v>397635.64261823427</v>
      </c>
      <c r="BC30" s="18" t="str">
        <f t="shared" ca="1" si="20"/>
        <v>$0.40M</v>
      </c>
      <c r="BD30" s="27"/>
      <c r="BQ30" s="8"/>
      <c r="BR30" s="8">
        <v>15</v>
      </c>
      <c r="BS30" s="8">
        <v>80</v>
      </c>
      <c r="BT30" s="15">
        <f ca="1">IF(BS30&lt;'Lifestyle Strategy'!$M$14, 0,
   'Lifestyle Strategy'!$M$15 *
   (1 + 'Lifestyle Strategy'!$M$16)^(BS30-'Lifestyle Strategy'!$M$14) *
   (1 + IF(RAND() &lt; (0.08 - 0.06) / (0.1 - 0.06),
             0.06 + SQRT(RAND() * (0.08 - 0.06) * (0.1 - 0.06)),
             0.1 - SQRT((1 - RAND()) * (0.1 - 0.08) * (0.1 - 0.06))
         ))^INT((BS30-'Lifestyle Strategy'!$M$14)/5)
)</f>
        <v>231519.56823183913</v>
      </c>
      <c r="BU30" s="139">
        <f t="shared" ca="1" si="29"/>
        <v>4.759856530632544E-2</v>
      </c>
      <c r="BV30" s="15">
        <f>'Lifestyle Strategy'!$M$22*(1+'Lifestyle Strategy'!$M$16)^('Lifestyle Strategy'!$M$23 + BR30-1)</f>
        <v>77125.36639334778</v>
      </c>
      <c r="BW30" s="15">
        <f t="shared" ca="1" si="30"/>
        <v>154394.20183849137</v>
      </c>
      <c r="BX30" s="139">
        <f t="shared" ca="1" si="31"/>
        <v>3.174220889945828E-2</v>
      </c>
      <c r="BY30" s="140">
        <f ca="1">IFERROR(_xlfn.NORM.INV(RAND(),'Lifestyle Strategy'!$M$27,'Lifestyle Strategy'!$M$28),0)</f>
        <v>4.5517006757814366E-3</v>
      </c>
      <c r="BZ30" s="15">
        <f t="shared" ca="1" si="32"/>
        <v>22738.74234809578</v>
      </c>
      <c r="CA30" s="15">
        <f t="shared" ca="1" si="33"/>
        <v>4864003.0795439156</v>
      </c>
      <c r="CB30" s="15">
        <f>IF('Post-Retirement_Cal'!$K30&lt;0, ABS('Post-Retirement_Cal'!$K30),0)</f>
        <v>0</v>
      </c>
    </row>
    <row r="31" spans="1:80" x14ac:dyDescent="0.2">
      <c r="A31" s="8"/>
      <c r="B31" s="8">
        <v>18</v>
      </c>
      <c r="C31" s="8">
        <v>48</v>
      </c>
      <c r="D31" s="15">
        <f t="shared" ca="1" si="21"/>
        <v>261722.0057610033</v>
      </c>
      <c r="E31" s="15">
        <f t="shared" ca="1" si="28"/>
        <v>8995.7046778504446</v>
      </c>
      <c r="F31" s="16">
        <f t="shared" ca="1" si="22"/>
        <v>3.5594651760802086E-2</v>
      </c>
      <c r="G31" s="15">
        <f ca="1">'Tax rate cal'!C28</f>
        <v>80626.019746791295</v>
      </c>
      <c r="H31" s="15">
        <f t="shared" ca="1" si="9"/>
        <v>4370.7574962087547</v>
      </c>
      <c r="I31" s="15">
        <f t="shared" ca="1" si="10"/>
        <v>176725.22851800325</v>
      </c>
      <c r="J31" s="16">
        <f t="shared" ca="1" si="11"/>
        <v>0.12</v>
      </c>
      <c r="K31" s="16">
        <v>0.03</v>
      </c>
      <c r="L31" s="17">
        <f ca="1">IF(O31 = 0,0,'Lifestyle Strategy'!$Q$9)</f>
        <v>0</v>
      </c>
      <c r="M31" s="15">
        <f t="shared" ca="1" si="3"/>
        <v>21207.02742216039</v>
      </c>
      <c r="N31" s="15">
        <f t="shared" ca="1" si="4"/>
        <v>5301.7568555400976</v>
      </c>
      <c r="O31" s="15">
        <f ca="1">IF(AND('Lifestyle Strategy'!$Q$2="Yes", B31 &gt;='Lifestyle Strategy'!$Q$3),
     I31 * 'Lifestyle Strategy'!$Q$9,
     0
)</f>
        <v>0</v>
      </c>
      <c r="P31" s="8">
        <f t="shared" si="5"/>
        <v>0</v>
      </c>
      <c r="Q31" s="15">
        <f t="shared" ca="1" si="12"/>
        <v>26508.784277700488</v>
      </c>
      <c r="R31" s="15">
        <f ca="1">IF(B31&lt;=5, Q31*'Fund Allocation Strategy'!$B$2,
 IF(B31&lt;=10, Q31*'Fund Allocation Strategy'!$B$3,
 IF(B31&lt;=15, Q31*'Fund Allocation Strategy'!$B$4,
 IF(B31&lt;=20, Q31*'Fund Allocation Strategy'!$B$5,
 IF(B31&lt;=25, Q31*'Fund Allocation Strategy'!$B$6,
 IF(B31&lt;=30, Q31*'Fund Allocation Strategy'!$B$7,
 Q31*'Fund Allocation Strategy'!$B$8))))))</f>
        <v>5964.4764624826103</v>
      </c>
      <c r="S31" s="17">
        <f ca="1">_xlfn.NORM.INV(RAND(),'Fund Allocation Strategy'!$B$11,'Fund Allocation Strategy'!$C$11)</f>
        <v>3.6727807243597685E-2</v>
      </c>
      <c r="T31" s="15">
        <f t="shared" ca="1" si="13"/>
        <v>1525.6166942305103</v>
      </c>
      <c r="U31" s="15">
        <f t="shared" ca="1" si="14"/>
        <v>46046.318795962012</v>
      </c>
      <c r="V31" s="15">
        <f ca="1">IF(B31&lt;=5, Q31*'Fund Allocation Strategy'!$C$2,
 IF(B31&lt;=10, Q31*'Fund Allocation Strategy'!$C$3,
 IF(B31&lt;=15, Q31*'Fund Allocation Strategy'!$C$4,
 IF(B31&lt;=20, Q31*'Fund Allocation Strategy'!$C$5,
 IF(B31&lt;=25, Q31*'Fund Allocation Strategy'!$C$6,
 IF(B31&lt;=30, Q31*'Fund Allocation Strategy'!$C$7,
 Q31*'Fund Allocation Strategy'!$C$8))))))</f>
        <v>6627.196069425122</v>
      </c>
      <c r="W31" s="16">
        <f ca="1">_xlfn.NORM.INV(RAND(),'Fund Allocation Strategy'!$B$12,'Fund Allocation Strategy'!$C$12)</f>
        <v>6.8965014427794E-2</v>
      </c>
      <c r="X31" s="15">
        <f t="shared" ca="1" si="23"/>
        <v>4059.960821871724</v>
      </c>
      <c r="Y31" s="15">
        <f t="shared" ca="1" si="24"/>
        <v>66243.419981930405</v>
      </c>
      <c r="Z31" s="15">
        <f ca="1">IF(B31&lt;=5, Q31*'Fund Allocation Strategy'!$D$2,
 IF(B31&lt;=10, Q31*'Fund Allocation Strategy'!$D$3,
 IF(B31&lt;=15, Q31*'Fund Allocation Strategy'!$D$4,
 IF(B31&lt;=20, Q31*'Fund Allocation Strategy'!$D$5,
 IF(B31&lt;=25, Q31*'Fund Allocation Strategy'!$D$6,
 IF(B31&lt;=30, Q31*'Fund Allocation Strategy'!$D$7,
 Q31*'Fund Allocation Strategy'!$D$8))))))</f>
        <v>7952.6352833101464</v>
      </c>
      <c r="AA31" s="16">
        <f ca="1">_xlfn.NORM.INV(RAND(),'Fund Allocation Strategy'!$B$13,'Fund Allocation Strategy'!$C$13)</f>
        <v>0.10519414384429311</v>
      </c>
      <c r="AB31" s="15">
        <f t="shared" ca="1" si="25"/>
        <v>18342.209640559537</v>
      </c>
      <c r="AC31" s="15">
        <f t="shared" ca="1" si="26"/>
        <v>196683.83860324608</v>
      </c>
      <c r="AD31" s="15">
        <f ca="1">IF(B31&lt;=5, Q31*'Fund Allocation Strategy'!$E$2,
 IF(B31&lt;=10, Q31*'Fund Allocation Strategy'!$E$3,
 IF(B31&lt;=15, Q31*'Fund Allocation Strategy'!$E$4,
 IF(B31&lt;=20, Q31*'Fund Allocation Strategy'!$E$5,
 IF(B31&lt;=25, Q31*'Fund Allocation Strategy'!$E$6,
 IF(B31&lt;=30, Q31*'Fund Allocation Strategy'!$E$7,
 Q31*'Fund Allocation Strategy'!$E$8))))))</f>
        <v>3976.3176416550732</v>
      </c>
      <c r="AE31" s="16">
        <f ca="1">_xlfn.NORM.INV(RAND(), 'Fund Allocation Strategy'!$B$14, 'Fund Allocation Strategy'!$C$14) + _xlfn.NORM.INV(RAND(), 'Fund Allocation Strategy'!$D$14,'Fund Allocation Strategy'!$E$14)</f>
        <v>-1.321278399366968E-2</v>
      </c>
      <c r="AF31" s="15">
        <f t="shared" ca="1" si="15"/>
        <v>-1445.9140701537583</v>
      </c>
      <c r="AG31" s="15">
        <f ca="1">IF(B31&lt;=5, Q31*'Fund Allocation Strategy'!$F$2,
 IF(B31&lt;=10, Q31*'Fund Allocation Strategy'!$F$3,
 IF(B31&lt;=15, Q31*'Fund Allocation Strategy'!$F$4,
 IF(B31&lt;=20, Q31*'Fund Allocation Strategy'!$F$5,
 IF(B31&lt;=25, Q31*'Fund Allocation Strategy'!$F$6,
 IF(B31&lt;=30, Q31*'Fund Allocation Strategy'!$F$7,
 Q31*'Fund Allocation Strategy'!$F$8))))))</f>
        <v>1988.1588208275366</v>
      </c>
      <c r="AH31" s="16">
        <f ca="1">_xlfn.NORM.INV(RAND(),'Fund Allocation Strategy'!$B$15,'Fund Allocation Strategy'!$C$15)</f>
        <v>0.20039291914805499</v>
      </c>
      <c r="AI31" s="15">
        <f t="shared" ca="1" si="27"/>
        <v>248.34097931600755</v>
      </c>
      <c r="AJ31" s="15">
        <f t="shared" ca="1" si="16"/>
        <v>29537.530259750733</v>
      </c>
      <c r="AK31" s="15">
        <f t="shared" ca="1" si="6"/>
        <v>1649.628080212645</v>
      </c>
      <c r="AL31" s="17">
        <f t="shared" ca="1" si="7"/>
        <v>1.4999999999999999E-2</v>
      </c>
      <c r="AM31" s="15">
        <f t="shared" ca="1" si="17"/>
        <v>109975.20534750968</v>
      </c>
      <c r="AN31" s="15">
        <f t="shared" ca="1" si="18"/>
        <v>108325.57726729703</v>
      </c>
      <c r="AO31" s="15">
        <f ca="1">IF(AV31 = 0, I31 * (
    'Lifestyle Strategy'!$B$2 +
    ('Lifestyle Strategy'!$C$2 - 'Lifestyle Strategy'!$B$2) *
    _xlfn.BETA.INV(RAND(), 'Lifestyle Strategy'!$F$2, 'Lifestyle Strategy'!$G$2)
),IF(AV31 = "", "",0))</f>
        <v>0</v>
      </c>
      <c r="AP31" s="15">
        <f ca="1" xml:space="preserve"> I31 * (
    'Lifestyle Strategy'!$B$3 +
    ('Lifestyle Strategy'!$C$3 - 'Lifestyle Strategy'!$B$3) *
    _xlfn.BETA.INV(RAND(), 'Lifestyle Strategy'!$F$3, 'Lifestyle Strategy'!$G$3)
) * IF(MOD(B31,5)=0, 1 + 'Lifestyle Strategy'!$M$4, 1 + 0.025)</f>
        <v>19496.873638403005</v>
      </c>
      <c r="AQ31" s="15">
        <f ca="1" xml:space="preserve"> I31 * (
    'Lifestyle Strategy'!$B$4 +
    ('Lifestyle Strategy'!$C$4 - 'Lifestyle Strategy'!$B$4) *
    _xlfn.BETA.INV(RAND(), 'Lifestyle Strategy'!$F$4, 'Lifestyle Strategy'!$G$4)
) * IF(MOD(B31,5)=0, 1 + 'Lifestyle Strategy'!$M$4, 1 + 0.025)</f>
        <v>13029.737685094065</v>
      </c>
      <c r="AR31" s="15">
        <f ca="1" xml:space="preserve"> I31 * (
    'Lifestyle Strategy'!$B$5 +
    ('Lifestyle Strategy'!$C$5 - 'Lifestyle Strategy'!$B$5) *
    _xlfn.BETA.INV(RAND(), 'Lifestyle Strategy'!$F$5, 'Lifestyle Strategy'!$G$5)
) * IF(MOD(B31,5)=0, 1 + 'Lifestyle Strategy'!$M$4, 1 + 0.025)</f>
        <v>9243.4841130160621</v>
      </c>
      <c r="AS31" s="15">
        <f ca="1" xml:space="preserve"> I31 * (
    'Lifestyle Strategy'!$B$6 +
    ('Lifestyle Strategy'!$C$6 - 'Lifestyle Strategy'!$B$6) *
    _xlfn.BETA.INV(RAND(), 'Lifestyle Strategy'!$F$6, 'Lifestyle Strategy'!$G$6)
) * IF(MOD(B31,5)=0, 1 + 'Lifestyle Strategy'!$M$4, 1 + 0.025)</f>
        <v>8846.6135659869415</v>
      </c>
      <c r="AT31" s="15">
        <f ca="1" xml:space="preserve"> I31 * (
    'Lifestyle Strategy'!$B$7 +
    ('Lifestyle Strategy'!$C$7 - 'Lifestyle Strategy'!$B$7) *
    _xlfn.BETA.INV(RAND(), 'Lifestyle Strategy'!$F$7, 'Lifestyle Strategy'!$G$7)
) * IF(MOD(B31,5)=0, 1 + 'Lifestyle Strategy'!$M$4, 1 + 0.025)</f>
        <v>15854.587678291315</v>
      </c>
      <c r="AU31" s="15">
        <f ca="1" xml:space="preserve"> I31 * (
    'Lifestyle Strategy'!$B$8 +
    ('Lifestyle Strategy'!$C$8 - 'Lifestyle Strategy'!$B$8) *
    _xlfn.BETA.INV(RAND(), 'Lifestyle Strategy'!$F$8, 'Lifestyle Strategy'!$G$8)
) * IF(MOD(B31,5)=0, 1 + 'Lifestyle Strategy'!$M$4, 1 + 0.025)</f>
        <v>6758.2552085620055</v>
      </c>
      <c r="AV31" s="15">
        <f ca="1">IF('Lifestyle Strategy'!$B$14 = "Yes",
   IF(AND(B31&gt;='Lifestyle Strategy'!$B$15, B31&lt;'Lifestyle Strategy'!$B$16),
      'Lifestyle Strategy'!$B$25,
      IF(B31&gt;='Lifestyle Strategy'!$B$16, "",
         0)
   ),
   0
)</f>
        <v>17163.199985889616</v>
      </c>
      <c r="AW31" s="15">
        <f ca="1">IF('Lifestyle Strategy'!$Q$4="No", 0,
   IF(AND(B31&gt;='Lifestyle Strategy'!$Q$5, B31&lt;'Lifestyle Strategy'!$Q$6),
      'Lifestyle Strategy'!$Q$8 * (1.025^(B31-'Lifestyle Strategy'!$Q$5)) * (1.12^INT((B31-'Lifestyle Strategy'!$Q$5)/5)),
      0
   )
)</f>
        <v>0</v>
      </c>
      <c r="AX31" s="15">
        <f t="shared" ca="1" si="8"/>
        <v>90392.751875243019</v>
      </c>
      <c r="AY31" s="15">
        <f ca="1">IF(B31='Lifestyle Strategy'!$Q$10, MIN(AN31, 'Lifestyle Strategy'!$Q$11), 0)</f>
        <v>0</v>
      </c>
      <c r="AZ31" s="15">
        <f ca="1">IF(B31='Lifestyle Strategy'!$Q$10, 'Lifestyle Strategy'!$Q$11, 0)</f>
        <v>0</v>
      </c>
      <c r="BA31" s="15">
        <f ca="1">IF(B31='Lifestyle Strategy'!$Q$10, MAX(AZ31 - AY31, 0), 0)</f>
        <v>0</v>
      </c>
      <c r="BB31" s="26">
        <f t="shared" ca="1" si="19"/>
        <v>446836.68490818626</v>
      </c>
      <c r="BC31" s="18" t="str">
        <f t="shared" ca="1" si="20"/>
        <v>$0.45M</v>
      </c>
      <c r="BD31" s="27"/>
      <c r="BQ31" s="8"/>
      <c r="BR31" s="8">
        <v>16</v>
      </c>
      <c r="BS31" s="8">
        <v>81</v>
      </c>
      <c r="BT31" s="15">
        <f ca="1">IF(BS31&lt;'Lifestyle Strategy'!$M$14, 0,
   'Lifestyle Strategy'!$M$15 *
   (1 + 'Lifestyle Strategy'!$M$16)^(BS31-'Lifestyle Strategy'!$M$14) *
   (1 + IF(RAND() &lt; (0.08 - 0.06) / (0.1 - 0.06),
             0.06 + SQRT(RAND() * (0.08 - 0.06) * (0.1 - 0.06)),
             0.1 - SQRT((1 - RAND()) * (0.1 - 0.08) * (0.1 - 0.06))
         ))^INT((BS31-'Lifestyle Strategy'!$M$14)/5)
)</f>
        <v>260884.77984910057</v>
      </c>
      <c r="BU31" s="139">
        <f t="shared" ca="1" si="29"/>
        <v>5.2144021366584727E-2</v>
      </c>
      <c r="BV31" s="15">
        <f>'Lifestyle Strategy'!$M$22*(1+'Lifestyle Strategy'!$M$16)^('Lifestyle Strategy'!$M$23 + BR31-1)</f>
        <v>79053.500553181482</v>
      </c>
      <c r="BW31" s="15">
        <f t="shared" ca="1" si="30"/>
        <v>181831.27929591908</v>
      </c>
      <c r="BX31" s="139">
        <f t="shared" ca="1" si="31"/>
        <v>3.6343301123982867E-2</v>
      </c>
      <c r="BY31" s="140">
        <f ca="1">IFERROR(_xlfn.NORM.INV(RAND(),'Lifestyle Strategy'!$M$27,'Lifestyle Strategy'!$M$28),0)</f>
        <v>6.5992195446898896E-2</v>
      </c>
      <c r="BZ31" s="15">
        <f t="shared" ca="1" si="32"/>
        <v>320986.24187958019</v>
      </c>
      <c r="CA31" s="15">
        <f t="shared" ca="1" si="33"/>
        <v>5003158.0421275767</v>
      </c>
      <c r="CB31" s="15">
        <f>IF('Post-Retirement_Cal'!$K31&lt;0, ABS('Post-Retirement_Cal'!$K31),0)</f>
        <v>0</v>
      </c>
    </row>
    <row r="32" spans="1:80" x14ac:dyDescent="0.2">
      <c r="A32" s="8"/>
      <c r="B32" s="8">
        <v>19</v>
      </c>
      <c r="C32" s="8">
        <v>49</v>
      </c>
      <c r="D32" s="15">
        <f t="shared" ca="1" si="21"/>
        <v>269834.46245466697</v>
      </c>
      <c r="E32" s="15">
        <f t="shared" ca="1" si="28"/>
        <v>8112.4566936636693</v>
      </c>
      <c r="F32" s="16">
        <f t="shared" ca="1" si="22"/>
        <v>3.0996463862774007E-2</v>
      </c>
      <c r="G32" s="15">
        <f ca="1">'Tax rate cal'!C29</f>
        <v>83789.877857320127</v>
      </c>
      <c r="H32" s="15">
        <f t="shared" ca="1" si="9"/>
        <v>4506.2355229929381</v>
      </c>
      <c r="I32" s="15">
        <f t="shared" ca="1" si="10"/>
        <v>181538.3490743539</v>
      </c>
      <c r="J32" s="16">
        <f t="shared" ca="1" si="11"/>
        <v>0.12</v>
      </c>
      <c r="K32" s="16">
        <v>0.03</v>
      </c>
      <c r="L32" s="17">
        <f ca="1">IF(O32 = 0,0,'Lifestyle Strategy'!$Q$9)</f>
        <v>0</v>
      </c>
      <c r="M32" s="15">
        <f t="shared" ca="1" si="3"/>
        <v>21784.601888922469</v>
      </c>
      <c r="N32" s="15">
        <f t="shared" ca="1" si="4"/>
        <v>5446.1504722306172</v>
      </c>
      <c r="O32" s="15">
        <f ca="1">IF(AND('Lifestyle Strategy'!$Q$2="Yes", B32 &gt;='Lifestyle Strategy'!$Q$3),
     I32 * 'Lifestyle Strategy'!$Q$9,
     0
)</f>
        <v>0</v>
      </c>
      <c r="P32" s="8">
        <f t="shared" si="5"/>
        <v>0</v>
      </c>
      <c r="Q32" s="15">
        <f t="shared" ca="1" si="12"/>
        <v>27230.752361153085</v>
      </c>
      <c r="R32" s="15">
        <f ca="1">IF(B32&lt;=5, Q32*'Fund Allocation Strategy'!$B$2,
 IF(B32&lt;=10, Q32*'Fund Allocation Strategy'!$B$3,
 IF(B32&lt;=15, Q32*'Fund Allocation Strategy'!$B$4,
 IF(B32&lt;=20, Q32*'Fund Allocation Strategy'!$B$5,
 IF(B32&lt;=25, Q32*'Fund Allocation Strategy'!$B$6,
 IF(B32&lt;=30, Q32*'Fund Allocation Strategy'!$B$7,
 Q32*'Fund Allocation Strategy'!$B$8))))))</f>
        <v>6126.9192812594447</v>
      </c>
      <c r="S32" s="17">
        <f ca="1">_xlfn.NORM.INV(RAND(),'Fund Allocation Strategy'!$B$11,'Fund Allocation Strategy'!$C$11)</f>
        <v>3.7254587776510965E-2</v>
      </c>
      <c r="T32" s="15">
        <f t="shared" ca="1" si="13"/>
        <v>1829.5645514510122</v>
      </c>
      <c r="U32" s="15">
        <f t="shared" ca="1" si="14"/>
        <v>54002.802628672463</v>
      </c>
      <c r="V32" s="15">
        <f ca="1">IF(B32&lt;=5, Q32*'Fund Allocation Strategy'!$C$2,
 IF(B32&lt;=10, Q32*'Fund Allocation Strategy'!$C$3,
 IF(B32&lt;=15, Q32*'Fund Allocation Strategy'!$C$4,
 IF(B32&lt;=20, Q32*'Fund Allocation Strategy'!$C$5,
 IF(B32&lt;=25, Q32*'Fund Allocation Strategy'!$C$6,
 IF(B32&lt;=30, Q32*'Fund Allocation Strategy'!$C$7,
 Q32*'Fund Allocation Strategy'!$C$8))))))</f>
        <v>6807.6880902882713</v>
      </c>
      <c r="W32" s="16">
        <f ca="1">_xlfn.NORM.INV(RAND(),'Fund Allocation Strategy'!$B$12,'Fund Allocation Strategy'!$C$12)</f>
        <v>7.0426726750929647E-2</v>
      </c>
      <c r="X32" s="15">
        <f t="shared" ca="1" si="23"/>
        <v>4905.0288325846304</v>
      </c>
      <c r="Y32" s="15">
        <f t="shared" ca="1" si="24"/>
        <v>77956.136904803308</v>
      </c>
      <c r="Z32" s="15">
        <f ca="1">IF(B32&lt;=5, Q32*'Fund Allocation Strategy'!$D$2,
 IF(B32&lt;=10, Q32*'Fund Allocation Strategy'!$D$3,
 IF(B32&lt;=15, Q32*'Fund Allocation Strategy'!$D$4,
 IF(B32&lt;=20, Q32*'Fund Allocation Strategy'!$D$5,
 IF(B32&lt;=25, Q32*'Fund Allocation Strategy'!$D$6,
 IF(B32&lt;=30, Q32*'Fund Allocation Strategy'!$D$7,
 Q32*'Fund Allocation Strategy'!$D$8))))))</f>
        <v>8169.2257083459253</v>
      </c>
      <c r="AA32" s="16">
        <f ca="1">_xlfn.NORM.INV(RAND(),'Fund Allocation Strategy'!$B$13,'Fund Allocation Strategy'!$C$13)</f>
        <v>0.10337687301560582</v>
      </c>
      <c r="AB32" s="15">
        <f t="shared" ca="1" si="25"/>
        <v>20754.814711853429</v>
      </c>
      <c r="AC32" s="15">
        <f t="shared" ca="1" si="26"/>
        <v>225607.87902344542</v>
      </c>
      <c r="AD32" s="15">
        <f ca="1">IF(B32&lt;=5, Q32*'Fund Allocation Strategy'!$E$2,
 IF(B32&lt;=10, Q32*'Fund Allocation Strategy'!$E$3,
 IF(B32&lt;=15, Q32*'Fund Allocation Strategy'!$E$4,
 IF(B32&lt;=20, Q32*'Fund Allocation Strategy'!$E$5,
 IF(B32&lt;=25, Q32*'Fund Allocation Strategy'!$E$6,
 IF(B32&lt;=30, Q32*'Fund Allocation Strategy'!$E$7,
 Q32*'Fund Allocation Strategy'!$E$8))))))</f>
        <v>4084.6128541729627</v>
      </c>
      <c r="AE32" s="16">
        <f ca="1">_xlfn.NORM.INV(RAND(), 'Fund Allocation Strategy'!$B$14, 'Fund Allocation Strategy'!$C$14) + _xlfn.NORM.INV(RAND(), 'Fund Allocation Strategy'!$D$14,'Fund Allocation Strategy'!$E$14)</f>
        <v>0.27023832320647423</v>
      </c>
      <c r="AF32" s="15">
        <f t="shared" ca="1" si="15"/>
        <v>30271.424551728349</v>
      </c>
      <c r="AG32" s="15">
        <f ca="1">IF(B32&lt;=5, Q32*'Fund Allocation Strategy'!$F$2,
 IF(B32&lt;=10, Q32*'Fund Allocation Strategy'!$F$3,
 IF(B32&lt;=15, Q32*'Fund Allocation Strategy'!$F$4,
 IF(B32&lt;=20, Q32*'Fund Allocation Strategy'!$F$5,
 IF(B32&lt;=25, Q32*'Fund Allocation Strategy'!$F$6,
 IF(B32&lt;=30, Q32*'Fund Allocation Strategy'!$F$7,
 Q32*'Fund Allocation Strategy'!$F$8))))))</f>
        <v>2042.3064270864813</v>
      </c>
      <c r="AH32" s="16">
        <f ca="1">_xlfn.NORM.INV(RAND(),'Fund Allocation Strategy'!$B$15,'Fund Allocation Strategy'!$C$15)</f>
        <v>0.20057241745009777</v>
      </c>
      <c r="AI32" s="15">
        <f t="shared" ca="1" si="27"/>
        <v>254.62551920064007</v>
      </c>
      <c r="AJ32" s="15">
        <f t="shared" ca="1" si="16"/>
        <v>31834.462206037853</v>
      </c>
      <c r="AK32" s="15">
        <f t="shared" ca="1" si="6"/>
        <v>2164.9686413011646</v>
      </c>
      <c r="AL32" s="17">
        <f t="shared" ca="1" si="7"/>
        <v>1.4999999999999999E-2</v>
      </c>
      <c r="AM32" s="15">
        <f t="shared" ca="1" si="17"/>
        <v>144331.24275341097</v>
      </c>
      <c r="AN32" s="15">
        <f t="shared" ca="1" si="18"/>
        <v>142166.27411210982</v>
      </c>
      <c r="AO32" s="15">
        <f ca="1">IF(AV32 = 0, I32 * (
    'Lifestyle Strategy'!$B$2 +
    ('Lifestyle Strategy'!$C$2 - 'Lifestyle Strategy'!$B$2) *
    _xlfn.BETA.INV(RAND(), 'Lifestyle Strategy'!$F$2, 'Lifestyle Strategy'!$G$2)
),IF(AV32 = "", "",0))</f>
        <v>0</v>
      </c>
      <c r="AP32" s="15">
        <f ca="1" xml:space="preserve"> I32 * (
    'Lifestyle Strategy'!$B$3 +
    ('Lifestyle Strategy'!$C$3 - 'Lifestyle Strategy'!$B$3) *
    _xlfn.BETA.INV(RAND(), 'Lifestyle Strategy'!$F$3, 'Lifestyle Strategy'!$G$3)
) * IF(MOD(B32,5)=0, 1 + 'Lifestyle Strategy'!$M$4, 1 + 0.025)</f>
        <v>20203.370832511784</v>
      </c>
      <c r="AQ32" s="15">
        <f ca="1" xml:space="preserve"> I32 * (
    'Lifestyle Strategy'!$B$4 +
    ('Lifestyle Strategy'!$C$4 - 'Lifestyle Strategy'!$B$4) *
    _xlfn.BETA.INV(RAND(), 'Lifestyle Strategy'!$F$4, 'Lifestyle Strategy'!$G$4)
) * IF(MOD(B32,5)=0, 1 + 'Lifestyle Strategy'!$M$4, 1 + 0.025)</f>
        <v>13169.418154641764</v>
      </c>
      <c r="AR32" s="15">
        <f ca="1" xml:space="preserve"> I32 * (
    'Lifestyle Strategy'!$B$5 +
    ('Lifestyle Strategy'!$C$5 - 'Lifestyle Strategy'!$B$5) *
    _xlfn.BETA.INV(RAND(), 'Lifestyle Strategy'!$F$5, 'Lifestyle Strategy'!$G$5)
) * IF(MOD(B32,5)=0, 1 + 'Lifestyle Strategy'!$M$4, 1 + 0.025)</f>
        <v>8900.9202207084363</v>
      </c>
      <c r="AS32" s="15">
        <f ca="1" xml:space="preserve"> I32 * (
    'Lifestyle Strategy'!$B$6 +
    ('Lifestyle Strategy'!$C$6 - 'Lifestyle Strategy'!$B$6) *
    _xlfn.BETA.INV(RAND(), 'Lifestyle Strategy'!$F$6, 'Lifestyle Strategy'!$G$6)
) * IF(MOD(B32,5)=0, 1 + 'Lifestyle Strategy'!$M$4, 1 + 0.025)</f>
        <v>9061.6281563792054</v>
      </c>
      <c r="AT32" s="15">
        <f ca="1" xml:space="preserve"> I32 * (
    'Lifestyle Strategy'!$B$7 +
    ('Lifestyle Strategy'!$C$7 - 'Lifestyle Strategy'!$B$7) *
    _xlfn.BETA.INV(RAND(), 'Lifestyle Strategy'!$F$7, 'Lifestyle Strategy'!$G$7)
) * IF(MOD(B32,5)=0, 1 + 'Lifestyle Strategy'!$M$4, 1 + 0.025)</f>
        <v>21900.034991759261</v>
      </c>
      <c r="AU32" s="15">
        <f ca="1" xml:space="preserve"> I32 * (
    'Lifestyle Strategy'!$B$8 +
    ('Lifestyle Strategy'!$C$8 - 'Lifestyle Strategy'!$B$8) *
    _xlfn.BETA.INV(RAND(), 'Lifestyle Strategy'!$F$8, 'Lifestyle Strategy'!$G$8)
) * IF(MOD(B32,5)=0, 1 + 'Lifestyle Strategy'!$M$4, 1 + 0.025)</f>
        <v>8580.5454647637889</v>
      </c>
      <c r="AV32" s="15">
        <f ca="1">IF('Lifestyle Strategy'!$B$14 = "Yes",
   IF(AND(B32&gt;='Lifestyle Strategy'!$B$15, B32&lt;'Lifestyle Strategy'!$B$16),
      'Lifestyle Strategy'!$B$25,
      IF(B32&gt;='Lifestyle Strategy'!$B$16, "",
         0)
   ),
   0
)</f>
        <v>17163.199985889616</v>
      </c>
      <c r="AW32" s="15">
        <f ca="1">IF('Lifestyle Strategy'!$Q$4="No", 0,
   IF(AND(B32&gt;='Lifestyle Strategy'!$Q$5, B32&lt;'Lifestyle Strategy'!$Q$6),
      'Lifestyle Strategy'!$Q$8 * (1.025^(B32-'Lifestyle Strategy'!$Q$5)) * (1.12^INT((B32-'Lifestyle Strategy'!$Q$5)/5)),
      0
   )
)</f>
        <v>0</v>
      </c>
      <c r="AX32" s="15">
        <f t="shared" ca="1" si="8"/>
        <v>98979.117806653856</v>
      </c>
      <c r="AY32" s="15">
        <f ca="1">IF(B32='Lifestyle Strategy'!$Q$10, MIN(AN32, 'Lifestyle Strategy'!$Q$11), 0)</f>
        <v>0</v>
      </c>
      <c r="AZ32" s="15">
        <f ca="1">IF(B32='Lifestyle Strategy'!$Q$10, 'Lifestyle Strategy'!$Q$11, 0)</f>
        <v>0</v>
      </c>
      <c r="BA32" s="15">
        <f ca="1">IF(B32='Lifestyle Strategy'!$Q$10, MAX(AZ32 - AY32, 0), 0)</f>
        <v>0</v>
      </c>
      <c r="BB32" s="26">
        <f t="shared" ca="1" si="19"/>
        <v>531567.55487506883</v>
      </c>
      <c r="BC32" s="18" t="str">
        <f t="shared" ca="1" si="20"/>
        <v>$0.53M</v>
      </c>
      <c r="BD32" s="27"/>
      <c r="BQ32" s="8"/>
      <c r="BR32" s="8">
        <v>17</v>
      </c>
      <c r="BS32" s="8">
        <v>82</v>
      </c>
      <c r="BT32" s="15">
        <f ca="1">IF(BS32&lt;'Lifestyle Strategy'!$M$14, 0,
   'Lifestyle Strategy'!$M$15 *
   (1 + 'Lifestyle Strategy'!$M$16)^(BS32-'Lifestyle Strategy'!$M$14) *
   (1 + IF(RAND() &lt; (0.08 - 0.06) / (0.1 - 0.06),
             0.06 + SQRT(RAND() * (0.08 - 0.06) * (0.1 - 0.06)),
             0.1 - SQRT((1 - RAND()) * (0.1 - 0.08) * (0.1 - 0.06))
         ))^INT((BS32-'Lifestyle Strategy'!$M$14)/5)
)</f>
        <v>266038.20094129688</v>
      </c>
      <c r="BU32" s="139">
        <f t="shared" ca="1" si="29"/>
        <v>5.1220172055279678E-2</v>
      </c>
      <c r="BV32" s="15">
        <f>'Lifestyle Strategy'!$M$22*(1+'Lifestyle Strategy'!$M$16)^('Lifestyle Strategy'!$M$23 + BR32-1)</f>
        <v>81029.83806701102</v>
      </c>
      <c r="BW32" s="15">
        <f t="shared" ca="1" si="30"/>
        <v>185008.36287428584</v>
      </c>
      <c r="BX32" s="139">
        <f t="shared" ca="1" si="31"/>
        <v>3.5619546909270813E-2</v>
      </c>
      <c r="BY32" s="140">
        <f ca="1">IFERROR(_xlfn.NORM.INV(RAND(),'Lifestyle Strategy'!$M$27,'Lifestyle Strategy'!$M$28),0)</f>
        <v>7.5125063897618E-2</v>
      </c>
      <c r="BZ32" s="15">
        <f t="shared" ca="1" si="32"/>
        <v>375862.56760471559</v>
      </c>
      <c r="CA32" s="15">
        <f t="shared" ca="1" si="33"/>
        <v>5194012.2468580063</v>
      </c>
      <c r="CB32" s="15">
        <f>IF('Post-Retirement_Cal'!$K32&lt;0, ABS('Post-Retirement_Cal'!$K32),0)</f>
        <v>0</v>
      </c>
    </row>
    <row r="33" spans="1:80" x14ac:dyDescent="0.2">
      <c r="A33" s="8"/>
      <c r="B33" s="8">
        <v>20</v>
      </c>
      <c r="C33" s="8">
        <v>50</v>
      </c>
      <c r="D33" s="15">
        <f t="shared" ca="1" si="21"/>
        <v>279727.11705309362</v>
      </c>
      <c r="E33" s="15">
        <f t="shared" ca="1" si="28"/>
        <v>9892.6545984266559</v>
      </c>
      <c r="F33" s="16">
        <f t="shared" ca="1" si="22"/>
        <v>3.66619389844937E-2</v>
      </c>
      <c r="G33" s="15">
        <f ca="1">'Tax rate cal'!C30</f>
        <v>87648.013150706509</v>
      </c>
      <c r="H33" s="15">
        <f t="shared" ca="1" si="9"/>
        <v>4671.4428547866637</v>
      </c>
      <c r="I33" s="15">
        <f t="shared" ca="1" si="10"/>
        <v>187407.66104760044</v>
      </c>
      <c r="J33" s="16">
        <f t="shared" ca="1" si="11"/>
        <v>0.12</v>
      </c>
      <c r="K33" s="16">
        <v>0.03</v>
      </c>
      <c r="L33" s="17">
        <f ca="1">IF(O33 = 0,0,'Lifestyle Strategy'!$Q$9)</f>
        <v>0</v>
      </c>
      <c r="M33" s="15">
        <f t="shared" ca="1" si="3"/>
        <v>22488.919325712053</v>
      </c>
      <c r="N33" s="15">
        <f t="shared" ca="1" si="4"/>
        <v>5622.2298314280133</v>
      </c>
      <c r="O33" s="15">
        <f ca="1">IF(AND('Lifestyle Strategy'!$Q$2="Yes", B33 &gt;='Lifestyle Strategy'!$Q$3),
     I33 * 'Lifestyle Strategy'!$Q$9,
     0
)</f>
        <v>0</v>
      </c>
      <c r="P33" s="8">
        <f t="shared" ca="1" si="5"/>
        <v>10000</v>
      </c>
      <c r="Q33" s="15">
        <f t="shared" ca="1" si="12"/>
        <v>38111.149157140069</v>
      </c>
      <c r="R33" s="15">
        <f ca="1">IF(B33&lt;=5, Q33*'Fund Allocation Strategy'!$B$2,
 IF(B33&lt;=10, Q33*'Fund Allocation Strategy'!$B$3,
 IF(B33&lt;=15, Q33*'Fund Allocation Strategy'!$B$4,
 IF(B33&lt;=20, Q33*'Fund Allocation Strategy'!$B$5,
 IF(B33&lt;=25, Q33*'Fund Allocation Strategy'!$B$6,
 IF(B33&lt;=30, Q33*'Fund Allocation Strategy'!$B$7,
 Q33*'Fund Allocation Strategy'!$B$8))))))</f>
        <v>8575.0085603565167</v>
      </c>
      <c r="S33" s="17">
        <f ca="1">_xlfn.NORM.INV(RAND(),'Fund Allocation Strategy'!$B$11,'Fund Allocation Strategy'!$C$11)</f>
        <v>3.7423291888961215E-2</v>
      </c>
      <c r="T33" s="15">
        <f t="shared" ca="1" si="13"/>
        <v>2181.4151697470534</v>
      </c>
      <c r="U33" s="15">
        <f t="shared" ca="1" si="14"/>
        <v>64759.226358776032</v>
      </c>
      <c r="V33" s="15">
        <f ca="1">IF(B33&lt;=5, Q33*'Fund Allocation Strategy'!$C$2,
 IF(B33&lt;=10, Q33*'Fund Allocation Strategy'!$C$3,
 IF(B33&lt;=15, Q33*'Fund Allocation Strategy'!$C$4,
 IF(B33&lt;=20, Q33*'Fund Allocation Strategy'!$C$5,
 IF(B33&lt;=25, Q33*'Fund Allocation Strategy'!$C$6,
 IF(B33&lt;=30, Q33*'Fund Allocation Strategy'!$C$7,
 Q33*'Fund Allocation Strategy'!$C$8))))))</f>
        <v>9527.7872892850173</v>
      </c>
      <c r="W33" s="16">
        <f ca="1">_xlfn.NORM.INV(RAND(),'Fund Allocation Strategy'!$B$12,'Fund Allocation Strategy'!$C$12)</f>
        <v>7.0724332352787966E-2</v>
      </c>
      <c r="X33" s="15">
        <f t="shared" ca="1" si="23"/>
        <v>5850.3189328117805</v>
      </c>
      <c r="Y33" s="15">
        <f t="shared" ca="1" si="24"/>
        <v>93334.24312690011</v>
      </c>
      <c r="Z33" s="15">
        <f ca="1">IF(B33&lt;=5, Q33*'Fund Allocation Strategy'!$D$2,
 IF(B33&lt;=10, Q33*'Fund Allocation Strategy'!$D$3,
 IF(B33&lt;=15, Q33*'Fund Allocation Strategy'!$D$4,
 IF(B33&lt;=20, Q33*'Fund Allocation Strategy'!$D$5,
 IF(B33&lt;=25, Q33*'Fund Allocation Strategy'!$D$6,
 IF(B33&lt;=30, Q33*'Fund Allocation Strategy'!$D$7,
 Q33*'Fund Allocation Strategy'!$D$8))))))</f>
        <v>11433.34474714202</v>
      </c>
      <c r="AA33" s="16">
        <f ca="1">_xlfn.NORM.INV(RAND(),'Fund Allocation Strategy'!$B$13,'Fund Allocation Strategy'!$C$13)</f>
        <v>0.10488289204433295</v>
      </c>
      <c r="AB33" s="15">
        <f t="shared" ca="1" si="25"/>
        <v>24261.987951377021</v>
      </c>
      <c r="AC33" s="15">
        <f t="shared" ca="1" si="26"/>
        <v>261303.21172196447</v>
      </c>
      <c r="AD33" s="15">
        <f ca="1">IF(B33&lt;=5, Q33*'Fund Allocation Strategy'!$E$2,
 IF(B33&lt;=10, Q33*'Fund Allocation Strategy'!$E$3,
 IF(B33&lt;=15, Q33*'Fund Allocation Strategy'!$E$4,
 IF(B33&lt;=20, Q33*'Fund Allocation Strategy'!$E$5,
 IF(B33&lt;=25, Q33*'Fund Allocation Strategy'!$E$6,
 IF(B33&lt;=30, Q33*'Fund Allocation Strategy'!$E$7,
 Q33*'Fund Allocation Strategy'!$E$8))))))</f>
        <v>5716.6723735710102</v>
      </c>
      <c r="AE33" s="16">
        <f ca="1">_xlfn.NORM.INV(RAND(), 'Fund Allocation Strategy'!$B$14, 'Fund Allocation Strategy'!$C$14) + _xlfn.NORM.INV(RAND(), 'Fund Allocation Strategy'!$D$14,'Fund Allocation Strategy'!$E$14)</f>
        <v>-1.0032505907364653E-2</v>
      </c>
      <c r="AF33" s="15">
        <f t="shared" ca="1" si="15"/>
        <v>-1476.6803202200369</v>
      </c>
      <c r="AG33" s="15">
        <f ca="1">IF(B33&lt;=5, Q33*'Fund Allocation Strategy'!$F$2,
 IF(B33&lt;=10, Q33*'Fund Allocation Strategy'!$F$3,
 IF(B33&lt;=15, Q33*'Fund Allocation Strategy'!$F$4,
 IF(B33&lt;=20, Q33*'Fund Allocation Strategy'!$F$5,
 IF(B33&lt;=25, Q33*'Fund Allocation Strategy'!$F$6,
 IF(B33&lt;=30, Q33*'Fund Allocation Strategy'!$F$7,
 Q33*'Fund Allocation Strategy'!$F$8))))))</f>
        <v>2858.3361867855051</v>
      </c>
      <c r="AH33" s="16">
        <f ca="1">_xlfn.NORM.INV(RAND(),'Fund Allocation Strategy'!$B$15,'Fund Allocation Strategy'!$C$15)</f>
        <v>0.20268581769560012</v>
      </c>
      <c r="AI33" s="15">
        <f t="shared" ca="1" si="27"/>
        <v>341.28108519912035</v>
      </c>
      <c r="AJ33" s="15">
        <f t="shared" ca="1" si="16"/>
        <v>35034.079478022482</v>
      </c>
      <c r="AK33" s="15">
        <f t="shared" ca="1" si="6"/>
        <v>2228.5685221014287</v>
      </c>
      <c r="AL33" s="17">
        <f t="shared" ca="1" si="7"/>
        <v>1.4999999999999999E-2</v>
      </c>
      <c r="AM33" s="15">
        <f t="shared" ca="1" si="17"/>
        <v>148571.23480676193</v>
      </c>
      <c r="AN33" s="15">
        <f t="shared" ca="1" si="18"/>
        <v>146342.66628466049</v>
      </c>
      <c r="AO33" s="15">
        <f ca="1">IF(AV33 = 0, I33 * (
    'Lifestyle Strategy'!$B$2 +
    ('Lifestyle Strategy'!$C$2 - 'Lifestyle Strategy'!$B$2) *
    _xlfn.BETA.INV(RAND(), 'Lifestyle Strategy'!$F$2, 'Lifestyle Strategy'!$G$2)
),IF(AV33 = "", "",0))</f>
        <v>0</v>
      </c>
      <c r="AP33" s="15">
        <f ca="1" xml:space="preserve"> I33 * (
    'Lifestyle Strategy'!$B$3 +
    ('Lifestyle Strategy'!$C$3 - 'Lifestyle Strategy'!$B$3) *
    _xlfn.BETA.INV(RAND(), 'Lifestyle Strategy'!$F$3, 'Lifestyle Strategy'!$G$3)
) * IF(MOD(B33,5)=0, 1 + 'Lifestyle Strategy'!$M$4, 1 + 0.025)</f>
        <v>26309.082242288478</v>
      </c>
      <c r="AQ33" s="15">
        <f ca="1" xml:space="preserve"> I33 * (
    'Lifestyle Strategy'!$B$4 +
    ('Lifestyle Strategy'!$C$4 - 'Lifestyle Strategy'!$B$4) *
    _xlfn.BETA.INV(RAND(), 'Lifestyle Strategy'!$F$4, 'Lifestyle Strategy'!$G$4)
) * IF(MOD(B33,5)=0, 1 + 'Lifestyle Strategy'!$M$4, 1 + 0.025)</f>
        <v>17234.138867084708</v>
      </c>
      <c r="AR33" s="15">
        <f ca="1" xml:space="preserve"> I33 * (
    'Lifestyle Strategy'!$B$5 +
    ('Lifestyle Strategy'!$C$5 - 'Lifestyle Strategy'!$B$5) *
    _xlfn.BETA.INV(RAND(), 'Lifestyle Strategy'!$F$5, 'Lifestyle Strategy'!$G$5)
) * IF(MOD(B33,5)=0, 1 + 'Lifestyle Strategy'!$M$4, 1 + 0.025)</f>
        <v>9751.0176038757709</v>
      </c>
      <c r="AS33" s="15">
        <f ca="1" xml:space="preserve"> I33 * (
    'Lifestyle Strategy'!$B$6 +
    ('Lifestyle Strategy'!$C$6 - 'Lifestyle Strategy'!$B$6) *
    _xlfn.BETA.INV(RAND(), 'Lifestyle Strategy'!$F$6, 'Lifestyle Strategy'!$G$6)
) * IF(MOD(B33,5)=0, 1 + 'Lifestyle Strategy'!$M$4, 1 + 0.025)</f>
        <v>10910.551629788721</v>
      </c>
      <c r="AT33" s="15">
        <f ca="1" xml:space="preserve"> I33 * (
    'Lifestyle Strategy'!$B$7 +
    ('Lifestyle Strategy'!$C$7 - 'Lifestyle Strategy'!$B$7) *
    _xlfn.BETA.INV(RAND(), 'Lifestyle Strategy'!$F$7, 'Lifestyle Strategy'!$G$7)
) * IF(MOD(B33,5)=0, 1 + 'Lifestyle Strategy'!$M$4, 1 + 0.025)</f>
        <v>24398.662041022213</v>
      </c>
      <c r="AU33" s="15">
        <f ca="1" xml:space="preserve"> I33 * (
    'Lifestyle Strategy'!$B$8 +
    ('Lifestyle Strategy'!$C$8 - 'Lifestyle Strategy'!$B$8) *
    _xlfn.BETA.INV(RAND(), 'Lifestyle Strategy'!$F$8, 'Lifestyle Strategy'!$G$8)
) * IF(MOD(B33,5)=0, 1 + 'Lifestyle Strategy'!$M$4, 1 + 0.025)</f>
        <v>7943.612278114214</v>
      </c>
      <c r="AV33" s="15">
        <f ca="1">IF('Lifestyle Strategy'!$B$14 = "Yes",
   IF(AND(B33&gt;='Lifestyle Strategy'!$B$15, B33&lt;'Lifestyle Strategy'!$B$16),
      'Lifestyle Strategy'!$B$25,
      IF(B33&gt;='Lifestyle Strategy'!$B$16, "",
         0)
   ),
   0
)</f>
        <v>17163.199985889616</v>
      </c>
      <c r="AW33" s="15">
        <f ca="1">IF('Lifestyle Strategy'!$Q$4="No", 0,
   IF(AND(B33&gt;='Lifestyle Strategy'!$Q$5, B33&lt;'Lifestyle Strategy'!$Q$6),
      'Lifestyle Strategy'!$Q$8 * (1.025^(B33-'Lifestyle Strategy'!$Q$5)) * (1.12^INT((B33-'Lifestyle Strategy'!$Q$5)/5)),
      0
   )
)</f>
        <v>0</v>
      </c>
      <c r="AX33" s="15">
        <f t="shared" ca="1" si="8"/>
        <v>113710.26464806373</v>
      </c>
      <c r="AY33" s="15">
        <f ca="1">IF(B33='Lifestyle Strategy'!$Q$10, MIN(AN33, 'Lifestyle Strategy'!$Q$11), 0)</f>
        <v>0</v>
      </c>
      <c r="AZ33" s="15">
        <f ca="1">IF(B33='Lifestyle Strategy'!$Q$10, 'Lifestyle Strategy'!$Q$11, 0)</f>
        <v>0</v>
      </c>
      <c r="BA33" s="15">
        <f ca="1">IF(B33='Lifestyle Strategy'!$Q$10, MAX(AZ33 - AY33, 0), 0)</f>
        <v>0</v>
      </c>
      <c r="BB33" s="26">
        <f t="shared" ca="1" si="19"/>
        <v>600773.42697032355</v>
      </c>
      <c r="BC33" s="18" t="str">
        <f t="shared" ca="1" si="20"/>
        <v>$0.60M</v>
      </c>
      <c r="BD33" s="27"/>
      <c r="BQ33" s="8"/>
      <c r="BR33" s="8">
        <v>18</v>
      </c>
      <c r="BS33" s="8">
        <v>83</v>
      </c>
      <c r="BT33" s="15">
        <f ca="1">IF(BS33&lt;'Lifestyle Strategy'!$M$14, 0,
   'Lifestyle Strategy'!$M$15 *
   (1 + 'Lifestyle Strategy'!$M$16)^(BS33-'Lifestyle Strategy'!$M$14) *
   (1 + IF(RAND() &lt; (0.08 - 0.06) / (0.1 - 0.06),
             0.06 + SQRT(RAND() * (0.08 - 0.06) * (0.1 - 0.06)),
             0.1 - SQRT((1 - RAND()) * (0.1 - 0.08) * (0.1 - 0.06))
         ))^INT((BS33-'Lifestyle Strategy'!$M$14)/5)
)</f>
        <v>277602.00338483421</v>
      </c>
      <c r="BU33" s="139">
        <f t="shared" ca="1" si="29"/>
        <v>5.6799442608461821E-2</v>
      </c>
      <c r="BV33" s="15">
        <f>'Lifestyle Strategy'!$M$22*(1+'Lifestyle Strategy'!$M$16)^('Lifestyle Strategy'!$M$23 + BR33-1)</f>
        <v>83055.584018686292</v>
      </c>
      <c r="BW33" s="15">
        <f t="shared" ca="1" si="30"/>
        <v>194546.41936614792</v>
      </c>
      <c r="BX33" s="139">
        <f t="shared" ca="1" si="31"/>
        <v>3.9805649983551052E-2</v>
      </c>
      <c r="BY33" s="140">
        <f ca="1">IFERROR(_xlfn.NORM.INV(RAND(),'Lifestyle Strategy'!$M$27,'Lifestyle Strategy'!$M$28),0)</f>
        <v>-2.1574583652707847E-2</v>
      </c>
      <c r="BZ33" s="15">
        <f t="shared" ca="1" si="32"/>
        <v>-112058.65171302709</v>
      </c>
      <c r="CA33" s="15">
        <f t="shared" ca="1" si="33"/>
        <v>4887407.1757788314</v>
      </c>
      <c r="CB33" s="15">
        <f>IF('Post-Retirement_Cal'!$K33&lt;0, ABS('Post-Retirement_Cal'!$K33),0)</f>
        <v>0</v>
      </c>
    </row>
    <row r="34" spans="1:80" x14ac:dyDescent="0.2">
      <c r="A34" s="8"/>
      <c r="B34" s="8">
        <v>21</v>
      </c>
      <c r="C34" s="8">
        <v>51</v>
      </c>
      <c r="D34" s="15">
        <f t="shared" ca="1" si="21"/>
        <v>286173.1534895408</v>
      </c>
      <c r="E34" s="15">
        <f t="shared" ca="1" si="28"/>
        <v>6446.0364364471752</v>
      </c>
      <c r="F34" s="16">
        <f t="shared" ca="1" si="22"/>
        <v>2.3044016984680411E-2</v>
      </c>
      <c r="G34" s="15">
        <f ca="1">'Tax rate cal'!C31</f>
        <v>90161.967360920913</v>
      </c>
      <c r="H34" s="15">
        <f t="shared" ca="1" si="9"/>
        <v>4779.0916632753315</v>
      </c>
      <c r="I34" s="15">
        <f t="shared" ca="1" si="10"/>
        <v>191232.09446534456</v>
      </c>
      <c r="J34" s="16">
        <f t="shared" ca="1" si="11"/>
        <v>0.12</v>
      </c>
      <c r="K34" s="16">
        <v>0.03</v>
      </c>
      <c r="L34" s="17">
        <f ca="1">IF(O34 = 0,0,'Lifestyle Strategy'!$Q$9)</f>
        <v>0</v>
      </c>
      <c r="M34" s="15">
        <f t="shared" ca="1" si="3"/>
        <v>22947.851335841347</v>
      </c>
      <c r="N34" s="15">
        <f t="shared" ca="1" si="4"/>
        <v>5736.9628339603369</v>
      </c>
      <c r="O34" s="15">
        <f ca="1">IF(AND('Lifestyle Strategy'!$Q$2="Yes", B34 &gt;='Lifestyle Strategy'!$Q$3),
     I34 * 'Lifestyle Strategy'!$Q$9,
     0
)</f>
        <v>0</v>
      </c>
      <c r="P34" s="8">
        <f t="shared" si="5"/>
        <v>0</v>
      </c>
      <c r="Q34" s="15">
        <f t="shared" ca="1" si="12"/>
        <v>28684.814169801684</v>
      </c>
      <c r="R34" s="15">
        <f ca="1">IF(B34&lt;=5, Q34*'Fund Allocation Strategy'!$B$2,
 IF(B34&lt;=10, Q34*'Fund Allocation Strategy'!$B$3,
 IF(B34&lt;=15, Q34*'Fund Allocation Strategy'!$B$4,
 IF(B34&lt;=20, Q34*'Fund Allocation Strategy'!$B$5,
 IF(B34&lt;=25, Q34*'Fund Allocation Strategy'!$B$6,
 IF(B34&lt;=30, Q34*'Fund Allocation Strategy'!$B$7,
 Q34*'Fund Allocation Strategy'!$B$8))))))</f>
        <v>8605.4442509405053</v>
      </c>
      <c r="S34" s="17">
        <f ca="1">_xlfn.NORM.INV(RAND(),'Fund Allocation Strategy'!$B$11,'Fund Allocation Strategy'!$C$11)</f>
        <v>3.636754119943178E-2</v>
      </c>
      <c r="T34" s="15">
        <f t="shared" ca="1" si="13"/>
        <v>2511.6132568138619</v>
      </c>
      <c r="U34" s="15">
        <f t="shared" ca="1" si="14"/>
        <v>75876.283866530386</v>
      </c>
      <c r="V34" s="15">
        <f ca="1">IF(B34&lt;=5, Q34*'Fund Allocation Strategy'!$C$2,
 IF(B34&lt;=10, Q34*'Fund Allocation Strategy'!$C$3,
 IF(B34&lt;=15, Q34*'Fund Allocation Strategy'!$C$4,
 IF(B34&lt;=20, Q34*'Fund Allocation Strategy'!$C$5,
 IF(B34&lt;=25, Q34*'Fund Allocation Strategy'!$C$6,
 IF(B34&lt;=30, Q34*'Fund Allocation Strategy'!$C$7,
 Q34*'Fund Allocation Strategy'!$C$8))))))</f>
        <v>8605.4442509405053</v>
      </c>
      <c r="W34" s="16">
        <f ca="1">_xlfn.NORM.INV(RAND(),'Fund Allocation Strategy'!$B$12,'Fund Allocation Strategy'!$C$12)</f>
        <v>6.9820050284385565E-2</v>
      </c>
      <c r="X34" s="15">
        <f t="shared" ca="1" si="23"/>
        <v>6817.0178235353051</v>
      </c>
      <c r="Y34" s="15">
        <f t="shared" ca="1" si="24"/>
        <v>108756.70520137592</v>
      </c>
      <c r="Z34" s="15">
        <f ca="1">IF(B34&lt;=5, Q34*'Fund Allocation Strategy'!$D$2,
 IF(B34&lt;=10, Q34*'Fund Allocation Strategy'!$D$3,
 IF(B34&lt;=15, Q34*'Fund Allocation Strategy'!$D$4,
 IF(B34&lt;=20, Q34*'Fund Allocation Strategy'!$D$5,
 IF(B34&lt;=25, Q34*'Fund Allocation Strategy'!$D$6,
 IF(B34&lt;=30, Q34*'Fund Allocation Strategy'!$D$7,
 Q34*'Fund Allocation Strategy'!$D$8))))))</f>
        <v>7171.2035424504211</v>
      </c>
      <c r="AA34" s="16">
        <f ca="1">_xlfn.NORM.INV(RAND(),'Fund Allocation Strategy'!$B$13,'Fund Allocation Strategy'!$C$13)</f>
        <v>0.10191813957300405</v>
      </c>
      <c r="AB34" s="15">
        <f t="shared" ca="1" si="25"/>
        <v>26996.975064926344</v>
      </c>
      <c r="AC34" s="15">
        <f t="shared" ca="1" si="26"/>
        <v>295471.39032934129</v>
      </c>
      <c r="AD34" s="15">
        <f ca="1">IF(B34&lt;=5, Q34*'Fund Allocation Strategy'!$E$2,
 IF(B34&lt;=10, Q34*'Fund Allocation Strategy'!$E$3,
 IF(B34&lt;=15, Q34*'Fund Allocation Strategy'!$E$4,
 IF(B34&lt;=20, Q34*'Fund Allocation Strategy'!$E$5,
 IF(B34&lt;=25, Q34*'Fund Allocation Strategy'!$E$6,
 IF(B34&lt;=30, Q34*'Fund Allocation Strategy'!$E$7,
 Q34*'Fund Allocation Strategy'!$E$8))))))</f>
        <v>2868.4814169801684</v>
      </c>
      <c r="AE34" s="16">
        <f ca="1">_xlfn.NORM.INV(RAND(), 'Fund Allocation Strategy'!$B$14, 'Fund Allocation Strategy'!$C$14) + _xlfn.NORM.INV(RAND(), 'Fund Allocation Strategy'!$D$14,'Fund Allocation Strategy'!$E$14)</f>
        <v>0.17886569449474635</v>
      </c>
      <c r="AF34" s="15">
        <f t="shared" ca="1" si="15"/>
        <v>26830.83355605022</v>
      </c>
      <c r="AG34" s="15">
        <f ca="1">IF(B34&lt;=5, Q34*'Fund Allocation Strategy'!$F$2,
 IF(B34&lt;=10, Q34*'Fund Allocation Strategy'!$F$3,
 IF(B34&lt;=15, Q34*'Fund Allocation Strategy'!$F$4,
 IF(B34&lt;=20, Q34*'Fund Allocation Strategy'!$F$5,
 IF(B34&lt;=25, Q34*'Fund Allocation Strategy'!$F$6,
 IF(B34&lt;=30, Q34*'Fund Allocation Strategy'!$F$7,
 Q34*'Fund Allocation Strategy'!$F$8))))))</f>
        <v>1434.2407084900842</v>
      </c>
      <c r="AH34" s="16">
        <f ca="1">_xlfn.NORM.INV(RAND(),'Fund Allocation Strategy'!$B$15,'Fund Allocation Strategy'!$C$15)</f>
        <v>0.2014011260408832</v>
      </c>
      <c r="AI34" s="15">
        <f t="shared" ca="1" si="27"/>
        <v>213.16324170734597</v>
      </c>
      <c r="AJ34" s="15">
        <f t="shared" ca="1" si="16"/>
        <v>36681.483428219915</v>
      </c>
      <c r="AK34" s="15">
        <f t="shared" ca="1" si="6"/>
        <v>2674.0582466968849</v>
      </c>
      <c r="AL34" s="17">
        <f t="shared" ca="1" si="7"/>
        <v>1.4999999999999999E-2</v>
      </c>
      <c r="AM34" s="15">
        <f t="shared" ca="1" si="17"/>
        <v>178270.54977979235</v>
      </c>
      <c r="AN34" s="15">
        <f t="shared" ca="1" si="18"/>
        <v>175596.49153309545</v>
      </c>
      <c r="AO34" s="15" t="str">
        <f ca="1">IF(AV34 = 0, I34 * (
    'Lifestyle Strategy'!$B$2 +
    ('Lifestyle Strategy'!$C$2 - 'Lifestyle Strategy'!$B$2) *
    _xlfn.BETA.INV(RAND(), 'Lifestyle Strategy'!$F$2, 'Lifestyle Strategy'!$G$2)
),IF(AV34 = "", "",0))</f>
        <v/>
      </c>
      <c r="AP34" s="15">
        <f ca="1" xml:space="preserve"> I34 * (
    'Lifestyle Strategy'!$B$3 +
    ('Lifestyle Strategy'!$C$3 - 'Lifestyle Strategy'!$B$3) *
    _xlfn.BETA.INV(RAND(), 'Lifestyle Strategy'!$F$3, 'Lifestyle Strategy'!$G$3)
) * IF(MOD(B34,5)=0, 1 + 'Lifestyle Strategy'!$M$4, 1 + 0.025)</f>
        <v>25441.563445745156</v>
      </c>
      <c r="AQ34" s="15">
        <f ca="1" xml:space="preserve"> I34 * (
    'Lifestyle Strategy'!$B$4 +
    ('Lifestyle Strategy'!$C$4 - 'Lifestyle Strategy'!$B$4) *
    _xlfn.BETA.INV(RAND(), 'Lifestyle Strategy'!$F$4, 'Lifestyle Strategy'!$G$4)
) * IF(MOD(B34,5)=0, 1 + 'Lifestyle Strategy'!$M$4, 1 + 0.025)</f>
        <v>15414.0399077286</v>
      </c>
      <c r="AR34" s="15">
        <f ca="1" xml:space="preserve"> I34 * (
    'Lifestyle Strategy'!$B$5 +
    ('Lifestyle Strategy'!$C$5 - 'Lifestyle Strategy'!$B$5) *
    _xlfn.BETA.INV(RAND(), 'Lifestyle Strategy'!$F$5, 'Lifestyle Strategy'!$G$5)
) * IF(MOD(B34,5)=0, 1 + 'Lifestyle Strategy'!$M$4, 1 + 0.025)</f>
        <v>10619.142736183419</v>
      </c>
      <c r="AS34" s="15">
        <f ca="1" xml:space="preserve"> I34 * (
    'Lifestyle Strategy'!$B$6 +
    ('Lifestyle Strategy'!$C$6 - 'Lifestyle Strategy'!$B$6) *
    _xlfn.BETA.INV(RAND(), 'Lifestyle Strategy'!$F$6, 'Lifestyle Strategy'!$G$6)
) * IF(MOD(B34,5)=0, 1 + 'Lifestyle Strategy'!$M$4, 1 + 0.025)</f>
        <v>10318.388271563621</v>
      </c>
      <c r="AT34" s="15">
        <f ca="1" xml:space="preserve"> I34 * (
    'Lifestyle Strategy'!$B$7 +
    ('Lifestyle Strategy'!$C$7 - 'Lifestyle Strategy'!$B$7) *
    _xlfn.BETA.INV(RAND(), 'Lifestyle Strategy'!$F$7, 'Lifestyle Strategy'!$G$7)
) * IF(MOD(B34,5)=0, 1 + 'Lifestyle Strategy'!$M$4, 1 + 0.025)</f>
        <v>20420.769776709432</v>
      </c>
      <c r="AU34" s="15">
        <f ca="1" xml:space="preserve"> I34 * (
    'Lifestyle Strategy'!$B$8 +
    ('Lifestyle Strategy'!$C$8 - 'Lifestyle Strategy'!$B$8) *
    _xlfn.BETA.INV(RAND(), 'Lifestyle Strategy'!$F$8, 'Lifestyle Strategy'!$G$8)
) * IF(MOD(B34,5)=0, 1 + 'Lifestyle Strategy'!$M$4, 1 + 0.025)</f>
        <v>6224.2234699298333</v>
      </c>
      <c r="AV34" s="15" t="str">
        <f ca="1">IF('Lifestyle Strategy'!$B$14 = "Yes",
   IF(AND(B34&gt;='Lifestyle Strategy'!$B$15, B34&lt;'Lifestyle Strategy'!$B$16),
      'Lifestyle Strategy'!$B$25,
      IF(B34&gt;='Lifestyle Strategy'!$B$16, "",
         0)
   ),
   0
)</f>
        <v/>
      </c>
      <c r="AW34" s="15">
        <f ca="1">IF('Lifestyle Strategy'!$Q$4="No", 0,
   IF(AND(B34&gt;='Lifestyle Strategy'!$Q$5, B34&lt;'Lifestyle Strategy'!$Q$6),
      'Lifestyle Strategy'!$Q$8 * (1.025^(B34-'Lifestyle Strategy'!$Q$5)) * (1.12^INT((B34-'Lifestyle Strategy'!$Q$5)/5)),
      0
   )
)</f>
        <v>0</v>
      </c>
      <c r="AX34" s="15">
        <f t="shared" ca="1" si="8"/>
        <v>88438.127607860064</v>
      </c>
      <c r="AY34" s="15">
        <f ca="1">IF(B34='Lifestyle Strategy'!$Q$10, MIN(AN34, 'Lifestyle Strategy'!$Q$11), 0)</f>
        <v>0</v>
      </c>
      <c r="AZ34" s="15">
        <f ca="1">IF(B34='Lifestyle Strategy'!$Q$10, 'Lifestyle Strategy'!$Q$11, 0)</f>
        <v>0</v>
      </c>
      <c r="BA34" s="15">
        <f ca="1">IF(B34='Lifestyle Strategy'!$Q$10, MAX(AZ34 - AY34, 0), 0)</f>
        <v>0</v>
      </c>
      <c r="BB34" s="26">
        <f t="shared" ca="1" si="19"/>
        <v>692382.35435856297</v>
      </c>
      <c r="BC34" s="18" t="str">
        <f t="shared" ca="1" si="20"/>
        <v>$0.69M</v>
      </c>
      <c r="BD34" s="27"/>
      <c r="BQ34" s="8"/>
      <c r="BR34" s="8">
        <v>19</v>
      </c>
      <c r="BS34" s="8">
        <v>84</v>
      </c>
      <c r="BT34" s="15">
        <f ca="1">IF(BS34&lt;'Lifestyle Strategy'!$M$14, 0,
   'Lifestyle Strategy'!$M$15 *
   (1 + 'Lifestyle Strategy'!$M$16)^(BS34-'Lifestyle Strategy'!$M$14) *
   (1 + IF(RAND() &lt; (0.08 - 0.06) / (0.1 - 0.06),
             0.06 + SQRT(RAND() * (0.08 - 0.06) * (0.1 - 0.06)),
             0.1 - SQRT((1 - RAND()) * (0.1 - 0.08) * (0.1 - 0.06))
         ))^INT((BS34-'Lifestyle Strategy'!$M$14)/5)
)</f>
        <v>279405.62802926841</v>
      </c>
      <c r="BU34" s="139">
        <f t="shared" ca="1" si="29"/>
        <v>5.9591227805525115E-2</v>
      </c>
      <c r="BV34" s="15">
        <f>'Lifestyle Strategy'!$M$22*(1+'Lifestyle Strategy'!$M$16)^('Lifestyle Strategy'!$M$23 + BR34-1)</f>
        <v>85131.973619153447</v>
      </c>
      <c r="BW34" s="15">
        <f t="shared" ca="1" si="30"/>
        <v>194273.65441011498</v>
      </c>
      <c r="BX34" s="139">
        <f t="shared" ca="1" si="31"/>
        <v>4.1434403731310313E-2</v>
      </c>
      <c r="BY34" s="140">
        <f ca="1">IFERROR(_xlfn.NORM.INV(RAND(),'Lifestyle Strategy'!$M$27,'Lifestyle Strategy'!$M$28),0)</f>
        <v>-9.0631365119887147E-4</v>
      </c>
      <c r="BZ34" s="15">
        <f t="shared" ca="1" si="32"/>
        <v>-4429.5238423756773</v>
      </c>
      <c r="CA34" s="15">
        <f t="shared" ca="1" si="33"/>
        <v>4688703.9975263402</v>
      </c>
      <c r="CB34" s="15">
        <f>IF('Post-Retirement_Cal'!$K34&lt;0, ABS('Post-Retirement_Cal'!$K34),0)</f>
        <v>0</v>
      </c>
    </row>
    <row r="35" spans="1:80" x14ac:dyDescent="0.2">
      <c r="A35" s="8"/>
      <c r="B35" s="8">
        <v>22</v>
      </c>
      <c r="C35" s="8">
        <v>52</v>
      </c>
      <c r="D35" s="15">
        <f t="shared" ca="1" si="21"/>
        <v>298653.10836449912</v>
      </c>
      <c r="E35" s="15">
        <f t="shared" ca="1" si="28"/>
        <v>12479.954874958319</v>
      </c>
      <c r="F35" s="16">
        <f t="shared" ca="1" si="22"/>
        <v>4.3609803095713669E-2</v>
      </c>
      <c r="G35" s="15">
        <f ca="1">'Tax rate cal'!C32</f>
        <v>95029.149762154659</v>
      </c>
      <c r="H35" s="15">
        <f t="shared" ca="1" si="9"/>
        <v>4987.5069096871348</v>
      </c>
      <c r="I35" s="15">
        <f t="shared" ca="1" si="10"/>
        <v>198636.45169265731</v>
      </c>
      <c r="J35" s="16">
        <f t="shared" ca="1" si="11"/>
        <v>0.12</v>
      </c>
      <c r="K35" s="16">
        <v>0.03</v>
      </c>
      <c r="L35" s="17">
        <f ca="1">IF(O35 = 0,0,'Lifestyle Strategy'!$Q$9)</f>
        <v>0</v>
      </c>
      <c r="M35" s="15">
        <f t="shared" ca="1" si="3"/>
        <v>23836.374203118878</v>
      </c>
      <c r="N35" s="15">
        <f t="shared" ca="1" si="4"/>
        <v>5959.0935507797194</v>
      </c>
      <c r="O35" s="15">
        <f ca="1">IF(AND('Lifestyle Strategy'!$Q$2="Yes", B35 &gt;='Lifestyle Strategy'!$Q$3),
     I35 * 'Lifestyle Strategy'!$Q$9,
     0
)</f>
        <v>0</v>
      </c>
      <c r="P35" s="8">
        <f t="shared" si="5"/>
        <v>0</v>
      </c>
      <c r="Q35" s="15">
        <f t="shared" ca="1" si="12"/>
        <v>29795.467753898596</v>
      </c>
      <c r="R35" s="15">
        <f ca="1">IF(B35&lt;=5, Q35*'Fund Allocation Strategy'!$B$2,
 IF(B35&lt;=10, Q35*'Fund Allocation Strategy'!$B$3,
 IF(B35&lt;=15, Q35*'Fund Allocation Strategy'!$B$4,
 IF(B35&lt;=20, Q35*'Fund Allocation Strategy'!$B$5,
 IF(B35&lt;=25, Q35*'Fund Allocation Strategy'!$B$6,
 IF(B35&lt;=30, Q35*'Fund Allocation Strategy'!$B$7,
 Q35*'Fund Allocation Strategy'!$B$8))))))</f>
        <v>8938.6403261695777</v>
      </c>
      <c r="S35" s="17">
        <f ca="1">_xlfn.NORM.INV(RAND(),'Fund Allocation Strategy'!$B$11,'Fund Allocation Strategy'!$C$11)</f>
        <v>3.7561116784948015E-2</v>
      </c>
      <c r="T35" s="15">
        <f t="shared" ca="1" si="13"/>
        <v>3017.8706161135651</v>
      </c>
      <c r="U35" s="15">
        <f t="shared" ca="1" si="14"/>
        <v>87832.794808813531</v>
      </c>
      <c r="V35" s="15">
        <f ca="1">IF(B35&lt;=5, Q35*'Fund Allocation Strategy'!$C$2,
 IF(B35&lt;=10, Q35*'Fund Allocation Strategy'!$C$3,
 IF(B35&lt;=15, Q35*'Fund Allocation Strategy'!$C$4,
 IF(B35&lt;=20, Q35*'Fund Allocation Strategy'!$C$5,
 IF(B35&lt;=25, Q35*'Fund Allocation Strategy'!$C$6,
 IF(B35&lt;=30, Q35*'Fund Allocation Strategy'!$C$7,
 Q35*'Fund Allocation Strategy'!$C$8))))))</f>
        <v>8938.6403261695777</v>
      </c>
      <c r="W35" s="16">
        <f ca="1">_xlfn.NORM.INV(RAND(),'Fund Allocation Strategy'!$B$12,'Fund Allocation Strategy'!$C$12)</f>
        <v>7.0388592688021973E-2</v>
      </c>
      <c r="X35" s="15">
        <f t="shared" ca="1" si="23"/>
        <v>7969.8205810626705</v>
      </c>
      <c r="Y35" s="15">
        <f t="shared" ca="1" si="24"/>
        <v>125665.16610860817</v>
      </c>
      <c r="Z35" s="15">
        <f ca="1">IF(B35&lt;=5, Q35*'Fund Allocation Strategy'!$D$2,
 IF(B35&lt;=10, Q35*'Fund Allocation Strategy'!$D$3,
 IF(B35&lt;=15, Q35*'Fund Allocation Strategy'!$D$4,
 IF(B35&lt;=20, Q35*'Fund Allocation Strategy'!$D$5,
 IF(B35&lt;=25, Q35*'Fund Allocation Strategy'!$D$6,
 IF(B35&lt;=30, Q35*'Fund Allocation Strategy'!$D$7,
 Q35*'Fund Allocation Strategy'!$D$8))))))</f>
        <v>7448.866938474649</v>
      </c>
      <c r="AA35" s="16">
        <f ca="1">_xlfn.NORM.INV(RAND(),'Fund Allocation Strategy'!$B$13,'Fund Allocation Strategy'!$C$13)</f>
        <v>0.10215253193853856</v>
      </c>
      <c r="AB35" s="15">
        <f t="shared" ca="1" si="25"/>
        <v>30563.610946461657</v>
      </c>
      <c r="AC35" s="15">
        <f t="shared" ca="1" si="26"/>
        <v>333483.86821427761</v>
      </c>
      <c r="AD35" s="15">
        <f ca="1">IF(B35&lt;=5, Q35*'Fund Allocation Strategy'!$E$2,
 IF(B35&lt;=10, Q35*'Fund Allocation Strategy'!$E$3,
 IF(B35&lt;=15, Q35*'Fund Allocation Strategy'!$E$4,
 IF(B35&lt;=20, Q35*'Fund Allocation Strategy'!$E$5,
 IF(B35&lt;=25, Q35*'Fund Allocation Strategy'!$E$6,
 IF(B35&lt;=30, Q35*'Fund Allocation Strategy'!$E$7,
 Q35*'Fund Allocation Strategy'!$E$8))))))</f>
        <v>2979.5467753898597</v>
      </c>
      <c r="AE35" s="16">
        <f ca="1">_xlfn.NORM.INV(RAND(), 'Fund Allocation Strategy'!$B$14, 'Fund Allocation Strategy'!$C$14) + _xlfn.NORM.INV(RAND(), 'Fund Allocation Strategy'!$D$14,'Fund Allocation Strategy'!$E$14)</f>
        <v>0.17563190873050633</v>
      </c>
      <c r="AF35" s="15">
        <f t="shared" ca="1" si="15"/>
        <v>31571.648671918447</v>
      </c>
      <c r="AG35" s="15">
        <f ca="1">IF(B35&lt;=5, Q35*'Fund Allocation Strategy'!$F$2,
 IF(B35&lt;=10, Q35*'Fund Allocation Strategy'!$F$3,
 IF(B35&lt;=15, Q35*'Fund Allocation Strategy'!$F$4,
 IF(B35&lt;=20, Q35*'Fund Allocation Strategy'!$F$5,
 IF(B35&lt;=25, Q35*'Fund Allocation Strategy'!$F$6,
 IF(B35&lt;=30, Q35*'Fund Allocation Strategy'!$F$7,
 Q35*'Fund Allocation Strategy'!$F$8))))))</f>
        <v>1489.7733876949299</v>
      </c>
      <c r="AH35" s="16">
        <f ca="1">_xlfn.NORM.INV(RAND(),'Fund Allocation Strategy'!$B$15,'Fund Allocation Strategy'!$C$15)</f>
        <v>0.21170921564226919</v>
      </c>
      <c r="AI35" s="15">
        <f t="shared" ca="1" si="27"/>
        <v>202.82800040243558</v>
      </c>
      <c r="AJ35" s="15">
        <f t="shared" ca="1" si="16"/>
        <v>38374.084816317278</v>
      </c>
      <c r="AK35" s="15">
        <f t="shared" ca="1" si="6"/>
        <v>3192.3261784065098</v>
      </c>
      <c r="AL35" s="17">
        <f t="shared" ca="1" si="7"/>
        <v>1.4999999999999999E-2</v>
      </c>
      <c r="AM35" s="15">
        <f t="shared" ca="1" si="17"/>
        <v>212821.74522710068</v>
      </c>
      <c r="AN35" s="15">
        <f t="shared" ca="1" si="18"/>
        <v>209629.41904869417</v>
      </c>
      <c r="AO35" s="15" t="str">
        <f ca="1">IF(AV35 = 0, I35 * (
    'Lifestyle Strategy'!$B$2 +
    ('Lifestyle Strategy'!$C$2 - 'Lifestyle Strategy'!$B$2) *
    _xlfn.BETA.INV(RAND(), 'Lifestyle Strategy'!$F$2, 'Lifestyle Strategy'!$G$2)
),IF(AV35 = "", "",0))</f>
        <v/>
      </c>
      <c r="AP35" s="15">
        <f ca="1" xml:space="preserve"> I35 * (
    'Lifestyle Strategy'!$B$3 +
    ('Lifestyle Strategy'!$C$3 - 'Lifestyle Strategy'!$B$3) *
    _xlfn.BETA.INV(RAND(), 'Lifestyle Strategy'!$F$3, 'Lifestyle Strategy'!$G$3)
) * IF(MOD(B35,5)=0, 1 + 'Lifestyle Strategy'!$M$4, 1 + 0.025)</f>
        <v>27531.19885476301</v>
      </c>
      <c r="AQ35" s="15">
        <f ca="1" xml:space="preserve"> I35 * (
    'Lifestyle Strategy'!$B$4 +
    ('Lifestyle Strategy'!$C$4 - 'Lifestyle Strategy'!$B$4) *
    _xlfn.BETA.INV(RAND(), 'Lifestyle Strategy'!$F$4, 'Lifestyle Strategy'!$G$4)
) * IF(MOD(B35,5)=0, 1 + 'Lifestyle Strategy'!$M$4, 1 + 0.025)</f>
        <v>15665.92321640981</v>
      </c>
      <c r="AR35" s="15">
        <f ca="1" xml:space="preserve"> I35 * (
    'Lifestyle Strategy'!$B$5 +
    ('Lifestyle Strategy'!$C$5 - 'Lifestyle Strategy'!$B$5) *
    _xlfn.BETA.INV(RAND(), 'Lifestyle Strategy'!$F$5, 'Lifestyle Strategy'!$G$5)
) * IF(MOD(B35,5)=0, 1 + 'Lifestyle Strategy'!$M$4, 1 + 0.025)</f>
        <v>10655.942186800665</v>
      </c>
      <c r="AS35" s="15">
        <f ca="1" xml:space="preserve"> I35 * (
    'Lifestyle Strategy'!$B$6 +
    ('Lifestyle Strategy'!$C$6 - 'Lifestyle Strategy'!$B$6) *
    _xlfn.BETA.INV(RAND(), 'Lifestyle Strategy'!$F$6, 'Lifestyle Strategy'!$G$6)
) * IF(MOD(B35,5)=0, 1 + 'Lifestyle Strategy'!$M$4, 1 + 0.025)</f>
        <v>10006.192337517083</v>
      </c>
      <c r="AT35" s="15">
        <f ca="1" xml:space="preserve"> I35 * (
    'Lifestyle Strategy'!$B$7 +
    ('Lifestyle Strategy'!$C$7 - 'Lifestyle Strategy'!$B$7) *
    _xlfn.BETA.INV(RAND(), 'Lifestyle Strategy'!$F$7, 'Lifestyle Strategy'!$G$7)
) * IF(MOD(B35,5)=0, 1 + 'Lifestyle Strategy'!$M$4, 1 + 0.025)</f>
        <v>17721.740598151784</v>
      </c>
      <c r="AU35" s="15">
        <f ca="1" xml:space="preserve"> I35 * (
    'Lifestyle Strategy'!$B$8 +
    ('Lifestyle Strategy'!$C$8 - 'Lifestyle Strategy'!$B$8) *
    _xlfn.BETA.INV(RAND(), 'Lifestyle Strategy'!$F$8, 'Lifestyle Strategy'!$G$8)
) * IF(MOD(B35,5)=0, 1 + 'Lifestyle Strategy'!$M$4, 1 + 0.025)</f>
        <v>10245.428605013183</v>
      </c>
      <c r="AV35" s="15" t="str">
        <f ca="1">IF('Lifestyle Strategy'!$B$14 = "Yes",
   IF(AND(B35&gt;='Lifestyle Strategy'!$B$15, B35&lt;'Lifestyle Strategy'!$B$16),
      'Lifestyle Strategy'!$B$25,
      IF(B35&gt;='Lifestyle Strategy'!$B$16, "",
         0)
   ),
   0
)</f>
        <v/>
      </c>
      <c r="AW35" s="15">
        <f ca="1">IF('Lifestyle Strategy'!$Q$4="No", 0,
   IF(AND(B35&gt;='Lifestyle Strategy'!$Q$5, B35&lt;'Lifestyle Strategy'!$Q$6),
      'Lifestyle Strategy'!$Q$8 * (1.025^(B35-'Lifestyle Strategy'!$Q$5)) * (1.12^INT((B35-'Lifestyle Strategy'!$Q$5)/5)),
      0
   )
)</f>
        <v>0</v>
      </c>
      <c r="AX35" s="15">
        <f t="shared" ca="1" si="8"/>
        <v>91826.425798655531</v>
      </c>
      <c r="AY35" s="15">
        <f ca="1">IF(B35='Lifestyle Strategy'!$Q$10, MIN(AN35, 'Lifestyle Strategy'!$Q$11), 0)</f>
        <v>0</v>
      </c>
      <c r="AZ35" s="15">
        <f ca="1">IF(B35='Lifestyle Strategy'!$Q$10, 'Lifestyle Strategy'!$Q$11, 0)</f>
        <v>0</v>
      </c>
      <c r="BA35" s="15">
        <f ca="1">IF(B35='Lifestyle Strategy'!$Q$10, MAX(AZ35 - AY35, 0), 0)</f>
        <v>0</v>
      </c>
      <c r="BB35" s="26">
        <f t="shared" ca="1" si="19"/>
        <v>794985.33299671079</v>
      </c>
      <c r="BC35" s="18" t="str">
        <f t="shared" ca="1" si="20"/>
        <v>$0.79M</v>
      </c>
      <c r="BD35" s="27"/>
      <c r="BQ35" s="8"/>
      <c r="BR35" s="8">
        <v>20</v>
      </c>
      <c r="BS35" s="8">
        <v>85</v>
      </c>
      <c r="BT35" s="15">
        <f ca="1">IF(BS35&lt;'Lifestyle Strategy'!$M$14, 0,
   'Lifestyle Strategy'!$M$15 *
   (1 + 'Lifestyle Strategy'!$M$16)^(BS35-'Lifestyle Strategy'!$M$14) *
   (1 + IF(RAND() &lt; (0.08 - 0.06) / (0.1 - 0.06),
             0.06 + SQRT(RAND() * (0.08 - 0.06) * (0.1 - 0.06)),
             0.1 - SQRT((1 - RAND()) * (0.1 - 0.08) * (0.1 - 0.06))
         ))^INT((BS35-'Lifestyle Strategy'!$M$14)/5)
)</f>
        <v>294202.45346870198</v>
      </c>
      <c r="BU35" s="139">
        <f t="shared" ca="1" si="29"/>
        <v>6.3997720866735566E-2</v>
      </c>
      <c r="BV35" s="15">
        <f>'Lifestyle Strategy'!$M$22*(1+'Lifestyle Strategy'!$M$16)^('Lifestyle Strategy'!$M$23 + BR35-1)</f>
        <v>87260.272959632275</v>
      </c>
      <c r="BW35" s="15">
        <f t="shared" ca="1" si="30"/>
        <v>206942.1805090697</v>
      </c>
      <c r="BX35" s="139">
        <f t="shared" ca="1" si="31"/>
        <v>4.5016034868594193E-2</v>
      </c>
      <c r="BY35" s="140">
        <f ca="1">IFERROR(_xlfn.NORM.INV(RAND(),'Lifestyle Strategy'!$M$27,'Lifestyle Strategy'!$M$28),0)</f>
        <v>2.4594264663475522E-2</v>
      </c>
      <c r="BZ35" s="15">
        <f t="shared" ca="1" si="32"/>
        <v>115315.2270438585</v>
      </c>
      <c r="CA35" s="15">
        <f t="shared" ca="1" si="33"/>
        <v>4597077.044061129</v>
      </c>
      <c r="CB35" s="15">
        <f>IF('Post-Retirement_Cal'!$K35&lt;0, ABS('Post-Retirement_Cal'!$K35),0)</f>
        <v>0</v>
      </c>
    </row>
    <row r="36" spans="1:80" x14ac:dyDescent="0.2">
      <c r="A36" s="8"/>
      <c r="B36" s="8">
        <v>23</v>
      </c>
      <c r="C36" s="8">
        <v>53</v>
      </c>
      <c r="D36" s="15">
        <f t="shared" ca="1" si="21"/>
        <v>312515.83426982374</v>
      </c>
      <c r="E36" s="15">
        <f t="shared" ca="1" si="28"/>
        <v>13862.725905324623</v>
      </c>
      <c r="F36" s="16">
        <f t="shared" ca="1" si="22"/>
        <v>4.6417484087945576E-2</v>
      </c>
      <c r="G36" s="15">
        <f ca="1">'Tax rate cal'!C33</f>
        <v>100435.61286523126</v>
      </c>
      <c r="H36" s="15">
        <f t="shared" ca="1" si="9"/>
        <v>5219.0144323060567</v>
      </c>
      <c r="I36" s="15">
        <f t="shared" ca="1" si="10"/>
        <v>206861.20697228643</v>
      </c>
      <c r="J36" s="16">
        <f t="shared" ca="1" si="11"/>
        <v>0.12</v>
      </c>
      <c r="K36" s="16">
        <v>0.03</v>
      </c>
      <c r="L36" s="17">
        <f ca="1">IF(O36 = 0,0,'Lifestyle Strategy'!$Q$9)</f>
        <v>0</v>
      </c>
      <c r="M36" s="15">
        <f t="shared" ca="1" si="3"/>
        <v>24823.344836674369</v>
      </c>
      <c r="N36" s="15">
        <f t="shared" ca="1" si="4"/>
        <v>6205.8362091685922</v>
      </c>
      <c r="O36" s="15">
        <f ca="1">IF(AND('Lifestyle Strategy'!$Q$2="Yes", B36 &gt;='Lifestyle Strategy'!$Q$3),
     I36 * 'Lifestyle Strategy'!$Q$9,
     0
)</f>
        <v>0</v>
      </c>
      <c r="P36" s="8">
        <f t="shared" si="5"/>
        <v>0</v>
      </c>
      <c r="Q36" s="15">
        <f t="shared" ca="1" si="12"/>
        <v>31029.181045842961</v>
      </c>
      <c r="R36" s="15">
        <f ca="1">IF(B36&lt;=5, Q36*'Fund Allocation Strategy'!$B$2,
 IF(B36&lt;=10, Q36*'Fund Allocation Strategy'!$B$3,
 IF(B36&lt;=15, Q36*'Fund Allocation Strategy'!$B$4,
 IF(B36&lt;=20, Q36*'Fund Allocation Strategy'!$B$5,
 IF(B36&lt;=25, Q36*'Fund Allocation Strategy'!$B$6,
 IF(B36&lt;=30, Q36*'Fund Allocation Strategy'!$B$7,
 Q36*'Fund Allocation Strategy'!$B$8))))))</f>
        <v>9308.7543137528883</v>
      </c>
      <c r="S36" s="17">
        <f ca="1">_xlfn.NORM.INV(RAND(),'Fund Allocation Strategy'!$B$11,'Fund Allocation Strategy'!$C$11)</f>
        <v>3.7418819573436991E-2</v>
      </c>
      <c r="T36" s="15">
        <f t="shared" ca="1" si="13"/>
        <v>3460.7608006415931</v>
      </c>
      <c r="U36" s="15">
        <f t="shared" ca="1" si="14"/>
        <v>100602.30992320801</v>
      </c>
      <c r="V36" s="15">
        <f ca="1">IF(B36&lt;=5, Q36*'Fund Allocation Strategy'!$C$2,
 IF(B36&lt;=10, Q36*'Fund Allocation Strategy'!$C$3,
 IF(B36&lt;=15, Q36*'Fund Allocation Strategy'!$C$4,
 IF(B36&lt;=20, Q36*'Fund Allocation Strategy'!$C$5,
 IF(B36&lt;=25, Q36*'Fund Allocation Strategy'!$C$6,
 IF(B36&lt;=30, Q36*'Fund Allocation Strategy'!$C$7,
 Q36*'Fund Allocation Strategy'!$C$8))))))</f>
        <v>9308.7543137528883</v>
      </c>
      <c r="W36" s="16">
        <f ca="1">_xlfn.NORM.INV(RAND(),'Fund Allocation Strategy'!$B$12,'Fund Allocation Strategy'!$C$12)</f>
        <v>6.9727598579027786E-2</v>
      </c>
      <c r="X36" s="15">
        <f t="shared" ca="1" si="23"/>
        <v>9086.8687998179557</v>
      </c>
      <c r="Y36" s="15">
        <f t="shared" ca="1" si="24"/>
        <v>144060.78922217901</v>
      </c>
      <c r="Z36" s="15">
        <f ca="1">IF(B36&lt;=5, Q36*'Fund Allocation Strategy'!$D$2,
 IF(B36&lt;=10, Q36*'Fund Allocation Strategy'!$D$3,
 IF(B36&lt;=15, Q36*'Fund Allocation Strategy'!$D$4,
 IF(B36&lt;=20, Q36*'Fund Allocation Strategy'!$D$5,
 IF(B36&lt;=25, Q36*'Fund Allocation Strategy'!$D$6,
 IF(B36&lt;=30, Q36*'Fund Allocation Strategy'!$D$7,
 Q36*'Fund Allocation Strategy'!$D$8))))))</f>
        <v>7757.2952614607402</v>
      </c>
      <c r="AA36" s="16">
        <f ca="1">_xlfn.NORM.INV(RAND(),'Fund Allocation Strategy'!$B$13,'Fund Allocation Strategy'!$C$13)</f>
        <v>0.10442154259998912</v>
      </c>
      <c r="AB36" s="15">
        <f t="shared" ca="1" si="25"/>
        <v>35227.914319949006</v>
      </c>
      <c r="AC36" s="15">
        <f t="shared" ca="1" si="26"/>
        <v>376469.07779568736</v>
      </c>
      <c r="AD36" s="15">
        <f ca="1">IF(B36&lt;=5, Q36*'Fund Allocation Strategy'!$E$2,
 IF(B36&lt;=10, Q36*'Fund Allocation Strategy'!$E$3,
 IF(B36&lt;=15, Q36*'Fund Allocation Strategy'!$E$4,
 IF(B36&lt;=20, Q36*'Fund Allocation Strategy'!$E$5,
 IF(B36&lt;=25, Q36*'Fund Allocation Strategy'!$E$6,
 IF(B36&lt;=30, Q36*'Fund Allocation Strategy'!$E$7,
 Q36*'Fund Allocation Strategy'!$E$8))))))</f>
        <v>3102.9181045842961</v>
      </c>
      <c r="AE36" s="16">
        <f ca="1">_xlfn.NORM.INV(RAND(), 'Fund Allocation Strategy'!$B$14, 'Fund Allocation Strategy'!$C$14) + _xlfn.NORM.INV(RAND(), 'Fund Allocation Strategy'!$D$14,'Fund Allocation Strategy'!$E$14)</f>
        <v>0.50961044841981917</v>
      </c>
      <c r="AF36" s="15">
        <f t="shared" ca="1" si="15"/>
        <v>109246.82476201488</v>
      </c>
      <c r="AG36" s="15">
        <f ca="1">IF(B36&lt;=5, Q36*'Fund Allocation Strategy'!$F$2,
 IF(B36&lt;=10, Q36*'Fund Allocation Strategy'!$F$3,
 IF(B36&lt;=15, Q36*'Fund Allocation Strategy'!$F$4,
 IF(B36&lt;=20, Q36*'Fund Allocation Strategy'!$F$5,
 IF(B36&lt;=25, Q36*'Fund Allocation Strategy'!$F$6,
 IF(B36&lt;=30, Q36*'Fund Allocation Strategy'!$F$7,
 Q36*'Fund Allocation Strategy'!$F$8))))))</f>
        <v>1551.459052292148</v>
      </c>
      <c r="AH36" s="16">
        <f ca="1">_xlfn.NORM.INV(RAND(),'Fund Allocation Strategy'!$B$15,'Fund Allocation Strategy'!$C$15)</f>
        <v>0.22190108091574859</v>
      </c>
      <c r="AI36" s="15">
        <f t="shared" ca="1" si="27"/>
        <v>217.14297287935563</v>
      </c>
      <c r="AJ36" s="15">
        <f t="shared" ca="1" si="16"/>
        <v>40142.686841488787</v>
      </c>
      <c r="AK36" s="15">
        <f t="shared" ca="1" si="6"/>
        <v>4877.5723214054979</v>
      </c>
      <c r="AL36" s="17">
        <f t="shared" ca="1" si="7"/>
        <v>1.4999999999999999E-2</v>
      </c>
      <c r="AM36" s="15">
        <f t="shared" ca="1" si="17"/>
        <v>325171.48809369985</v>
      </c>
      <c r="AN36" s="15">
        <f t="shared" ca="1" si="18"/>
        <v>320293.91577229433</v>
      </c>
      <c r="AO36" s="15" t="str">
        <f ca="1">IF(AV36 = 0, I36 * (
    'Lifestyle Strategy'!$B$2 +
    ('Lifestyle Strategy'!$C$2 - 'Lifestyle Strategy'!$B$2) *
    _xlfn.BETA.INV(RAND(), 'Lifestyle Strategy'!$F$2, 'Lifestyle Strategy'!$G$2)
),IF(AV36 = "", "",0))</f>
        <v/>
      </c>
      <c r="AP36" s="15">
        <f ca="1" xml:space="preserve"> I36 * (
    'Lifestyle Strategy'!$B$3 +
    ('Lifestyle Strategy'!$C$3 - 'Lifestyle Strategy'!$B$3) *
    _xlfn.BETA.INV(RAND(), 'Lifestyle Strategy'!$F$3, 'Lifestyle Strategy'!$G$3)
) * IF(MOD(B36,5)=0, 1 + 'Lifestyle Strategy'!$M$4, 1 + 0.025)</f>
        <v>29377.118058330321</v>
      </c>
      <c r="AQ36" s="15">
        <f ca="1" xml:space="preserve"> I36 * (
    'Lifestyle Strategy'!$B$4 +
    ('Lifestyle Strategy'!$C$4 - 'Lifestyle Strategy'!$B$4) *
    _xlfn.BETA.INV(RAND(), 'Lifestyle Strategy'!$F$4, 'Lifestyle Strategy'!$G$4)
) * IF(MOD(B36,5)=0, 1 + 'Lifestyle Strategy'!$M$4, 1 + 0.025)</f>
        <v>19043.760144795368</v>
      </c>
      <c r="AR36" s="15">
        <f ca="1" xml:space="preserve"> I36 * (
    'Lifestyle Strategy'!$B$5 +
    ('Lifestyle Strategy'!$C$5 - 'Lifestyle Strategy'!$B$5) *
    _xlfn.BETA.INV(RAND(), 'Lifestyle Strategy'!$F$5, 'Lifestyle Strategy'!$G$5)
) * IF(MOD(B36,5)=0, 1 + 'Lifestyle Strategy'!$M$4, 1 + 0.025)</f>
        <v>10884.751475178058</v>
      </c>
      <c r="AS36" s="15">
        <f ca="1" xml:space="preserve"> I36 * (
    'Lifestyle Strategy'!$B$6 +
    ('Lifestyle Strategy'!$C$6 - 'Lifestyle Strategy'!$B$6) *
    _xlfn.BETA.INV(RAND(), 'Lifestyle Strategy'!$F$6, 'Lifestyle Strategy'!$G$6)
) * IF(MOD(B36,5)=0, 1 + 'Lifestyle Strategy'!$M$4, 1 + 0.025)</f>
        <v>9875.1564739371042</v>
      </c>
      <c r="AT36" s="15">
        <f ca="1" xml:space="preserve"> I36 * (
    'Lifestyle Strategy'!$B$7 +
    ('Lifestyle Strategy'!$C$7 - 'Lifestyle Strategy'!$B$7) *
    _xlfn.BETA.INV(RAND(), 'Lifestyle Strategy'!$F$7, 'Lifestyle Strategy'!$G$7)
) * IF(MOD(B36,5)=0, 1 + 'Lifestyle Strategy'!$M$4, 1 + 0.025)</f>
        <v>22851.500590748488</v>
      </c>
      <c r="AU36" s="15">
        <f ca="1" xml:space="preserve"> I36 * (
    'Lifestyle Strategy'!$B$8 +
    ('Lifestyle Strategy'!$C$8 - 'Lifestyle Strategy'!$B$8) *
    _xlfn.BETA.INV(RAND(), 'Lifestyle Strategy'!$F$8, 'Lifestyle Strategy'!$G$8)
) * IF(MOD(B36,5)=0, 1 + 'Lifestyle Strategy'!$M$4, 1 + 0.025)</f>
        <v>6795.2814672686281</v>
      </c>
      <c r="AV36" s="15" t="str">
        <f ca="1">IF('Lifestyle Strategy'!$B$14 = "Yes",
   IF(AND(B36&gt;='Lifestyle Strategy'!$B$15, B36&lt;'Lifestyle Strategy'!$B$16),
      'Lifestyle Strategy'!$B$25,
      IF(B36&gt;='Lifestyle Strategy'!$B$16, "",
         0)
   ),
   0
)</f>
        <v/>
      </c>
      <c r="AW36" s="15">
        <f ca="1">IF('Lifestyle Strategy'!$Q$4="No", 0,
   IF(AND(B36&gt;='Lifestyle Strategy'!$Q$5, B36&lt;'Lifestyle Strategy'!$Q$6),
      'Lifestyle Strategy'!$Q$8 * (1.025^(B36-'Lifestyle Strategy'!$Q$5)) * (1.12^INT((B36-'Lifestyle Strategy'!$Q$5)/5)),
      0
   )
)</f>
        <v>0</v>
      </c>
      <c r="AX36" s="15">
        <f t="shared" ca="1" si="8"/>
        <v>98827.568210257959</v>
      </c>
      <c r="AY36" s="15">
        <f ca="1">IF(B36='Lifestyle Strategy'!$Q$10, MIN(AN36, 'Lifestyle Strategy'!$Q$11), 0)</f>
        <v>0</v>
      </c>
      <c r="AZ36" s="15">
        <f ca="1">IF(B36='Lifestyle Strategy'!$Q$10, 'Lifestyle Strategy'!$Q$11, 0)</f>
        <v>0</v>
      </c>
      <c r="BA36" s="15">
        <f ca="1">IF(B36='Lifestyle Strategy'!$Q$10, MAX(AZ36 - AY36, 0), 0)</f>
        <v>0</v>
      </c>
      <c r="BB36" s="26">
        <f t="shared" ca="1" si="19"/>
        <v>981568.77955485764</v>
      </c>
      <c r="BC36" s="18" t="str">
        <f t="shared" ca="1" si="20"/>
        <v>$0.98M</v>
      </c>
      <c r="BD36" s="27"/>
    </row>
    <row r="37" spans="1:80" x14ac:dyDescent="0.2">
      <c r="A37" s="8"/>
      <c r="B37" s="8">
        <v>24</v>
      </c>
      <c r="C37" s="8">
        <v>54</v>
      </c>
      <c r="D37" s="15">
        <f t="shared" ca="1" si="21"/>
        <v>323275.59676786867</v>
      </c>
      <c r="E37" s="15">
        <f t="shared" ca="1" si="28"/>
        <v>10759.762498044933</v>
      </c>
      <c r="F37" s="16">
        <f t="shared" ca="1" si="22"/>
        <v>3.4429495462796417E-2</v>
      </c>
      <c r="G37" s="15">
        <f ca="1">'Tax rate cal'!C34</f>
        <v>104631.92023946879</v>
      </c>
      <c r="H37" s="15">
        <f t="shared" ca="1" si="9"/>
        <v>5398.7024660234065</v>
      </c>
      <c r="I37" s="15">
        <f t="shared" ca="1" si="10"/>
        <v>213244.97406237645</v>
      </c>
      <c r="J37" s="16">
        <f t="shared" ca="1" si="11"/>
        <v>0.12</v>
      </c>
      <c r="K37" s="16">
        <v>0.03</v>
      </c>
      <c r="L37" s="17">
        <f ca="1">IF(O37 = 0,0,'Lifestyle Strategy'!$Q$9)</f>
        <v>0</v>
      </c>
      <c r="M37" s="15">
        <f t="shared" ca="1" si="3"/>
        <v>25589.396887485174</v>
      </c>
      <c r="N37" s="15">
        <f t="shared" ca="1" si="4"/>
        <v>6397.3492218712936</v>
      </c>
      <c r="O37" s="15">
        <f ca="1">IF(AND('Lifestyle Strategy'!$Q$2="Yes", B37 &gt;='Lifestyle Strategy'!$Q$3),
     I37 * 'Lifestyle Strategy'!$Q$9,
     0
)</f>
        <v>0</v>
      </c>
      <c r="P37" s="8">
        <f t="shared" si="5"/>
        <v>0</v>
      </c>
      <c r="Q37" s="15">
        <f t="shared" ca="1" si="12"/>
        <v>31986.746109356467</v>
      </c>
      <c r="R37" s="15">
        <f ca="1">IF(B37&lt;=5, Q37*'Fund Allocation Strategy'!$B$2,
 IF(B37&lt;=10, Q37*'Fund Allocation Strategy'!$B$3,
 IF(B37&lt;=15, Q37*'Fund Allocation Strategy'!$B$4,
 IF(B37&lt;=20, Q37*'Fund Allocation Strategy'!$B$5,
 IF(B37&lt;=25, Q37*'Fund Allocation Strategy'!$B$6,
 IF(B37&lt;=30, Q37*'Fund Allocation Strategy'!$B$7,
 Q37*'Fund Allocation Strategy'!$B$8))))))</f>
        <v>9596.023832806939</v>
      </c>
      <c r="S37" s="17">
        <f ca="1">_xlfn.NORM.INV(RAND(),'Fund Allocation Strategy'!$B$11,'Fund Allocation Strategy'!$C$11)</f>
        <v>3.6571672676221724E-2</v>
      </c>
      <c r="T37" s="15">
        <f t="shared" ca="1" si="13"/>
        <v>3854.6660702866952</v>
      </c>
      <c r="U37" s="15">
        <f t="shared" ca="1" si="14"/>
        <v>114052.99982630165</v>
      </c>
      <c r="V37" s="15">
        <f ca="1">IF(B37&lt;=5, Q37*'Fund Allocation Strategy'!$C$2,
 IF(B37&lt;=10, Q37*'Fund Allocation Strategy'!$C$3,
 IF(B37&lt;=15, Q37*'Fund Allocation Strategy'!$C$4,
 IF(B37&lt;=20, Q37*'Fund Allocation Strategy'!$C$5,
 IF(B37&lt;=25, Q37*'Fund Allocation Strategy'!$C$6,
 IF(B37&lt;=30, Q37*'Fund Allocation Strategy'!$C$7,
 Q37*'Fund Allocation Strategy'!$C$8))))))</f>
        <v>9596.023832806939</v>
      </c>
      <c r="W37" s="16">
        <f ca="1">_xlfn.NORM.INV(RAND(),'Fund Allocation Strategy'!$B$12,'Fund Allocation Strategy'!$C$12)</f>
        <v>6.9244241292146638E-2</v>
      </c>
      <c r="X37" s="15">
        <f t="shared" ca="1" si="23"/>
        <v>10307.614744499677</v>
      </c>
      <c r="Y37" s="15">
        <f t="shared" ca="1" si="24"/>
        <v>163964.42779948562</v>
      </c>
      <c r="Z37" s="15">
        <f ca="1">IF(B37&lt;=5, Q37*'Fund Allocation Strategy'!$D$2,
 IF(B37&lt;=10, Q37*'Fund Allocation Strategy'!$D$3,
 IF(B37&lt;=15, Q37*'Fund Allocation Strategy'!$D$4,
 IF(B37&lt;=20, Q37*'Fund Allocation Strategy'!$D$5,
 IF(B37&lt;=25, Q37*'Fund Allocation Strategy'!$D$6,
 IF(B37&lt;=30, Q37*'Fund Allocation Strategy'!$D$7,
 Q37*'Fund Allocation Strategy'!$D$8))))))</f>
        <v>7996.6865273391168</v>
      </c>
      <c r="AA37" s="16">
        <f ca="1">_xlfn.NORM.INV(RAND(),'Fund Allocation Strategy'!$B$13,'Fund Allocation Strategy'!$C$13)</f>
        <v>0.10111038203622316</v>
      </c>
      <c r="AB37" s="15">
        <f t="shared" ca="1" si="25"/>
        <v>38469.206295648153</v>
      </c>
      <c r="AC37" s="15">
        <f t="shared" ca="1" si="26"/>
        <v>422934.97061867465</v>
      </c>
      <c r="AD37" s="15">
        <f ca="1">IF(B37&lt;=5, Q37*'Fund Allocation Strategy'!$E$2,
 IF(B37&lt;=10, Q37*'Fund Allocation Strategy'!$E$3,
 IF(B37&lt;=15, Q37*'Fund Allocation Strategy'!$E$4,
 IF(B37&lt;=20, Q37*'Fund Allocation Strategy'!$E$5,
 IF(B37&lt;=25, Q37*'Fund Allocation Strategy'!$E$6,
 IF(B37&lt;=30, Q37*'Fund Allocation Strategy'!$E$7,
 Q37*'Fund Allocation Strategy'!$E$8))))))</f>
        <v>3198.6746109356468</v>
      </c>
      <c r="AE37" s="16">
        <f ca="1">_xlfn.NORM.INV(RAND(), 'Fund Allocation Strategy'!$B$14, 'Fund Allocation Strategy'!$C$14) + _xlfn.NORM.INV(RAND(), 'Fund Allocation Strategy'!$D$14,'Fund Allocation Strategy'!$E$14)</f>
        <v>-0.12302498047293831</v>
      </c>
      <c r="AF37" s="15">
        <f t="shared" ca="1" si="15"/>
        <v>-40200.974413858537</v>
      </c>
      <c r="AG37" s="15">
        <f ca="1">IF(B37&lt;=5, Q37*'Fund Allocation Strategy'!$F$2,
 IF(B37&lt;=10, Q37*'Fund Allocation Strategy'!$F$3,
 IF(B37&lt;=15, Q37*'Fund Allocation Strategy'!$F$4,
 IF(B37&lt;=20, Q37*'Fund Allocation Strategy'!$F$5,
 IF(B37&lt;=25, Q37*'Fund Allocation Strategy'!$F$6,
 IF(B37&lt;=30, Q37*'Fund Allocation Strategy'!$F$7,
 Q37*'Fund Allocation Strategy'!$F$8))))))</f>
        <v>1599.3373054678234</v>
      </c>
      <c r="AH37" s="16">
        <f ca="1">_xlfn.NORM.INV(RAND(),'Fund Allocation Strategy'!$B$15,'Fund Allocation Strategy'!$C$15)</f>
        <v>0.20719310594881857</v>
      </c>
      <c r="AI37" s="15">
        <f t="shared" ca="1" si="27"/>
        <v>210.67635887568014</v>
      </c>
      <c r="AJ37" s="15">
        <f t="shared" ca="1" si="16"/>
        <v>41952.70050583229</v>
      </c>
      <c r="AK37" s="15">
        <f t="shared" ca="1" si="6"/>
        <v>4322.5378243616542</v>
      </c>
      <c r="AL37" s="17">
        <f t="shared" ca="1" si="7"/>
        <v>1.4999999999999999E-2</v>
      </c>
      <c r="AM37" s="15">
        <f t="shared" ca="1" si="17"/>
        <v>288169.18829077698</v>
      </c>
      <c r="AN37" s="15">
        <f t="shared" ca="1" si="18"/>
        <v>283846.65046641533</v>
      </c>
      <c r="AO37" s="15" t="str">
        <f ca="1">IF(AV37 = 0, I37 * (
    'Lifestyle Strategy'!$B$2 +
    ('Lifestyle Strategy'!$C$2 - 'Lifestyle Strategy'!$B$2) *
    _xlfn.BETA.INV(RAND(), 'Lifestyle Strategy'!$F$2, 'Lifestyle Strategy'!$G$2)
),IF(AV37 = "", "",0))</f>
        <v/>
      </c>
      <c r="AP37" s="15">
        <f ca="1" xml:space="preserve"> I37 * (
    'Lifestyle Strategy'!$B$3 +
    ('Lifestyle Strategy'!$C$3 - 'Lifestyle Strategy'!$B$3) *
    _xlfn.BETA.INV(RAND(), 'Lifestyle Strategy'!$F$3, 'Lifestyle Strategy'!$G$3)
) * IF(MOD(B37,5)=0, 1 + 'Lifestyle Strategy'!$M$4, 1 + 0.025)</f>
        <v>27420.435157640197</v>
      </c>
      <c r="AQ37" s="15">
        <f ca="1" xml:space="preserve"> I37 * (
    'Lifestyle Strategy'!$B$4 +
    ('Lifestyle Strategy'!$C$4 - 'Lifestyle Strategy'!$B$4) *
    _xlfn.BETA.INV(RAND(), 'Lifestyle Strategy'!$F$4, 'Lifestyle Strategy'!$G$4)
) * IF(MOD(B37,5)=0, 1 + 'Lifestyle Strategy'!$M$4, 1 + 0.025)</f>
        <v>17603.573757671005</v>
      </c>
      <c r="AR37" s="15">
        <f ca="1" xml:space="preserve"> I37 * (
    'Lifestyle Strategy'!$B$5 +
    ('Lifestyle Strategy'!$C$5 - 'Lifestyle Strategy'!$B$5) *
    _xlfn.BETA.INV(RAND(), 'Lifestyle Strategy'!$F$5, 'Lifestyle Strategy'!$G$5)
) * IF(MOD(B37,5)=0, 1 + 'Lifestyle Strategy'!$M$4, 1 + 0.025)</f>
        <v>10273.03070675615</v>
      </c>
      <c r="AS37" s="15">
        <f ca="1" xml:space="preserve"> I37 * (
    'Lifestyle Strategy'!$B$6 +
    ('Lifestyle Strategy'!$C$6 - 'Lifestyle Strategy'!$B$6) *
    _xlfn.BETA.INV(RAND(), 'Lifestyle Strategy'!$F$6, 'Lifestyle Strategy'!$G$6)
) * IF(MOD(B37,5)=0, 1 + 'Lifestyle Strategy'!$M$4, 1 + 0.025)</f>
        <v>10716.951673476868</v>
      </c>
      <c r="AT37" s="15">
        <f ca="1" xml:space="preserve"> I37 * (
    'Lifestyle Strategy'!$B$7 +
    ('Lifestyle Strategy'!$C$7 - 'Lifestyle Strategy'!$B$7) *
    _xlfn.BETA.INV(RAND(), 'Lifestyle Strategy'!$F$7, 'Lifestyle Strategy'!$G$7)
) * IF(MOD(B37,5)=0, 1 + 'Lifestyle Strategy'!$M$4, 1 + 0.025)</f>
        <v>22646.781612689138</v>
      </c>
      <c r="AU37" s="15">
        <f ca="1" xml:space="preserve"> I37 * (
    'Lifestyle Strategy'!$B$8 +
    ('Lifestyle Strategy'!$C$8 - 'Lifestyle Strategy'!$B$8) *
    _xlfn.BETA.INV(RAND(), 'Lifestyle Strategy'!$F$8, 'Lifestyle Strategy'!$G$8)
) * IF(MOD(B37,5)=0, 1 + 'Lifestyle Strategy'!$M$4, 1 + 0.025)</f>
        <v>7594.1109337439384</v>
      </c>
      <c r="AV37" s="15" t="str">
        <f ca="1">IF('Lifestyle Strategy'!$B$14 = "Yes",
   IF(AND(B37&gt;='Lifestyle Strategy'!$B$15, B37&lt;'Lifestyle Strategy'!$B$16),
      'Lifestyle Strategy'!$B$25,
      IF(B37&gt;='Lifestyle Strategy'!$B$16, "",
         0)
   ),
   0
)</f>
        <v/>
      </c>
      <c r="AW37" s="15">
        <f ca="1">IF('Lifestyle Strategy'!$Q$4="No", 0,
   IF(AND(B37&gt;='Lifestyle Strategy'!$Q$5, B37&lt;'Lifestyle Strategy'!$Q$6),
      'Lifestyle Strategy'!$Q$8 * (1.025^(B37-'Lifestyle Strategy'!$Q$5)) * (1.12^INT((B37-'Lifestyle Strategy'!$Q$5)/5)),
      0
   )
)</f>
        <v>0</v>
      </c>
      <c r="AX37" s="15">
        <f t="shared" ca="1" si="8"/>
        <v>96254.883841977309</v>
      </c>
      <c r="AY37" s="15">
        <f ca="1">IF(B37='Lifestyle Strategy'!$Q$10, MIN(AN37, 'Lifestyle Strategy'!$Q$11), 0)</f>
        <v>0</v>
      </c>
      <c r="AZ37" s="15">
        <f ca="1">IF(B37='Lifestyle Strategy'!$Q$10, 'Lifestyle Strategy'!$Q$11, 0)</f>
        <v>0</v>
      </c>
      <c r="BA37" s="15">
        <f ca="1">IF(B37='Lifestyle Strategy'!$Q$10, MAX(AZ37 - AY37, 0), 0)</f>
        <v>0</v>
      </c>
      <c r="BB37" s="26">
        <f t="shared" ca="1" si="19"/>
        <v>1026751.7492167096</v>
      </c>
      <c r="BC37" s="18" t="str">
        <f t="shared" ca="1" si="20"/>
        <v>$1.03M</v>
      </c>
      <c r="BD37" s="27"/>
    </row>
    <row r="38" spans="1:80" x14ac:dyDescent="0.2">
      <c r="A38" s="8"/>
      <c r="B38" s="8">
        <v>25</v>
      </c>
      <c r="C38" s="8">
        <v>55</v>
      </c>
      <c r="D38" s="15">
        <f t="shared" ca="1" si="21"/>
        <v>334118.37766046729</v>
      </c>
      <c r="E38" s="15">
        <f t="shared" ca="1" si="28"/>
        <v>10842.780892598617</v>
      </c>
      <c r="F38" s="16">
        <f t="shared" ca="1" si="22"/>
        <v>3.3540363086497944E-2</v>
      </c>
      <c r="G38" s="15">
        <f ca="1">'Tax rate cal'!C35</f>
        <v>108860.60478758224</v>
      </c>
      <c r="H38" s="15">
        <f t="shared" ca="1" si="9"/>
        <v>5579.7769069298038</v>
      </c>
      <c r="I38" s="15">
        <f t="shared" ca="1" si="10"/>
        <v>219677.99596595526</v>
      </c>
      <c r="J38" s="16">
        <f t="shared" ca="1" si="11"/>
        <v>0.12</v>
      </c>
      <c r="K38" s="16">
        <v>0.03</v>
      </c>
      <c r="L38" s="17">
        <f ca="1">IF(O38 = 0,0,'Lifestyle Strategy'!$Q$9)</f>
        <v>0</v>
      </c>
      <c r="M38" s="15">
        <f t="shared" ca="1" si="3"/>
        <v>26361.359515914628</v>
      </c>
      <c r="N38" s="15">
        <f t="shared" ca="1" si="4"/>
        <v>6590.339878978657</v>
      </c>
      <c r="O38" s="15">
        <f ca="1">IF(AND('Lifestyle Strategy'!$Q$2="Yes", B38 &gt;='Lifestyle Strategy'!$Q$3),
     I38 * 'Lifestyle Strategy'!$Q$9,
     0
)</f>
        <v>0</v>
      </c>
      <c r="P38" s="8">
        <f t="shared" ca="1" si="5"/>
        <v>10000</v>
      </c>
      <c r="Q38" s="15">
        <f t="shared" ca="1" si="12"/>
        <v>42951.699394893287</v>
      </c>
      <c r="R38" s="15">
        <f ca="1">IF(B38&lt;=5, Q38*'Fund Allocation Strategy'!$B$2,
 IF(B38&lt;=10, Q38*'Fund Allocation Strategy'!$B$3,
 IF(B38&lt;=15, Q38*'Fund Allocation Strategy'!$B$4,
 IF(B38&lt;=20, Q38*'Fund Allocation Strategy'!$B$5,
 IF(B38&lt;=25, Q38*'Fund Allocation Strategy'!$B$6,
 IF(B38&lt;=30, Q38*'Fund Allocation Strategy'!$B$7,
 Q38*'Fund Allocation Strategy'!$B$8))))))</f>
        <v>12885.509818467986</v>
      </c>
      <c r="S38" s="17">
        <f ca="1">_xlfn.NORM.INV(RAND(),'Fund Allocation Strategy'!$B$11,'Fund Allocation Strategy'!$C$11)</f>
        <v>3.7456257718457571E-2</v>
      </c>
      <c r="T38" s="15">
        <f t="shared" ca="1" si="13"/>
        <v>4513.320043354277</v>
      </c>
      <c r="U38" s="15">
        <f t="shared" ca="1" si="14"/>
        <v>131451.82968812389</v>
      </c>
      <c r="V38" s="15">
        <f ca="1">IF(B38&lt;=5, Q38*'Fund Allocation Strategy'!$C$2,
 IF(B38&lt;=10, Q38*'Fund Allocation Strategy'!$C$3,
 IF(B38&lt;=15, Q38*'Fund Allocation Strategy'!$C$4,
 IF(B38&lt;=20, Q38*'Fund Allocation Strategy'!$C$5,
 IF(B38&lt;=25, Q38*'Fund Allocation Strategy'!$C$6,
 IF(B38&lt;=30, Q38*'Fund Allocation Strategy'!$C$7,
 Q38*'Fund Allocation Strategy'!$C$8))))))</f>
        <v>12885.509818467986</v>
      </c>
      <c r="W38" s="16">
        <f ca="1">_xlfn.NORM.INV(RAND(),'Fund Allocation Strategy'!$B$12,'Fund Allocation Strategy'!$C$12)</f>
        <v>6.9376255340969487E-2</v>
      </c>
      <c r="X38" s="15">
        <f t="shared" ca="1" si="23"/>
        <v>11822.212219535373</v>
      </c>
      <c r="Y38" s="15">
        <f t="shared" ca="1" si="24"/>
        <v>188672.14983748898</v>
      </c>
      <c r="Z38" s="15">
        <f ca="1">IF(B38&lt;=5, Q38*'Fund Allocation Strategy'!$D$2,
 IF(B38&lt;=10, Q38*'Fund Allocation Strategy'!$D$3,
 IF(B38&lt;=15, Q38*'Fund Allocation Strategy'!$D$4,
 IF(B38&lt;=20, Q38*'Fund Allocation Strategy'!$D$5,
 IF(B38&lt;=25, Q38*'Fund Allocation Strategy'!$D$6,
 IF(B38&lt;=30, Q38*'Fund Allocation Strategy'!$D$7,
 Q38*'Fund Allocation Strategy'!$D$8))))))</f>
        <v>10737.924848723322</v>
      </c>
      <c r="AA38" s="16">
        <f ca="1">_xlfn.NORM.INV(RAND(),'Fund Allocation Strategy'!$B$13,'Fund Allocation Strategy'!$C$13)</f>
        <v>0.10060746298247487</v>
      </c>
      <c r="AB38" s="15">
        <f t="shared" ca="1" si="25"/>
        <v>43090.572088875677</v>
      </c>
      <c r="AC38" s="15">
        <f t="shared" ca="1" si="26"/>
        <v>476763.46755627368</v>
      </c>
      <c r="AD38" s="15">
        <f ca="1">IF(B38&lt;=5, Q38*'Fund Allocation Strategy'!$E$2,
 IF(B38&lt;=10, Q38*'Fund Allocation Strategy'!$E$3,
 IF(B38&lt;=15, Q38*'Fund Allocation Strategy'!$E$4,
 IF(B38&lt;=20, Q38*'Fund Allocation Strategy'!$E$5,
 IF(B38&lt;=25, Q38*'Fund Allocation Strategy'!$E$6,
 IF(B38&lt;=30, Q38*'Fund Allocation Strategy'!$E$7,
 Q38*'Fund Allocation Strategy'!$E$8))))))</f>
        <v>4295.1699394893285</v>
      </c>
      <c r="AE38" s="16">
        <f ca="1">_xlfn.NORM.INV(RAND(), 'Fund Allocation Strategy'!$B$14, 'Fund Allocation Strategy'!$C$14) + _xlfn.NORM.INV(RAND(), 'Fund Allocation Strategy'!$D$14,'Fund Allocation Strategy'!$E$14)</f>
        <v>0.17955686598062393</v>
      </c>
      <c r="AF38" s="15">
        <f t="shared" ca="1" si="15"/>
        <v>52128.369948266663</v>
      </c>
      <c r="AG38" s="15">
        <f ca="1">IF(B38&lt;=5, Q38*'Fund Allocation Strategy'!$F$2,
 IF(B38&lt;=10, Q38*'Fund Allocation Strategy'!$F$3,
 IF(B38&lt;=15, Q38*'Fund Allocation Strategy'!$F$4,
 IF(B38&lt;=20, Q38*'Fund Allocation Strategy'!$F$5,
 IF(B38&lt;=25, Q38*'Fund Allocation Strategy'!$F$6,
 IF(B38&lt;=30, Q38*'Fund Allocation Strategy'!$F$7,
 Q38*'Fund Allocation Strategy'!$F$8))))))</f>
        <v>2147.5849697446642</v>
      </c>
      <c r="AH38" s="16">
        <f ca="1">_xlfn.NORM.INV(RAND(),'Fund Allocation Strategy'!$B$15,'Fund Allocation Strategy'!$C$15)</f>
        <v>0.20113266933172633</v>
      </c>
      <c r="AI38" s="15">
        <f t="shared" ca="1" si="27"/>
        <v>258.34864721647381</v>
      </c>
      <c r="AJ38" s="15">
        <f t="shared" ca="1" si="16"/>
        <v>44358.634122793424</v>
      </c>
      <c r="AK38" s="15">
        <f t="shared" ca="1" si="6"/>
        <v>5168.8909226779942</v>
      </c>
      <c r="AL38" s="17">
        <f t="shared" ca="1" si="7"/>
        <v>1.4999999999999999E-2</v>
      </c>
      <c r="AM38" s="15">
        <f t="shared" ca="1" si="17"/>
        <v>344592.72817853297</v>
      </c>
      <c r="AN38" s="15">
        <f t="shared" ca="1" si="18"/>
        <v>339423.83725585497</v>
      </c>
      <c r="AO38" s="15" t="str">
        <f ca="1">IF(AV38 = 0, I38 * (
    'Lifestyle Strategy'!$B$2 +
    ('Lifestyle Strategy'!$C$2 - 'Lifestyle Strategy'!$B$2) *
    _xlfn.BETA.INV(RAND(), 'Lifestyle Strategy'!$F$2, 'Lifestyle Strategy'!$G$2)
),IF(AV38 = "", "",0))</f>
        <v/>
      </c>
      <c r="AP38" s="15">
        <f ca="1" xml:space="preserve"> I38 * (
    'Lifestyle Strategy'!$B$3 +
    ('Lifestyle Strategy'!$C$3 - 'Lifestyle Strategy'!$B$3) *
    _xlfn.BETA.INV(RAND(), 'Lifestyle Strategy'!$F$3, 'Lifestyle Strategy'!$G$3)
) * IF(MOD(B38,5)=0, 1 + 'Lifestyle Strategy'!$M$4, 1 + 0.025)</f>
        <v>28250.469523340969</v>
      </c>
      <c r="AQ38" s="15">
        <f ca="1" xml:space="preserve"> I38 * (
    'Lifestyle Strategy'!$B$4 +
    ('Lifestyle Strategy'!$C$4 - 'Lifestyle Strategy'!$B$4) *
    _xlfn.BETA.INV(RAND(), 'Lifestyle Strategy'!$F$4, 'Lifestyle Strategy'!$G$4)
) * IF(MOD(B38,5)=0, 1 + 'Lifestyle Strategy'!$M$4, 1 + 0.025)</f>
        <v>21614.531399746153</v>
      </c>
      <c r="AR38" s="15">
        <f ca="1" xml:space="preserve"> I38 * (
    'Lifestyle Strategy'!$B$5 +
    ('Lifestyle Strategy'!$C$5 - 'Lifestyle Strategy'!$B$5) *
    _xlfn.BETA.INV(RAND(), 'Lifestyle Strategy'!$F$5, 'Lifestyle Strategy'!$G$5)
) * IF(MOD(B38,5)=0, 1 + 'Lifestyle Strategy'!$M$4, 1 + 0.025)</f>
        <v>12443.96911994622</v>
      </c>
      <c r="AS38" s="15">
        <f ca="1" xml:space="preserve"> I38 * (
    'Lifestyle Strategy'!$B$6 +
    ('Lifestyle Strategy'!$C$6 - 'Lifestyle Strategy'!$B$6) *
    _xlfn.BETA.INV(RAND(), 'Lifestyle Strategy'!$F$6, 'Lifestyle Strategy'!$G$6)
) * IF(MOD(B38,5)=0, 1 + 'Lifestyle Strategy'!$M$4, 1 + 0.025)</f>
        <v>12988.660652070079</v>
      </c>
      <c r="AT38" s="15">
        <f ca="1" xml:space="preserve"> I38 * (
    'Lifestyle Strategy'!$B$7 +
    ('Lifestyle Strategy'!$C$7 - 'Lifestyle Strategy'!$B$7) *
    _xlfn.BETA.INV(RAND(), 'Lifestyle Strategy'!$F$7, 'Lifestyle Strategy'!$G$7)
) * IF(MOD(B38,5)=0, 1 + 'Lifestyle Strategy'!$M$4, 1 + 0.025)</f>
        <v>20741.631297579959</v>
      </c>
      <c r="AU38" s="15">
        <f ca="1" xml:space="preserve"> I38 * (
    'Lifestyle Strategy'!$B$8 +
    ('Lifestyle Strategy'!$C$8 - 'Lifestyle Strategy'!$B$8) *
    _xlfn.BETA.INV(RAND(), 'Lifestyle Strategy'!$F$8, 'Lifestyle Strategy'!$G$8)
) * IF(MOD(B38,5)=0, 1 + 'Lifestyle Strategy'!$M$4, 1 + 0.025)</f>
        <v>9825.0495624667055</v>
      </c>
      <c r="AV38" s="15" t="str">
        <f ca="1">IF('Lifestyle Strategy'!$B$14 = "Yes",
   IF(AND(B38&gt;='Lifestyle Strategy'!$B$15, B38&lt;'Lifestyle Strategy'!$B$16),
      'Lifestyle Strategy'!$B$25,
      IF(B38&gt;='Lifestyle Strategy'!$B$16, "",
         0)
   ),
   0
)</f>
        <v/>
      </c>
      <c r="AW38" s="15">
        <f ca="1">IF('Lifestyle Strategy'!$Q$4="No", 0,
   IF(AND(B38&gt;='Lifestyle Strategy'!$Q$5, B38&lt;'Lifestyle Strategy'!$Q$6),
      'Lifestyle Strategy'!$Q$8 * (1.025^(B38-'Lifestyle Strategy'!$Q$5)) * (1.12^INT((B38-'Lifestyle Strategy'!$Q$5)/5)),
      0
   )
)</f>
        <v>0</v>
      </c>
      <c r="AX38" s="15">
        <f t="shared" ca="1" si="8"/>
        <v>105864.31155515008</v>
      </c>
      <c r="AY38" s="15">
        <f ca="1">IF(B38='Lifestyle Strategy'!$Q$10, MIN(AN38, 'Lifestyle Strategy'!$Q$11), 0)</f>
        <v>0</v>
      </c>
      <c r="AZ38" s="15">
        <f ca="1">IF(B38='Lifestyle Strategy'!$Q$10, 'Lifestyle Strategy'!$Q$11, 0)</f>
        <v>0</v>
      </c>
      <c r="BA38" s="15">
        <f ca="1">IF(B38='Lifestyle Strategy'!$Q$10, MAX(AZ38 - AY38, 0), 0)</f>
        <v>0</v>
      </c>
      <c r="BB38" s="26">
        <f t="shared" ca="1" si="19"/>
        <v>1180669.9184605349</v>
      </c>
      <c r="BC38" s="18" t="str">
        <f t="shared" ca="1" si="20"/>
        <v>$1.18M</v>
      </c>
      <c r="BD38" s="27"/>
    </row>
    <row r="39" spans="1:80" x14ac:dyDescent="0.2">
      <c r="A39" s="8"/>
      <c r="B39" s="8">
        <v>26</v>
      </c>
      <c r="C39" s="8">
        <v>56</v>
      </c>
      <c r="D39" s="15">
        <f t="shared" ca="1" si="21"/>
        <v>345790.10911246168</v>
      </c>
      <c r="E39" s="15">
        <f t="shared" ca="1" si="28"/>
        <v>11671.73145199439</v>
      </c>
      <c r="F39" s="16">
        <f t="shared" ca="1" si="22"/>
        <v>3.4932922677648283E-2</v>
      </c>
      <c r="G39" s="15">
        <f ca="1">'Tax rate cal'!C36</f>
        <v>113412.58005386006</v>
      </c>
      <c r="H39" s="15">
        <f t="shared" ca="1" si="9"/>
        <v>5774.6948221781095</v>
      </c>
      <c r="I39" s="15">
        <f t="shared" ca="1" si="10"/>
        <v>226602.83423642351</v>
      </c>
      <c r="J39" s="16">
        <f t="shared" ca="1" si="11"/>
        <v>0.12</v>
      </c>
      <c r="K39" s="16">
        <v>0.03</v>
      </c>
      <c r="L39" s="17">
        <f ca="1">IF(O39 = 0,0,'Lifestyle Strategy'!$Q$9)</f>
        <v>0</v>
      </c>
      <c r="M39" s="15">
        <f t="shared" ca="1" si="3"/>
        <v>27192.34010837082</v>
      </c>
      <c r="N39" s="15">
        <f t="shared" ca="1" si="4"/>
        <v>6798.0850270927049</v>
      </c>
      <c r="O39" s="15">
        <f ca="1">IF(AND('Lifestyle Strategy'!$Q$2="Yes", B39 &gt;='Lifestyle Strategy'!$Q$3),
     I39 * 'Lifestyle Strategy'!$Q$9,
     0
)</f>
        <v>0</v>
      </c>
      <c r="P39" s="8">
        <f t="shared" si="5"/>
        <v>0</v>
      </c>
      <c r="Q39" s="15">
        <f t="shared" ca="1" si="12"/>
        <v>33990.425135463527</v>
      </c>
      <c r="R39" s="15">
        <f ca="1">IF(B39&lt;=5, Q39*'Fund Allocation Strategy'!$B$2,
 IF(B39&lt;=10, Q39*'Fund Allocation Strategy'!$B$3,
 IF(B39&lt;=15, Q39*'Fund Allocation Strategy'!$B$4,
 IF(B39&lt;=20, Q39*'Fund Allocation Strategy'!$B$5,
 IF(B39&lt;=25, Q39*'Fund Allocation Strategy'!$B$6,
 IF(B39&lt;=30, Q39*'Fund Allocation Strategy'!$B$7,
 Q39*'Fund Allocation Strategy'!$B$8))))))</f>
        <v>13596.170054185412</v>
      </c>
      <c r="S39" s="17">
        <f ca="1">_xlfn.NORM.INV(RAND(),'Fund Allocation Strategy'!$B$11,'Fund Allocation Strategy'!$C$11)</f>
        <v>3.7516344777477124E-2</v>
      </c>
      <c r="T39" s="15">
        <f t="shared" ca="1" si="13"/>
        <v>5186.6314659128739</v>
      </c>
      <c r="U39" s="15">
        <f t="shared" ca="1" si="14"/>
        <v>150234.63120822218</v>
      </c>
      <c r="V39" s="15">
        <f ca="1">IF(B39&lt;=5, Q39*'Fund Allocation Strategy'!$C$2,
 IF(B39&lt;=10, Q39*'Fund Allocation Strategy'!$C$3,
 IF(B39&lt;=15, Q39*'Fund Allocation Strategy'!$C$4,
 IF(B39&lt;=20, Q39*'Fund Allocation Strategy'!$C$5,
 IF(B39&lt;=25, Q39*'Fund Allocation Strategy'!$C$6,
 IF(B39&lt;=30, Q39*'Fund Allocation Strategy'!$C$7,
 Q39*'Fund Allocation Strategy'!$C$8))))))</f>
        <v>11896.648797412234</v>
      </c>
      <c r="W39" s="16">
        <f ca="1">_xlfn.NORM.INV(RAND(),'Fund Allocation Strategy'!$B$12,'Fund Allocation Strategy'!$C$12)</f>
        <v>6.8269306875679128E-2</v>
      </c>
      <c r="X39" s="15">
        <f t="shared" ca="1" si="23"/>
        <v>13286.604879921008</v>
      </c>
      <c r="Y39" s="15">
        <f t="shared" ca="1" si="24"/>
        <v>213855.40351482222</v>
      </c>
      <c r="Z39" s="15">
        <f ca="1">IF(B39&lt;=5, Q39*'Fund Allocation Strategy'!$D$2,
 IF(B39&lt;=10, Q39*'Fund Allocation Strategy'!$D$3,
 IF(B39&lt;=15, Q39*'Fund Allocation Strategy'!$D$4,
 IF(B39&lt;=20, Q39*'Fund Allocation Strategy'!$D$5,
 IF(B39&lt;=25, Q39*'Fund Allocation Strategy'!$D$6,
 IF(B39&lt;=30, Q39*'Fund Allocation Strategy'!$D$7,
 Q39*'Fund Allocation Strategy'!$D$8))))))</f>
        <v>6798.0850270927058</v>
      </c>
      <c r="AA39" s="16">
        <f ca="1">_xlfn.NORM.INV(RAND(),'Fund Allocation Strategy'!$B$13,'Fund Allocation Strategy'!$C$13)</f>
        <v>0.10173889476358917</v>
      </c>
      <c r="AB39" s="15">
        <f t="shared" ca="1" si="25"/>
        <v>48851.203081414249</v>
      </c>
      <c r="AC39" s="15">
        <f t="shared" ca="1" si="26"/>
        <v>532412.75566478062</v>
      </c>
      <c r="AD39" s="15">
        <f ca="1">IF(B39&lt;=5, Q39*'Fund Allocation Strategy'!$E$2,
 IF(B39&lt;=10, Q39*'Fund Allocation Strategy'!$E$3,
 IF(B39&lt;=15, Q39*'Fund Allocation Strategy'!$E$4,
 IF(B39&lt;=20, Q39*'Fund Allocation Strategy'!$E$5,
 IF(B39&lt;=25, Q39*'Fund Allocation Strategy'!$E$6,
 IF(B39&lt;=30, Q39*'Fund Allocation Strategy'!$E$7,
 Q39*'Fund Allocation Strategy'!$E$8))))))</f>
        <v>1699.5212567731764</v>
      </c>
      <c r="AE39" s="16">
        <f ca="1">_xlfn.NORM.INV(RAND(), 'Fund Allocation Strategy'!$B$14, 'Fund Allocation Strategy'!$C$14) + _xlfn.NORM.INV(RAND(), 'Fund Allocation Strategy'!$D$14,'Fund Allocation Strategy'!$E$14)</f>
        <v>0.12624018961067182</v>
      </c>
      <c r="AF39" s="15">
        <f t="shared" ca="1" si="15"/>
        <v>43608.725286567904</v>
      </c>
      <c r="AG39" s="15">
        <f ca="1">IF(B39&lt;=5, Q39*'Fund Allocation Strategy'!$F$2,
 IF(B39&lt;=10, Q39*'Fund Allocation Strategy'!$F$3,
 IF(B39&lt;=15, Q39*'Fund Allocation Strategy'!$F$4,
 IF(B39&lt;=20, Q39*'Fund Allocation Strategy'!$F$5,
 IF(B39&lt;=25, Q39*'Fund Allocation Strategy'!$F$6,
 IF(B39&lt;=30, Q39*'Fund Allocation Strategy'!$F$7,
 Q39*'Fund Allocation Strategy'!$F$8))))))</f>
        <v>0</v>
      </c>
      <c r="AH39" s="16">
        <f ca="1">_xlfn.NORM.INV(RAND(),'Fund Allocation Strategy'!$B$15,'Fund Allocation Strategy'!$C$15)</f>
        <v>0.21250431924746763</v>
      </c>
      <c r="AI39" s="15">
        <f t="shared" ca="1" si="27"/>
        <v>54.900203405240937</v>
      </c>
      <c r="AJ39" s="15">
        <f t="shared" ca="1" si="16"/>
        <v>44413.534326198664</v>
      </c>
      <c r="AK39" s="15">
        <f t="shared" ca="1" si="6"/>
        <v>5848.5146208281094</v>
      </c>
      <c r="AL39" s="17">
        <f t="shared" ca="1" si="7"/>
        <v>1.4999999999999999E-2</v>
      </c>
      <c r="AM39" s="15">
        <f t="shared" ca="1" si="17"/>
        <v>389900.97472187399</v>
      </c>
      <c r="AN39" s="15">
        <f t="shared" ca="1" si="18"/>
        <v>384052.4601010459</v>
      </c>
      <c r="AO39" s="15" t="str">
        <f ca="1">IF(AV39 = 0, I39 * (
    'Lifestyle Strategy'!$B$2 +
    ('Lifestyle Strategy'!$C$2 - 'Lifestyle Strategy'!$B$2) *
    _xlfn.BETA.INV(RAND(), 'Lifestyle Strategy'!$F$2, 'Lifestyle Strategy'!$G$2)
),IF(AV39 = "", "",0))</f>
        <v/>
      </c>
      <c r="AP39" s="15">
        <f ca="1" xml:space="preserve"> I39 * (
    'Lifestyle Strategy'!$B$3 +
    ('Lifestyle Strategy'!$C$3 - 'Lifestyle Strategy'!$B$3) *
    _xlfn.BETA.INV(RAND(), 'Lifestyle Strategy'!$F$3, 'Lifestyle Strategy'!$G$3)
) * IF(MOD(B39,5)=0, 1 + 'Lifestyle Strategy'!$M$4, 1 + 0.025)</f>
        <v>26833.204981339466</v>
      </c>
      <c r="AQ39" s="15">
        <f ca="1" xml:space="preserve"> I39 * (
    'Lifestyle Strategy'!$B$4 +
    ('Lifestyle Strategy'!$C$4 - 'Lifestyle Strategy'!$B$4) *
    _xlfn.BETA.INV(RAND(), 'Lifestyle Strategy'!$F$4, 'Lifestyle Strategy'!$G$4)
) * IF(MOD(B39,5)=0, 1 + 'Lifestyle Strategy'!$M$4, 1 + 0.025)</f>
        <v>15954.72674737239</v>
      </c>
      <c r="AR39" s="15">
        <f ca="1" xml:space="preserve"> I39 * (
    'Lifestyle Strategy'!$B$5 +
    ('Lifestyle Strategy'!$C$5 - 'Lifestyle Strategy'!$B$5) *
    _xlfn.BETA.INV(RAND(), 'Lifestyle Strategy'!$F$5, 'Lifestyle Strategy'!$G$5)
) * IF(MOD(B39,5)=0, 1 + 'Lifestyle Strategy'!$M$4, 1 + 0.025)</f>
        <v>11666.730389121256</v>
      </c>
      <c r="AS39" s="15">
        <f ca="1" xml:space="preserve"> I39 * (
    'Lifestyle Strategy'!$B$6 +
    ('Lifestyle Strategy'!$C$6 - 'Lifestyle Strategy'!$B$6) *
    _xlfn.BETA.INV(RAND(), 'Lifestyle Strategy'!$F$6, 'Lifestyle Strategy'!$G$6)
) * IF(MOD(B39,5)=0, 1 + 'Lifestyle Strategy'!$M$4, 1 + 0.025)</f>
        <v>12159.333838978791</v>
      </c>
      <c r="AT39" s="15">
        <f ca="1" xml:space="preserve"> I39 * (
    'Lifestyle Strategy'!$B$7 +
    ('Lifestyle Strategy'!$C$7 - 'Lifestyle Strategy'!$B$7) *
    _xlfn.BETA.INV(RAND(), 'Lifestyle Strategy'!$F$7, 'Lifestyle Strategy'!$G$7)
) * IF(MOD(B39,5)=0, 1 + 'Lifestyle Strategy'!$M$4, 1 + 0.025)</f>
        <v>25492.348159092129</v>
      </c>
      <c r="AU39" s="15">
        <f ca="1" xml:space="preserve"> I39 * (
    'Lifestyle Strategy'!$B$8 +
    ('Lifestyle Strategy'!$C$8 - 'Lifestyle Strategy'!$B$8) *
    _xlfn.BETA.INV(RAND(), 'Lifestyle Strategy'!$F$8, 'Lifestyle Strategy'!$G$8)
) * IF(MOD(B39,5)=0, 1 + 'Lifestyle Strategy'!$M$4, 1 + 0.025)</f>
        <v>7219.0918671865838</v>
      </c>
      <c r="AV39" s="15" t="str">
        <f ca="1">IF('Lifestyle Strategy'!$B$14 = "Yes",
   IF(AND(B39&gt;='Lifestyle Strategy'!$B$15, B39&lt;'Lifestyle Strategy'!$B$16),
      'Lifestyle Strategy'!$B$25,
      IF(B39&gt;='Lifestyle Strategy'!$B$16, "",
         0)
   ),
   0
)</f>
        <v/>
      </c>
      <c r="AW39" s="15">
        <f ca="1">IF('Lifestyle Strategy'!$Q$4="No", 0,
   IF(AND(B39&gt;='Lifestyle Strategy'!$Q$5, B39&lt;'Lifestyle Strategy'!$Q$6),
      'Lifestyle Strategy'!$Q$8 * (1.025^(B39-'Lifestyle Strategy'!$Q$5)) * (1.12^INT((B39-'Lifestyle Strategy'!$Q$5)/5)),
      0
   )
)</f>
        <v>0</v>
      </c>
      <c r="AX39" s="15">
        <f t="shared" ca="1" si="8"/>
        <v>99325.435983090618</v>
      </c>
      <c r="AY39" s="15">
        <f ca="1">IF(B39='Lifestyle Strategy'!$Q$10, MIN(AN39, 'Lifestyle Strategy'!$Q$11), 0)</f>
        <v>0</v>
      </c>
      <c r="AZ39" s="15">
        <f ca="1">IF(B39='Lifestyle Strategy'!$Q$10, 'Lifestyle Strategy'!$Q$11, 0)</f>
        <v>0</v>
      </c>
      <c r="BA39" s="15">
        <f ca="1">IF(B39='Lifestyle Strategy'!$Q$10, MAX(AZ39 - AY39, 0), 0)</f>
        <v>0</v>
      </c>
      <c r="BB39" s="26">
        <f t="shared" ca="1" si="19"/>
        <v>1324968.7848150695</v>
      </c>
      <c r="BC39" s="18" t="str">
        <f t="shared" ca="1" si="20"/>
        <v>$1.32M</v>
      </c>
      <c r="BD39" s="27"/>
      <c r="BT39" t="s">
        <v>241</v>
      </c>
      <c r="BU39" s="2">
        <f ca="1">SUM(BU40:BU41)</f>
        <v>7377774.6149187153</v>
      </c>
    </row>
    <row r="40" spans="1:80" x14ac:dyDescent="0.2">
      <c r="A40" s="8"/>
      <c r="B40" s="8">
        <v>27</v>
      </c>
      <c r="C40" s="8">
        <v>57</v>
      </c>
      <c r="D40" s="15">
        <f t="shared" ca="1" si="21"/>
        <v>356329.72437334427</v>
      </c>
      <c r="E40" s="15">
        <f t="shared" ca="1" si="28"/>
        <v>10539.615260882594</v>
      </c>
      <c r="F40" s="16">
        <f t="shared" ca="1" si="22"/>
        <v>3.0479805474871995E-2</v>
      </c>
      <c r="G40" s="15">
        <f ca="1">'Tax rate cal'!C37</f>
        <v>117523.03000560426</v>
      </c>
      <c r="H40" s="15">
        <f t="shared" ca="1" si="9"/>
        <v>5950.706397034849</v>
      </c>
      <c r="I40" s="15">
        <f t="shared" ca="1" si="10"/>
        <v>232855.98797070517</v>
      </c>
      <c r="J40" s="16">
        <f t="shared" ca="1" si="11"/>
        <v>0.12</v>
      </c>
      <c r="K40" s="16">
        <v>0.03</v>
      </c>
      <c r="L40" s="17">
        <f ca="1">IF(O40 = 0,0,'Lifestyle Strategy'!$Q$9)</f>
        <v>0</v>
      </c>
      <c r="M40" s="15">
        <f t="shared" ca="1" si="3"/>
        <v>27942.718556484619</v>
      </c>
      <c r="N40" s="15">
        <f t="shared" ca="1" si="4"/>
        <v>6985.6796391211547</v>
      </c>
      <c r="O40" s="15">
        <f ca="1">IF(AND('Lifestyle Strategy'!$Q$2="Yes", B40 &gt;='Lifestyle Strategy'!$Q$3),
     I40 * 'Lifestyle Strategy'!$Q$9,
     0
)</f>
        <v>0</v>
      </c>
      <c r="P40" s="8">
        <f t="shared" si="5"/>
        <v>0</v>
      </c>
      <c r="Q40" s="15">
        <f t="shared" ca="1" si="12"/>
        <v>34928.398195605776</v>
      </c>
      <c r="R40" s="15">
        <f ca="1">IF(B40&lt;=5, Q40*'Fund Allocation Strategy'!$B$2,
 IF(B40&lt;=10, Q40*'Fund Allocation Strategy'!$B$3,
 IF(B40&lt;=15, Q40*'Fund Allocation Strategy'!$B$4,
 IF(B40&lt;=20, Q40*'Fund Allocation Strategy'!$B$5,
 IF(B40&lt;=25, Q40*'Fund Allocation Strategy'!$B$6,
 IF(B40&lt;=30, Q40*'Fund Allocation Strategy'!$B$7,
 Q40*'Fund Allocation Strategy'!$B$8))))))</f>
        <v>13971.359278242311</v>
      </c>
      <c r="S40" s="17">
        <f ca="1">_xlfn.NORM.INV(RAND(),'Fund Allocation Strategy'!$B$11,'Fund Allocation Strategy'!$C$11)</f>
        <v>3.6300092719760126E-2</v>
      </c>
      <c r="T40" s="15">
        <f t="shared" ca="1" si="13"/>
        <v>5707.111861188072</v>
      </c>
      <c r="U40" s="15">
        <f t="shared" ca="1" si="14"/>
        <v>169913.10234765257</v>
      </c>
      <c r="V40" s="15">
        <f ca="1">IF(B40&lt;=5, Q40*'Fund Allocation Strategy'!$C$2,
 IF(B40&lt;=10, Q40*'Fund Allocation Strategy'!$C$3,
 IF(B40&lt;=15, Q40*'Fund Allocation Strategy'!$C$4,
 IF(B40&lt;=20, Q40*'Fund Allocation Strategy'!$C$5,
 IF(B40&lt;=25, Q40*'Fund Allocation Strategy'!$C$6,
 IF(B40&lt;=30, Q40*'Fund Allocation Strategy'!$C$7,
 Q40*'Fund Allocation Strategy'!$C$8))))))</f>
        <v>12224.939368462021</v>
      </c>
      <c r="W40" s="16">
        <f ca="1">_xlfn.NORM.INV(RAND(),'Fund Allocation Strategy'!$B$12,'Fund Allocation Strategy'!$C$12)</f>
        <v>7.0472627344783156E-2</v>
      </c>
      <c r="X40" s="15">
        <f t="shared" ca="1" si="23"/>
        <v>15501.713955781392</v>
      </c>
      <c r="Y40" s="15">
        <f t="shared" ca="1" si="24"/>
        <v>241582.05683906563</v>
      </c>
      <c r="Z40" s="15">
        <f ca="1">IF(B40&lt;=5, Q40*'Fund Allocation Strategy'!$D$2,
 IF(B40&lt;=10, Q40*'Fund Allocation Strategy'!$D$3,
 IF(B40&lt;=15, Q40*'Fund Allocation Strategy'!$D$4,
 IF(B40&lt;=20, Q40*'Fund Allocation Strategy'!$D$5,
 IF(B40&lt;=25, Q40*'Fund Allocation Strategy'!$D$6,
 IF(B40&lt;=30, Q40*'Fund Allocation Strategy'!$D$7,
 Q40*'Fund Allocation Strategy'!$D$8))))))</f>
        <v>6985.6796391211556</v>
      </c>
      <c r="AA40" s="16">
        <f ca="1">_xlfn.NORM.INV(RAND(),'Fund Allocation Strategy'!$B$13,'Fund Allocation Strategy'!$C$13)</f>
        <v>9.999813664726806E-2</v>
      </c>
      <c r="AB40" s="15">
        <f t="shared" ca="1" si="25"/>
        <v>53589.56096727871</v>
      </c>
      <c r="AC40" s="15">
        <f t="shared" ca="1" si="26"/>
        <v>592987.99627118045</v>
      </c>
      <c r="AD40" s="15">
        <f ca="1">IF(B40&lt;=5, Q40*'Fund Allocation Strategy'!$E$2,
 IF(B40&lt;=10, Q40*'Fund Allocation Strategy'!$E$3,
 IF(B40&lt;=15, Q40*'Fund Allocation Strategy'!$E$4,
 IF(B40&lt;=20, Q40*'Fund Allocation Strategy'!$E$5,
 IF(B40&lt;=25, Q40*'Fund Allocation Strategy'!$E$6,
 IF(B40&lt;=30, Q40*'Fund Allocation Strategy'!$E$7,
 Q40*'Fund Allocation Strategy'!$E$8))))))</f>
        <v>1746.4199097802889</v>
      </c>
      <c r="AE40" s="16">
        <f ca="1">_xlfn.NORM.INV(RAND(), 'Fund Allocation Strategy'!$B$14, 'Fund Allocation Strategy'!$C$14) + _xlfn.NORM.INV(RAND(), 'Fund Allocation Strategy'!$D$14,'Fund Allocation Strategy'!$E$14)</f>
        <v>0.12778838484556834</v>
      </c>
      <c r="AF40" s="15">
        <f t="shared" ca="1" si="15"/>
        <v>49936.401899187527</v>
      </c>
      <c r="AG40" s="15">
        <f ca="1">IF(B40&lt;=5, Q40*'Fund Allocation Strategy'!$F$2,
 IF(B40&lt;=10, Q40*'Fund Allocation Strategy'!$F$3,
 IF(B40&lt;=15, Q40*'Fund Allocation Strategy'!$F$4,
 IF(B40&lt;=20, Q40*'Fund Allocation Strategy'!$F$5,
 IF(B40&lt;=25, Q40*'Fund Allocation Strategy'!$F$6,
 IF(B40&lt;=30, Q40*'Fund Allocation Strategy'!$F$7,
 Q40*'Fund Allocation Strategy'!$F$8))))))</f>
        <v>0</v>
      </c>
      <c r="AH40" s="16">
        <f ca="1">_xlfn.NORM.INV(RAND(),'Fund Allocation Strategy'!$B$15,'Fund Allocation Strategy'!$C$15)</f>
        <v>0.20886264851977096</v>
      </c>
      <c r="AI40" s="15">
        <f t="shared" ca="1" si="27"/>
        <v>11.466601887492772</v>
      </c>
      <c r="AJ40" s="15">
        <f t="shared" ca="1" si="16"/>
        <v>44425.000928086156</v>
      </c>
      <c r="AK40" s="15">
        <f t="shared" ca="1" si="6"/>
        <v>6623.7569479626263</v>
      </c>
      <c r="AL40" s="17">
        <f t="shared" ca="1" si="7"/>
        <v>1.4999999999999999E-2</v>
      </c>
      <c r="AM40" s="15">
        <f t="shared" ca="1" si="17"/>
        <v>441583.79653084179</v>
      </c>
      <c r="AN40" s="15">
        <f t="shared" ca="1" si="18"/>
        <v>434960.03958287917</v>
      </c>
      <c r="AO40" s="15" t="str">
        <f ca="1">IF(AV40 = 0, I40 * (
    'Lifestyle Strategy'!$B$2 +
    ('Lifestyle Strategy'!$C$2 - 'Lifestyle Strategy'!$B$2) *
    _xlfn.BETA.INV(RAND(), 'Lifestyle Strategy'!$F$2, 'Lifestyle Strategy'!$G$2)
),IF(AV40 = "", "",0))</f>
        <v/>
      </c>
      <c r="AP40" s="15">
        <f ca="1" xml:space="preserve"> I40 * (
    'Lifestyle Strategy'!$B$3 +
    ('Lifestyle Strategy'!$C$3 - 'Lifestyle Strategy'!$B$3) *
    _xlfn.BETA.INV(RAND(), 'Lifestyle Strategy'!$F$3, 'Lifestyle Strategy'!$G$3)
) * IF(MOD(B40,5)=0, 1 + 'Lifestyle Strategy'!$M$4, 1 + 0.025)</f>
        <v>33673.102681674209</v>
      </c>
      <c r="AQ40" s="15">
        <f ca="1" xml:space="preserve"> I40 * (
    'Lifestyle Strategy'!$B$4 +
    ('Lifestyle Strategy'!$C$4 - 'Lifestyle Strategy'!$B$4) *
    _xlfn.BETA.INV(RAND(), 'Lifestyle Strategy'!$F$4, 'Lifestyle Strategy'!$G$4)
) * IF(MOD(B40,5)=0, 1 + 'Lifestyle Strategy'!$M$4, 1 + 0.025)</f>
        <v>23262.102018678175</v>
      </c>
      <c r="AR40" s="15">
        <f ca="1" xml:space="preserve"> I40 * (
    'Lifestyle Strategy'!$B$5 +
    ('Lifestyle Strategy'!$C$5 - 'Lifestyle Strategy'!$B$5) *
    _xlfn.BETA.INV(RAND(), 'Lifestyle Strategy'!$F$5, 'Lifestyle Strategy'!$G$5)
) * IF(MOD(B40,5)=0, 1 + 'Lifestyle Strategy'!$M$4, 1 + 0.025)</f>
        <v>10745.67119652061</v>
      </c>
      <c r="AS40" s="15">
        <f ca="1" xml:space="preserve"> I40 * (
    'Lifestyle Strategy'!$B$6 +
    ('Lifestyle Strategy'!$C$6 - 'Lifestyle Strategy'!$B$6) *
    _xlfn.BETA.INV(RAND(), 'Lifestyle Strategy'!$F$6, 'Lifestyle Strategy'!$G$6)
) * IF(MOD(B40,5)=0, 1 + 'Lifestyle Strategy'!$M$4, 1 + 0.025)</f>
        <v>12439.805132626538</v>
      </c>
      <c r="AT40" s="15">
        <f ca="1" xml:space="preserve"> I40 * (
    'Lifestyle Strategy'!$B$7 +
    ('Lifestyle Strategy'!$C$7 - 'Lifestyle Strategy'!$B$7) *
    _xlfn.BETA.INV(RAND(), 'Lifestyle Strategy'!$F$7, 'Lifestyle Strategy'!$G$7)
) * IF(MOD(B40,5)=0, 1 + 'Lifestyle Strategy'!$M$4, 1 + 0.025)</f>
        <v>26765.286847798336</v>
      </c>
      <c r="AU40" s="15">
        <f ca="1" xml:space="preserve"> I40 * (
    'Lifestyle Strategy'!$B$8 +
    ('Lifestyle Strategy'!$C$8 - 'Lifestyle Strategy'!$B$8) *
    _xlfn.BETA.INV(RAND(), 'Lifestyle Strategy'!$F$8, 'Lifestyle Strategy'!$G$8)
) * IF(MOD(B40,5)=0, 1 + 'Lifestyle Strategy'!$M$4, 1 + 0.025)</f>
        <v>9264.8419155539395</v>
      </c>
      <c r="AV40" s="15" t="str">
        <f ca="1">IF('Lifestyle Strategy'!$B$14 = "Yes",
   IF(AND(B40&gt;='Lifestyle Strategy'!$B$15, B40&lt;'Lifestyle Strategy'!$B$16),
      'Lifestyle Strategy'!$B$25,
      IF(B40&gt;='Lifestyle Strategy'!$B$16, "",
         0)
   ),
   0
)</f>
        <v/>
      </c>
      <c r="AW40" s="15">
        <f ca="1">IF('Lifestyle Strategy'!$Q$4="No", 0,
   IF(AND(B40&gt;='Lifestyle Strategy'!$Q$5, B40&lt;'Lifestyle Strategy'!$Q$6),
      'Lifestyle Strategy'!$Q$8 * (1.025^(B40-'Lifestyle Strategy'!$Q$5)) * (1.12^INT((B40-'Lifestyle Strategy'!$Q$5)/5)),
      0
   )
)</f>
        <v>0</v>
      </c>
      <c r="AX40" s="15">
        <f t="shared" ca="1" si="8"/>
        <v>116150.80979285181</v>
      </c>
      <c r="AY40" s="15">
        <f ca="1">IF(B40='Lifestyle Strategy'!$Q$10, MIN(AN40, 'Lifestyle Strategy'!$Q$11), 0)</f>
        <v>0</v>
      </c>
      <c r="AZ40" s="15">
        <f ca="1">IF(B40='Lifestyle Strategy'!$Q$10, 'Lifestyle Strategy'!$Q$11, 0)</f>
        <v>0</v>
      </c>
      <c r="BA40" s="15">
        <f ca="1">IF(B40='Lifestyle Strategy'!$Q$10, MAX(AZ40 - AY40, 0), 0)</f>
        <v>0</v>
      </c>
      <c r="BB40" s="26">
        <f t="shared" ca="1" si="19"/>
        <v>1483868.195968864</v>
      </c>
      <c r="BC40" s="18" t="str">
        <f t="shared" ca="1" si="20"/>
        <v>$1.48M</v>
      </c>
      <c r="BD40" s="27"/>
      <c r="BT40" t="s">
        <v>230</v>
      </c>
      <c r="BU40" s="2">
        <f ca="1">BB48</f>
        <v>4804031.4031652864</v>
      </c>
    </row>
    <row r="41" spans="1:80" x14ac:dyDescent="0.2">
      <c r="A41" s="8"/>
      <c r="B41" s="8">
        <v>28</v>
      </c>
      <c r="C41" s="8">
        <v>58</v>
      </c>
      <c r="D41" s="15">
        <f t="shared" ca="1" si="21"/>
        <v>362943.06817980856</v>
      </c>
      <c r="E41" s="15">
        <f t="shared" ca="1" si="28"/>
        <v>6613.3438064642833</v>
      </c>
      <c r="F41" s="16">
        <f t="shared" ca="1" si="22"/>
        <v>1.8559618673673027E-2</v>
      </c>
      <c r="G41" s="15">
        <f ca="1">'Tax rate cal'!C38</f>
        <v>120102.23409012533</v>
      </c>
      <c r="H41" s="15">
        <f t="shared" ca="1" si="9"/>
        <v>6061.1492386028031</v>
      </c>
      <c r="I41" s="15">
        <f t="shared" ca="1" si="10"/>
        <v>236779.68485108041</v>
      </c>
      <c r="J41" s="16">
        <f t="shared" ca="1" si="11"/>
        <v>0.12</v>
      </c>
      <c r="K41" s="16">
        <v>0.03</v>
      </c>
      <c r="L41" s="17">
        <f ca="1">IF(O41 = 0,0,'Lifestyle Strategy'!$Q$9)</f>
        <v>0</v>
      </c>
      <c r="M41" s="15">
        <f t="shared" ca="1" si="3"/>
        <v>28413.562182129648</v>
      </c>
      <c r="N41" s="15">
        <f t="shared" ca="1" si="4"/>
        <v>7103.390545532412</v>
      </c>
      <c r="O41" s="15">
        <f ca="1">IF(AND('Lifestyle Strategy'!$Q$2="Yes", B41 &gt;='Lifestyle Strategy'!$Q$3),
     I41 * 'Lifestyle Strategy'!$Q$9,
     0
)</f>
        <v>0</v>
      </c>
      <c r="P41" s="8">
        <f t="shared" si="5"/>
        <v>0</v>
      </c>
      <c r="Q41" s="15">
        <f t="shared" ca="1" si="12"/>
        <v>35516.952727662057</v>
      </c>
      <c r="R41" s="15">
        <f ca="1">IF(B41&lt;=5, Q41*'Fund Allocation Strategy'!$B$2,
 IF(B41&lt;=10, Q41*'Fund Allocation Strategy'!$B$3,
 IF(B41&lt;=15, Q41*'Fund Allocation Strategy'!$B$4,
 IF(B41&lt;=20, Q41*'Fund Allocation Strategy'!$B$5,
 IF(B41&lt;=25, Q41*'Fund Allocation Strategy'!$B$6,
 IF(B41&lt;=30, Q41*'Fund Allocation Strategy'!$B$7,
 Q41*'Fund Allocation Strategy'!$B$8))))))</f>
        <v>14206.781091064824</v>
      </c>
      <c r="S41" s="17">
        <f ca="1">_xlfn.NORM.INV(RAND(),'Fund Allocation Strategy'!$B$11,'Fund Allocation Strategy'!$C$11)</f>
        <v>3.6885170045838349E-2</v>
      </c>
      <c r="T41" s="15">
        <f t="shared" ca="1" si="13"/>
        <v>6529.2834412830634</v>
      </c>
      <c r="U41" s="15">
        <f t="shared" ca="1" si="14"/>
        <v>190649.16688000047</v>
      </c>
      <c r="V41" s="15">
        <f ca="1">IF(B41&lt;=5, Q41*'Fund Allocation Strategy'!$C$2,
 IF(B41&lt;=10, Q41*'Fund Allocation Strategy'!$C$3,
 IF(B41&lt;=15, Q41*'Fund Allocation Strategy'!$C$4,
 IF(B41&lt;=20, Q41*'Fund Allocation Strategy'!$C$5,
 IF(B41&lt;=25, Q41*'Fund Allocation Strategy'!$C$6,
 IF(B41&lt;=30, Q41*'Fund Allocation Strategy'!$C$7,
 Q41*'Fund Allocation Strategy'!$C$8))))))</f>
        <v>12430.933454681719</v>
      </c>
      <c r="W41" s="16">
        <f ca="1">_xlfn.NORM.INV(RAND(),'Fund Allocation Strategy'!$B$12,'Fund Allocation Strategy'!$C$12)</f>
        <v>6.8644118117941216E-2</v>
      </c>
      <c r="X41" s="15">
        <f t="shared" ca="1" si="23"/>
        <v>17009.842477025726</v>
      </c>
      <c r="Y41" s="15">
        <f t="shared" ca="1" si="24"/>
        <v>271022.83277077309</v>
      </c>
      <c r="Z41" s="15">
        <f ca="1">IF(B41&lt;=5, Q41*'Fund Allocation Strategy'!$D$2,
 IF(B41&lt;=10, Q41*'Fund Allocation Strategy'!$D$3,
 IF(B41&lt;=15, Q41*'Fund Allocation Strategy'!$D$4,
 IF(B41&lt;=20, Q41*'Fund Allocation Strategy'!$D$5,
 IF(B41&lt;=25, Q41*'Fund Allocation Strategy'!$D$6,
 IF(B41&lt;=30, Q41*'Fund Allocation Strategy'!$D$7,
 Q41*'Fund Allocation Strategy'!$D$8))))))</f>
        <v>7103.390545532412</v>
      </c>
      <c r="AA41" s="16">
        <f ca="1">_xlfn.NORM.INV(RAND(),'Fund Allocation Strategy'!$B$13,'Fund Allocation Strategy'!$C$13)</f>
        <v>0.10414640179658377</v>
      </c>
      <c r="AB41" s="15">
        <f t="shared" ca="1" si="25"/>
        <v>62127.462403146012</v>
      </c>
      <c r="AC41" s="15">
        <f t="shared" ca="1" si="26"/>
        <v>662218.84921985888</v>
      </c>
      <c r="AD41" s="15">
        <f ca="1">IF(B41&lt;=5, Q41*'Fund Allocation Strategy'!$E$2,
 IF(B41&lt;=10, Q41*'Fund Allocation Strategy'!$E$3,
 IF(B41&lt;=15, Q41*'Fund Allocation Strategy'!$E$4,
 IF(B41&lt;=20, Q41*'Fund Allocation Strategy'!$E$5,
 IF(B41&lt;=25, Q41*'Fund Allocation Strategy'!$E$6,
 IF(B41&lt;=30, Q41*'Fund Allocation Strategy'!$E$7,
 Q41*'Fund Allocation Strategy'!$E$8))))))</f>
        <v>1775.847636383103</v>
      </c>
      <c r="AE41" s="16">
        <f ca="1">_xlfn.NORM.INV(RAND(), 'Fund Allocation Strategy'!$B$14, 'Fund Allocation Strategy'!$C$14) + _xlfn.NORM.INV(RAND(), 'Fund Allocation Strategy'!$D$14,'Fund Allocation Strategy'!$E$14)</f>
        <v>0.10484307462962753</v>
      </c>
      <c r="AF41" s="15">
        <f t="shared" ca="1" si="15"/>
        <v>46390.095598053384</v>
      </c>
      <c r="AG41" s="15">
        <f ca="1">IF(B41&lt;=5, Q41*'Fund Allocation Strategy'!$F$2,
 IF(B41&lt;=10, Q41*'Fund Allocation Strategy'!$F$3,
 IF(B41&lt;=15, Q41*'Fund Allocation Strategy'!$F$4,
 IF(B41&lt;=20, Q41*'Fund Allocation Strategy'!$F$5,
 IF(B41&lt;=25, Q41*'Fund Allocation Strategy'!$F$6,
 IF(B41&lt;=30, Q41*'Fund Allocation Strategy'!$F$7,
 Q41*'Fund Allocation Strategy'!$F$8))))))</f>
        <v>0</v>
      </c>
      <c r="AH41" s="16">
        <f ca="1">_xlfn.NORM.INV(RAND(),'Fund Allocation Strategy'!$B$15,'Fund Allocation Strategy'!$C$15)</f>
        <v>0.20537215476430976</v>
      </c>
      <c r="AI41" s="15">
        <f t="shared" ca="1" si="27"/>
        <v>2.3549207374588916</v>
      </c>
      <c r="AJ41" s="15">
        <f t="shared" ca="1" si="16"/>
        <v>44427.355848823616</v>
      </c>
      <c r="AK41" s="15">
        <f t="shared" ca="1" si="6"/>
        <v>7346.2460964791735</v>
      </c>
      <c r="AL41" s="17">
        <f t="shared" ca="1" si="7"/>
        <v>1.4999999999999999E-2</v>
      </c>
      <c r="AM41" s="15">
        <f t="shared" ca="1" si="17"/>
        <v>489749.73976527824</v>
      </c>
      <c r="AN41" s="15">
        <f t="shared" ca="1" si="18"/>
        <v>482403.49366879906</v>
      </c>
      <c r="AO41" s="15" t="str">
        <f ca="1">IF(AV41 = 0, I41 * (
    'Lifestyle Strategy'!$B$2 +
    ('Lifestyle Strategy'!$C$2 - 'Lifestyle Strategy'!$B$2) *
    _xlfn.BETA.INV(RAND(), 'Lifestyle Strategy'!$F$2, 'Lifestyle Strategy'!$G$2)
),IF(AV41 = "", "",0))</f>
        <v/>
      </c>
      <c r="AP41" s="15">
        <f ca="1" xml:space="preserve"> I41 * (
    'Lifestyle Strategy'!$B$3 +
    ('Lifestyle Strategy'!$C$3 - 'Lifestyle Strategy'!$B$3) *
    _xlfn.BETA.INV(RAND(), 'Lifestyle Strategy'!$F$3, 'Lifestyle Strategy'!$G$3)
) * IF(MOD(B41,5)=0, 1 + 'Lifestyle Strategy'!$M$4, 1 + 0.025)</f>
        <v>27587.080161815651</v>
      </c>
      <c r="AQ41" s="15">
        <f ca="1" xml:space="preserve"> I41 * (
    'Lifestyle Strategy'!$B$4 +
    ('Lifestyle Strategy'!$C$4 - 'Lifestyle Strategy'!$B$4) *
    _xlfn.BETA.INV(RAND(), 'Lifestyle Strategy'!$F$4, 'Lifestyle Strategy'!$G$4)
) * IF(MOD(B41,5)=0, 1 + 'Lifestyle Strategy'!$M$4, 1 + 0.025)</f>
        <v>22480.973943074187</v>
      </c>
      <c r="AR41" s="15">
        <f ca="1" xml:space="preserve"> I41 * (
    'Lifestyle Strategy'!$B$5 +
    ('Lifestyle Strategy'!$C$5 - 'Lifestyle Strategy'!$B$5) *
    _xlfn.BETA.INV(RAND(), 'Lifestyle Strategy'!$F$5, 'Lifestyle Strategy'!$G$5)
) * IF(MOD(B41,5)=0, 1 + 'Lifestyle Strategy'!$M$4, 1 + 0.025)</f>
        <v>11213.132877431528</v>
      </c>
      <c r="AS41" s="15">
        <f ca="1" xml:space="preserve"> I41 * (
    'Lifestyle Strategy'!$B$6 +
    ('Lifestyle Strategy'!$C$6 - 'Lifestyle Strategy'!$B$6) *
    _xlfn.BETA.INV(RAND(), 'Lifestyle Strategy'!$F$6, 'Lifestyle Strategy'!$G$6)
) * IF(MOD(B41,5)=0, 1 + 'Lifestyle Strategy'!$M$4, 1 + 0.025)</f>
        <v>11006.468279333818</v>
      </c>
      <c r="AT41" s="15">
        <f ca="1" xml:space="preserve"> I41 * (
    'Lifestyle Strategy'!$B$7 +
    ('Lifestyle Strategy'!$C$7 - 'Lifestyle Strategy'!$B$7) *
    _xlfn.BETA.INV(RAND(), 'Lifestyle Strategy'!$F$7, 'Lifestyle Strategy'!$G$7)
) * IF(MOD(B41,5)=0, 1 + 'Lifestyle Strategy'!$M$4, 1 + 0.025)</f>
        <v>26017.167208536837</v>
      </c>
      <c r="AU41" s="15">
        <f ca="1" xml:space="preserve"> I41 * (
    'Lifestyle Strategy'!$B$8 +
    ('Lifestyle Strategy'!$C$8 - 'Lifestyle Strategy'!$B$8) *
    _xlfn.BETA.INV(RAND(), 'Lifestyle Strategy'!$F$8, 'Lifestyle Strategy'!$G$8)
) * IF(MOD(B41,5)=0, 1 + 'Lifestyle Strategy'!$M$4, 1 + 0.025)</f>
        <v>9158.4463909350216</v>
      </c>
      <c r="AV41" s="15" t="str">
        <f ca="1">IF('Lifestyle Strategy'!$B$14 = "Yes",
   IF(AND(B41&gt;='Lifestyle Strategy'!$B$15, B41&lt;'Lifestyle Strategy'!$B$16),
      'Lifestyle Strategy'!$B$25,
      IF(B41&gt;='Lifestyle Strategy'!$B$16, "",
         0)
   ),
   0
)</f>
        <v/>
      </c>
      <c r="AW41" s="15">
        <f ca="1">IF('Lifestyle Strategy'!$Q$4="No", 0,
   IF(AND(B41&gt;='Lifestyle Strategy'!$Q$5, B41&lt;'Lifestyle Strategy'!$Q$6),
      'Lifestyle Strategy'!$Q$8 * (1.025^(B41-'Lifestyle Strategy'!$Q$5)) * (1.12^INT((B41-'Lifestyle Strategy'!$Q$5)/5)),
      0
   )
)</f>
        <v>0</v>
      </c>
      <c r="AX41" s="15">
        <f t="shared" ca="1" si="8"/>
        <v>107463.26886112703</v>
      </c>
      <c r="AY41" s="15">
        <f ca="1">IF(B41='Lifestyle Strategy'!$Q$10, MIN(AN41, 'Lifestyle Strategy'!$Q$11), 0)</f>
        <v>0</v>
      </c>
      <c r="AZ41" s="15">
        <f ca="1">IF(B41='Lifestyle Strategy'!$Q$10, 'Lifestyle Strategy'!$Q$11, 0)</f>
        <v>0</v>
      </c>
      <c r="BA41" s="15">
        <f ca="1">IF(B41='Lifestyle Strategy'!$Q$10, MAX(AZ41 - AY41, 0), 0)</f>
        <v>0</v>
      </c>
      <c r="BB41" s="26">
        <f t="shared" ca="1" si="19"/>
        <v>1650721.6983882552</v>
      </c>
      <c r="BC41" s="18" t="str">
        <f t="shared" ca="1" si="20"/>
        <v>$1.65M</v>
      </c>
      <c r="BD41" s="27"/>
      <c r="BL41" t="s">
        <v>235</v>
      </c>
      <c r="BT41" t="s">
        <v>231</v>
      </c>
      <c r="BU41" s="2">
        <f ca="1">SUM(BZ16:BZ35)</f>
        <v>2573743.2117534289</v>
      </c>
    </row>
    <row r="42" spans="1:80" x14ac:dyDescent="0.2">
      <c r="A42" s="8"/>
      <c r="B42" s="8">
        <v>29</v>
      </c>
      <c r="C42" s="8">
        <v>59</v>
      </c>
      <c r="D42" s="15">
        <f t="shared" ca="1" si="21"/>
        <v>378503.05607198621</v>
      </c>
      <c r="E42" s="15">
        <f t="shared" ca="1" si="28"/>
        <v>15559.987892177654</v>
      </c>
      <c r="F42" s="16">
        <f t="shared" ca="1" si="22"/>
        <v>4.2871704287430985E-2</v>
      </c>
      <c r="G42" s="15">
        <f ca="1">'Tax rate cal'!C39</f>
        <v>126170.62936807462</v>
      </c>
      <c r="H42" s="15">
        <f t="shared" ca="1" si="9"/>
        <v>6321.0010364021691</v>
      </c>
      <c r="I42" s="15">
        <f t="shared" ca="1" si="10"/>
        <v>246011.42566750944</v>
      </c>
      <c r="J42" s="16">
        <f t="shared" ca="1" si="11"/>
        <v>0.12</v>
      </c>
      <c r="K42" s="16">
        <v>0.03</v>
      </c>
      <c r="L42" s="17">
        <f ca="1">IF(O42 = 0,0,'Lifestyle Strategy'!$Q$9)</f>
        <v>0</v>
      </c>
      <c r="M42" s="15">
        <f t="shared" ca="1" si="3"/>
        <v>29521.371080101133</v>
      </c>
      <c r="N42" s="15">
        <f t="shared" ca="1" si="4"/>
        <v>7380.3427700252832</v>
      </c>
      <c r="O42" s="15">
        <f ca="1">IF(AND('Lifestyle Strategy'!$Q$2="Yes", B42 &gt;='Lifestyle Strategy'!$Q$3),
     I42 * 'Lifestyle Strategy'!$Q$9,
     0
)</f>
        <v>0</v>
      </c>
      <c r="P42" s="8">
        <f t="shared" si="5"/>
        <v>0</v>
      </c>
      <c r="Q42" s="15">
        <f t="shared" ca="1" si="12"/>
        <v>36901.713850126413</v>
      </c>
      <c r="R42" s="15">
        <f ca="1">IF(B42&lt;=5, Q42*'Fund Allocation Strategy'!$B$2,
 IF(B42&lt;=10, Q42*'Fund Allocation Strategy'!$B$3,
 IF(B42&lt;=15, Q42*'Fund Allocation Strategy'!$B$4,
 IF(B42&lt;=20, Q42*'Fund Allocation Strategy'!$B$5,
 IF(B42&lt;=25, Q42*'Fund Allocation Strategy'!$B$6,
 IF(B42&lt;=30, Q42*'Fund Allocation Strategy'!$B$7,
 Q42*'Fund Allocation Strategy'!$B$8))))))</f>
        <v>14760.685540050566</v>
      </c>
      <c r="S42" s="17">
        <f ca="1">_xlfn.NORM.INV(RAND(),'Fund Allocation Strategy'!$B$11,'Fund Allocation Strategy'!$C$11)</f>
        <v>3.733193678919107E-2</v>
      </c>
      <c r="T42" s="15">
        <f t="shared" ca="1" si="13"/>
        <v>7392.8251366492641</v>
      </c>
      <c r="U42" s="15">
        <f t="shared" ca="1" si="14"/>
        <v>212802.67755670031</v>
      </c>
      <c r="V42" s="15">
        <f ca="1">IF(B42&lt;=5, Q42*'Fund Allocation Strategy'!$C$2,
 IF(B42&lt;=10, Q42*'Fund Allocation Strategy'!$C$3,
 IF(B42&lt;=15, Q42*'Fund Allocation Strategy'!$C$4,
 IF(B42&lt;=20, Q42*'Fund Allocation Strategy'!$C$5,
 IF(B42&lt;=25, Q42*'Fund Allocation Strategy'!$C$6,
 IF(B42&lt;=30, Q42*'Fund Allocation Strategy'!$C$7,
 Q42*'Fund Allocation Strategy'!$C$8))))))</f>
        <v>12915.599847544243</v>
      </c>
      <c r="W42" s="16">
        <f ca="1">_xlfn.NORM.INV(RAND(),'Fund Allocation Strategy'!$B$12,'Fund Allocation Strategy'!$C$12)</f>
        <v>7.0464743598767726E-2</v>
      </c>
      <c r="X42" s="15">
        <f t="shared" ca="1" si="23"/>
        <v>19552.601636444972</v>
      </c>
      <c r="Y42" s="15">
        <f t="shared" ca="1" si="24"/>
        <v>303491.03425476229</v>
      </c>
      <c r="Z42" s="15">
        <f ca="1">IF(B42&lt;=5, Q42*'Fund Allocation Strategy'!$D$2,
 IF(B42&lt;=10, Q42*'Fund Allocation Strategy'!$D$3,
 IF(B42&lt;=15, Q42*'Fund Allocation Strategy'!$D$4,
 IF(B42&lt;=20, Q42*'Fund Allocation Strategy'!$D$5,
 IF(B42&lt;=25, Q42*'Fund Allocation Strategy'!$D$6,
 IF(B42&lt;=30, Q42*'Fund Allocation Strategy'!$D$7,
 Q42*'Fund Allocation Strategy'!$D$8))))))</f>
        <v>7380.3427700252832</v>
      </c>
      <c r="AA42" s="16">
        <f ca="1">_xlfn.NORM.INV(RAND(),'Fund Allocation Strategy'!$B$13,'Fund Allocation Strategy'!$C$13)</f>
        <v>0.10043195087339245</v>
      </c>
      <c r="AB42" s="15">
        <f t="shared" ca="1" si="25"/>
        <v>66878.542043537338</v>
      </c>
      <c r="AC42" s="15">
        <f t="shared" ca="1" si="26"/>
        <v>736477.7340334215</v>
      </c>
      <c r="AD42" s="15">
        <f ca="1">IF(B42&lt;=5, Q42*'Fund Allocation Strategy'!$E$2,
 IF(B42&lt;=10, Q42*'Fund Allocation Strategy'!$E$3,
 IF(B42&lt;=15, Q42*'Fund Allocation Strategy'!$E$4,
 IF(B42&lt;=20, Q42*'Fund Allocation Strategy'!$E$5,
 IF(B42&lt;=25, Q42*'Fund Allocation Strategy'!$E$6,
 IF(B42&lt;=30, Q42*'Fund Allocation Strategy'!$E$7,
 Q42*'Fund Allocation Strategy'!$E$8))))))</f>
        <v>1845.0856925063208</v>
      </c>
      <c r="AE42" s="16">
        <f ca="1">_xlfn.NORM.INV(RAND(), 'Fund Allocation Strategy'!$B$14, 'Fund Allocation Strategy'!$C$14) + _xlfn.NORM.INV(RAND(), 'Fund Allocation Strategy'!$D$14,'Fund Allocation Strategy'!$E$14)</f>
        <v>0.40021875189978695</v>
      </c>
      <c r="AF42" s="15">
        <f t="shared" ca="1" si="15"/>
        <v>196376.24853860665</v>
      </c>
      <c r="AG42" s="15">
        <f ca="1">IF(B42&lt;=5, Q42*'Fund Allocation Strategy'!$F$2,
 IF(B42&lt;=10, Q42*'Fund Allocation Strategy'!$F$3,
 IF(B42&lt;=15, Q42*'Fund Allocation Strategy'!$F$4,
 IF(B42&lt;=20, Q42*'Fund Allocation Strategy'!$F$5,
 IF(B42&lt;=25, Q42*'Fund Allocation Strategy'!$F$6,
 IF(B42&lt;=30, Q42*'Fund Allocation Strategy'!$F$7,
 Q42*'Fund Allocation Strategy'!$F$8))))))</f>
        <v>0</v>
      </c>
      <c r="AH42" s="16">
        <f ca="1">_xlfn.NORM.INV(RAND(),'Fund Allocation Strategy'!$B$15,'Fund Allocation Strategy'!$C$15)</f>
        <v>0.20490742382847754</v>
      </c>
      <c r="AI42" s="15">
        <f t="shared" ca="1" si="27"/>
        <v>0.48254074163296001</v>
      </c>
      <c r="AJ42" s="15">
        <f t="shared" ca="1" si="16"/>
        <v>44427.838389565251</v>
      </c>
      <c r="AK42" s="15">
        <f t="shared" ca="1" si="6"/>
        <v>10319.566109945868</v>
      </c>
      <c r="AL42" s="17">
        <f t="shared" ca="1" si="7"/>
        <v>1.4999999999999999E-2</v>
      </c>
      <c r="AM42" s="15">
        <f t="shared" ca="1" si="17"/>
        <v>687971.07399639126</v>
      </c>
      <c r="AN42" s="15">
        <f t="shared" ca="1" si="18"/>
        <v>677651.50788644538</v>
      </c>
      <c r="AO42" s="15" t="str">
        <f ca="1">IF(AV42 = 0, I42 * (
    'Lifestyle Strategy'!$B$2 +
    ('Lifestyle Strategy'!$C$2 - 'Lifestyle Strategy'!$B$2) *
    _xlfn.BETA.INV(RAND(), 'Lifestyle Strategy'!$F$2, 'Lifestyle Strategy'!$G$2)
),IF(AV42 = "", "",0))</f>
        <v/>
      </c>
      <c r="AP42" s="15">
        <f ca="1" xml:space="preserve"> I42 * (
    'Lifestyle Strategy'!$B$3 +
    ('Lifestyle Strategy'!$C$3 - 'Lifestyle Strategy'!$B$3) *
    _xlfn.BETA.INV(RAND(), 'Lifestyle Strategy'!$F$3, 'Lifestyle Strategy'!$G$3)
) * IF(MOD(B42,5)=0, 1 + 'Lifestyle Strategy'!$M$4, 1 + 0.025)</f>
        <v>29566.312829250535</v>
      </c>
      <c r="AQ42" s="15">
        <f ca="1" xml:space="preserve"> I42 * (
    'Lifestyle Strategy'!$B$4 +
    ('Lifestyle Strategy'!$C$4 - 'Lifestyle Strategy'!$B$4) *
    _xlfn.BETA.INV(RAND(), 'Lifestyle Strategy'!$F$4, 'Lifestyle Strategy'!$G$4)
) * IF(MOD(B42,5)=0, 1 + 'Lifestyle Strategy'!$M$4, 1 + 0.025)</f>
        <v>19063.108724387872</v>
      </c>
      <c r="AR42" s="15">
        <f ca="1" xml:space="preserve"> I42 * (
    'Lifestyle Strategy'!$B$5 +
    ('Lifestyle Strategy'!$C$5 - 'Lifestyle Strategy'!$B$5) *
    _xlfn.BETA.INV(RAND(), 'Lifestyle Strategy'!$F$5, 'Lifestyle Strategy'!$G$5)
) * IF(MOD(B42,5)=0, 1 + 'Lifestyle Strategy'!$M$4, 1 + 0.025)</f>
        <v>12882.975607421298</v>
      </c>
      <c r="AS42" s="15">
        <f ca="1" xml:space="preserve"> I42 * (
    'Lifestyle Strategy'!$B$6 +
    ('Lifestyle Strategy'!$C$6 - 'Lifestyle Strategy'!$B$6) *
    _xlfn.BETA.INV(RAND(), 'Lifestyle Strategy'!$F$6, 'Lifestyle Strategy'!$G$6)
) * IF(MOD(B42,5)=0, 1 + 'Lifestyle Strategy'!$M$4, 1 + 0.025)</f>
        <v>12592.407413958676</v>
      </c>
      <c r="AT42" s="15">
        <f ca="1" xml:space="preserve"> I42 * (
    'Lifestyle Strategy'!$B$7 +
    ('Lifestyle Strategy'!$C$7 - 'Lifestyle Strategy'!$B$7) *
    _xlfn.BETA.INV(RAND(), 'Lifestyle Strategy'!$F$7, 'Lifestyle Strategy'!$G$7)
) * IF(MOD(B42,5)=0, 1 + 'Lifestyle Strategy'!$M$4, 1 + 0.025)</f>
        <v>23485.583324814368</v>
      </c>
      <c r="AU42" s="15">
        <f ca="1" xml:space="preserve"> I42 * (
    'Lifestyle Strategy'!$B$8 +
    ('Lifestyle Strategy'!$C$8 - 'Lifestyle Strategy'!$B$8) *
    _xlfn.BETA.INV(RAND(), 'Lifestyle Strategy'!$F$8, 'Lifestyle Strategy'!$G$8)
) * IF(MOD(B42,5)=0, 1 + 'Lifestyle Strategy'!$M$4, 1 + 0.025)</f>
        <v>9454.4607261046822</v>
      </c>
      <c r="AV42" s="15" t="str">
        <f ca="1">IF('Lifestyle Strategy'!$B$14 = "Yes",
   IF(AND(B42&gt;='Lifestyle Strategy'!$B$15, B42&lt;'Lifestyle Strategy'!$B$16),
      'Lifestyle Strategy'!$B$25,
      IF(B42&gt;='Lifestyle Strategy'!$B$16, "",
         0)
   ),
   0
)</f>
        <v/>
      </c>
      <c r="AW42" s="15">
        <f ca="1">IF('Lifestyle Strategy'!$Q$4="No", 0,
   IF(AND(B42&gt;='Lifestyle Strategy'!$Q$5, B42&lt;'Lifestyle Strategy'!$Q$6),
      'Lifestyle Strategy'!$Q$8 * (1.025^(B42-'Lifestyle Strategy'!$Q$5)) * (1.12^INT((B42-'Lifestyle Strategy'!$Q$5)/5)),
      0
   )
)</f>
        <v>0</v>
      </c>
      <c r="AX42" s="15">
        <f t="shared" ca="1" si="8"/>
        <v>107044.84862593742</v>
      </c>
      <c r="AY42" s="15">
        <f ca="1">IF(B42='Lifestyle Strategy'!$Q$10, MIN(AN42, 'Lifestyle Strategy'!$Q$11), 0)</f>
        <v>0</v>
      </c>
      <c r="AZ42" s="15">
        <f ca="1">IF(B42='Lifestyle Strategy'!$Q$10, 'Lifestyle Strategy'!$Q$11, 0)</f>
        <v>0</v>
      </c>
      <c r="BA42" s="15">
        <f ca="1">IF(B42='Lifestyle Strategy'!$Q$10, MAX(AZ42 - AY42, 0), 0)</f>
        <v>0</v>
      </c>
      <c r="BB42" s="26">
        <f t="shared" ca="1" si="19"/>
        <v>1974850.7921208946</v>
      </c>
      <c r="BC42" s="18" t="str">
        <f t="shared" ca="1" si="20"/>
        <v>$1.97M</v>
      </c>
      <c r="BD42" s="27"/>
      <c r="BT42" t="s">
        <v>236</v>
      </c>
      <c r="BU42" s="2">
        <f ca="1">SUM(BT16:BT35)</f>
        <v>4175019.9910215717</v>
      </c>
    </row>
    <row r="43" spans="1:80" x14ac:dyDescent="0.2">
      <c r="A43" s="8"/>
      <c r="B43" s="8">
        <v>30</v>
      </c>
      <c r="C43" s="8">
        <v>60</v>
      </c>
      <c r="D43" s="15">
        <f t="shared" ca="1" si="21"/>
        <v>391160.02520688967</v>
      </c>
      <c r="E43" s="15">
        <f t="shared" ca="1" si="28"/>
        <v>12656.969134903455</v>
      </c>
      <c r="F43" s="16">
        <f t="shared" ca="1" si="22"/>
        <v>3.3439542777420186E-2</v>
      </c>
      <c r="G43" s="15">
        <f ca="1">'Tax rate cal'!C40</f>
        <v>131106.84733068699</v>
      </c>
      <c r="H43" s="15">
        <f t="shared" ca="1" si="9"/>
        <v>6532.3724209550574</v>
      </c>
      <c r="I43" s="15">
        <f t="shared" ca="1" si="10"/>
        <v>253520.80545524761</v>
      </c>
      <c r="J43" s="16">
        <f t="shared" ca="1" si="11"/>
        <v>0.12</v>
      </c>
      <c r="K43" s="16">
        <v>0.03</v>
      </c>
      <c r="L43" s="17">
        <f ca="1">IF(O43 = 0,0,'Lifestyle Strategy'!$Q$9)</f>
        <v>0</v>
      </c>
      <c r="M43" s="15">
        <f t="shared" ca="1" si="3"/>
        <v>30422.496654629711</v>
      </c>
      <c r="N43" s="15">
        <f t="shared" ca="1" si="4"/>
        <v>7605.6241636574277</v>
      </c>
      <c r="O43" s="15">
        <f ca="1">IF(AND('Lifestyle Strategy'!$Q$2="Yes", B43 &gt;='Lifestyle Strategy'!$Q$3),
     I43 * 'Lifestyle Strategy'!$Q$9,
     0
)</f>
        <v>0</v>
      </c>
      <c r="P43" s="8">
        <f t="shared" ca="1" si="5"/>
        <v>10000</v>
      </c>
      <c r="Q43" s="15">
        <f t="shared" ca="1" si="12"/>
        <v>48028.120818287141</v>
      </c>
      <c r="R43" s="15">
        <f ca="1">IF(B43&lt;=5, Q43*'Fund Allocation Strategy'!$B$2,
 IF(B43&lt;=10, Q43*'Fund Allocation Strategy'!$B$3,
 IF(B43&lt;=15, Q43*'Fund Allocation Strategy'!$B$4,
 IF(B43&lt;=20, Q43*'Fund Allocation Strategy'!$B$5,
 IF(B43&lt;=25, Q43*'Fund Allocation Strategy'!$B$6,
 IF(B43&lt;=30, Q43*'Fund Allocation Strategy'!$B$7,
 Q43*'Fund Allocation Strategy'!$B$8))))))</f>
        <v>19211.248327314857</v>
      </c>
      <c r="S43" s="17">
        <f ca="1">_xlfn.NORM.INV(RAND(),'Fund Allocation Strategy'!$B$11,'Fund Allocation Strategy'!$C$11)</f>
        <v>3.6975834791533345E-2</v>
      </c>
      <c r="T43" s="15">
        <f t="shared" ca="1" si="13"/>
        <v>8223.7326206774487</v>
      </c>
      <c r="U43" s="15">
        <f t="shared" ca="1" si="14"/>
        <v>240237.6585046926</v>
      </c>
      <c r="V43" s="15">
        <f ca="1">IF(B43&lt;=5, Q43*'Fund Allocation Strategy'!$C$2,
 IF(B43&lt;=10, Q43*'Fund Allocation Strategy'!$C$3,
 IF(B43&lt;=15, Q43*'Fund Allocation Strategy'!$C$4,
 IF(B43&lt;=20, Q43*'Fund Allocation Strategy'!$C$5,
 IF(B43&lt;=25, Q43*'Fund Allocation Strategy'!$C$6,
 IF(B43&lt;=30, Q43*'Fund Allocation Strategy'!$C$7,
 Q43*'Fund Allocation Strategy'!$C$8))))))</f>
        <v>16809.842286400497</v>
      </c>
      <c r="W43" s="16">
        <f ca="1">_xlfn.NORM.INV(RAND(),'Fund Allocation Strategy'!$B$12,'Fund Allocation Strategy'!$C$12)</f>
        <v>6.8547053395868293E-2</v>
      </c>
      <c r="X43" s="15">
        <f t="shared" ca="1" si="23"/>
        <v>21379.548708619495</v>
      </c>
      <c r="Y43" s="15">
        <f t="shared" ca="1" si="24"/>
        <v>341680.42524978227</v>
      </c>
      <c r="Z43" s="15">
        <f ca="1">IF(B43&lt;=5, Q43*'Fund Allocation Strategy'!$D$2,
 IF(B43&lt;=10, Q43*'Fund Allocation Strategy'!$D$3,
 IF(B43&lt;=15, Q43*'Fund Allocation Strategy'!$D$4,
 IF(B43&lt;=20, Q43*'Fund Allocation Strategy'!$D$5,
 IF(B43&lt;=25, Q43*'Fund Allocation Strategy'!$D$6,
 IF(B43&lt;=30, Q43*'Fund Allocation Strategy'!$D$7,
 Q43*'Fund Allocation Strategy'!$D$8))))))</f>
        <v>9605.6241636574287</v>
      </c>
      <c r="AA43" s="16">
        <f ca="1">_xlfn.NORM.INV(RAND(),'Fund Allocation Strategy'!$B$13,'Fund Allocation Strategy'!$C$13)</f>
        <v>0.10124597510984189</v>
      </c>
      <c r="AB43" s="15">
        <f t="shared" ca="1" si="25"/>
        <v>75051.671721394625</v>
      </c>
      <c r="AC43" s="15">
        <f t="shared" ca="1" si="26"/>
        <v>821135.02991847356</v>
      </c>
      <c r="AD43" s="15">
        <f ca="1">IF(B43&lt;=5, Q43*'Fund Allocation Strategy'!$E$2,
 IF(B43&lt;=10, Q43*'Fund Allocation Strategy'!$E$3,
 IF(B43&lt;=15, Q43*'Fund Allocation Strategy'!$E$4,
 IF(B43&lt;=20, Q43*'Fund Allocation Strategy'!$E$5,
 IF(B43&lt;=25, Q43*'Fund Allocation Strategy'!$E$6,
 IF(B43&lt;=30, Q43*'Fund Allocation Strategy'!$E$7,
 Q43*'Fund Allocation Strategy'!$E$8))))))</f>
        <v>2401.4060409143572</v>
      </c>
      <c r="AE43" s="16">
        <f ca="1">_xlfn.NORM.INV(RAND(), 'Fund Allocation Strategy'!$B$14, 'Fund Allocation Strategy'!$C$14) + _xlfn.NORM.INV(RAND(), 'Fund Allocation Strategy'!$D$14,'Fund Allocation Strategy'!$E$14)</f>
        <v>0.34006017576235681</v>
      </c>
      <c r="AF43" s="15">
        <f t="shared" ca="1" si="15"/>
        <v>234359.87562280524</v>
      </c>
      <c r="AG43" s="15">
        <f ca="1">IF(B43&lt;=5, Q43*'Fund Allocation Strategy'!$F$2,
 IF(B43&lt;=10, Q43*'Fund Allocation Strategy'!$F$3,
 IF(B43&lt;=15, Q43*'Fund Allocation Strategy'!$F$4,
 IF(B43&lt;=20, Q43*'Fund Allocation Strategy'!$F$5,
 IF(B43&lt;=25, Q43*'Fund Allocation Strategy'!$F$6,
 IF(B43&lt;=30, Q43*'Fund Allocation Strategy'!$F$7,
 Q43*'Fund Allocation Strategy'!$F$8))))))</f>
        <v>0</v>
      </c>
      <c r="AH43" s="16">
        <f ca="1">_xlfn.NORM.INV(RAND(),'Fund Allocation Strategy'!$B$15,'Fund Allocation Strategy'!$C$15)</f>
        <v>0.20773248434748792</v>
      </c>
      <c r="AI43" s="15">
        <f t="shared" ca="1" si="27"/>
        <v>0.10023938705829408</v>
      </c>
      <c r="AJ43" s="15">
        <f t="shared" ca="1" si="16"/>
        <v>44427.93862895231</v>
      </c>
      <c r="AK43" s="15">
        <f t="shared" ca="1" si="6"/>
        <v>13870.985334901661</v>
      </c>
      <c r="AL43" s="17">
        <f t="shared" ca="1" si="7"/>
        <v>1.4999999999999999E-2</v>
      </c>
      <c r="AM43" s="15">
        <f t="shared" ca="1" si="17"/>
        <v>924732.35566011083</v>
      </c>
      <c r="AN43" s="15">
        <f t="shared" ca="1" si="18"/>
        <v>910861.37032520922</v>
      </c>
      <c r="AO43" s="15" t="str">
        <f ca="1">IF(AV43 = 0, I43 * (
    'Lifestyle Strategy'!$B$2 +
    ('Lifestyle Strategy'!$C$2 - 'Lifestyle Strategy'!$B$2) *
    _xlfn.BETA.INV(RAND(), 'Lifestyle Strategy'!$F$2, 'Lifestyle Strategy'!$G$2)
),IF(AV43 = "", "",0))</f>
        <v/>
      </c>
      <c r="AP43" s="15">
        <f ca="1" xml:space="preserve"> I43 * (
    'Lifestyle Strategy'!$B$3 +
    ('Lifestyle Strategy'!$C$3 - 'Lifestyle Strategy'!$B$3) *
    _xlfn.BETA.INV(RAND(), 'Lifestyle Strategy'!$F$3, 'Lifestyle Strategy'!$G$3)
) * IF(MOD(B43,5)=0, 1 + 'Lifestyle Strategy'!$M$4, 1 + 0.025)</f>
        <v>32564.218904093887</v>
      </c>
      <c r="AQ43" s="15">
        <f ca="1" xml:space="preserve"> I43 * (
    'Lifestyle Strategy'!$B$4 +
    ('Lifestyle Strategy'!$C$4 - 'Lifestyle Strategy'!$B$4) *
    _xlfn.BETA.INV(RAND(), 'Lifestyle Strategy'!$F$4, 'Lifestyle Strategy'!$G$4)
) * IF(MOD(B43,5)=0, 1 + 'Lifestyle Strategy'!$M$4, 1 + 0.025)</f>
        <v>19283.924996532143</v>
      </c>
      <c r="AR43" s="15">
        <f ca="1" xml:space="preserve"> I43 * (
    'Lifestyle Strategy'!$B$5 +
    ('Lifestyle Strategy'!$C$5 - 'Lifestyle Strategy'!$B$5) *
    _xlfn.BETA.INV(RAND(), 'Lifestyle Strategy'!$F$5, 'Lifestyle Strategy'!$G$5)
) * IF(MOD(B43,5)=0, 1 + 'Lifestyle Strategy'!$M$4, 1 + 0.025)</f>
        <v>13404.819865382442</v>
      </c>
      <c r="AS43" s="15">
        <f ca="1" xml:space="preserve"> I43 * (
    'Lifestyle Strategy'!$B$6 +
    ('Lifestyle Strategy'!$C$6 - 'Lifestyle Strategy'!$B$6) *
    _xlfn.BETA.INV(RAND(), 'Lifestyle Strategy'!$F$6, 'Lifestyle Strategy'!$G$6)
) * IF(MOD(B43,5)=0, 1 + 'Lifestyle Strategy'!$M$4, 1 + 0.025)</f>
        <v>13900.256370293546</v>
      </c>
      <c r="AT43" s="15">
        <f ca="1" xml:space="preserve"> I43 * (
    'Lifestyle Strategy'!$B$7 +
    ('Lifestyle Strategy'!$C$7 - 'Lifestyle Strategy'!$B$7) *
    _xlfn.BETA.INV(RAND(), 'Lifestyle Strategy'!$F$7, 'Lifestyle Strategy'!$G$7)
) * IF(MOD(B43,5)=0, 1 + 'Lifestyle Strategy'!$M$4, 1 + 0.025)</f>
        <v>25231.62457578622</v>
      </c>
      <c r="AU43" s="15">
        <f ca="1" xml:space="preserve"> I43 * (
    'Lifestyle Strategy'!$B$8 +
    ('Lifestyle Strategy'!$C$8 - 'Lifestyle Strategy'!$B$8) *
    _xlfn.BETA.INV(RAND(), 'Lifestyle Strategy'!$F$8, 'Lifestyle Strategy'!$G$8)
) * IF(MOD(B43,5)=0, 1 + 'Lifestyle Strategy'!$M$4, 1 + 0.025)</f>
        <v>9569.3458776754323</v>
      </c>
      <c r="AV43" s="15" t="str">
        <f ca="1">IF('Lifestyle Strategy'!$B$14 = "Yes",
   IF(AND(B43&gt;='Lifestyle Strategy'!$B$15, B43&lt;'Lifestyle Strategy'!$B$16),
      'Lifestyle Strategy'!$B$25,
      IF(B43&gt;='Lifestyle Strategy'!$B$16, "",
         0)
   ),
   0
)</f>
        <v/>
      </c>
      <c r="AW43" s="15">
        <f ca="1">IF('Lifestyle Strategy'!$Q$4="No", 0,
   IF(AND(B43&gt;='Lifestyle Strategy'!$Q$5, B43&lt;'Lifestyle Strategy'!$Q$6),
      'Lifestyle Strategy'!$Q$8 * (1.025^(B43-'Lifestyle Strategy'!$Q$5)) * (1.12^INT((B43-'Lifestyle Strategy'!$Q$5)/5)),
      0
   )
)</f>
        <v>0</v>
      </c>
      <c r="AX43" s="15">
        <f t="shared" ca="1" si="8"/>
        <v>113954.19058976368</v>
      </c>
      <c r="AY43" s="15">
        <f ca="1">IF(B43='Lifestyle Strategy'!$Q$10, MIN(AN43, 'Lifestyle Strategy'!$Q$11), 0)</f>
        <v>0</v>
      </c>
      <c r="AZ43" s="15">
        <f ca="1">IF(B43='Lifestyle Strategy'!$Q$10, 'Lifestyle Strategy'!$Q$11, 0)</f>
        <v>0</v>
      </c>
      <c r="BA43" s="15">
        <f ca="1">IF(B43='Lifestyle Strategy'!$Q$10, MAX(AZ43 - AY43, 0), 0)</f>
        <v>0</v>
      </c>
      <c r="BB43" s="26">
        <f t="shared" ca="1" si="19"/>
        <v>2358342.42262711</v>
      </c>
      <c r="BC43" s="18" t="str">
        <f t="shared" ca="1" si="20"/>
        <v>$2.36M</v>
      </c>
      <c r="BD43" s="27"/>
    </row>
    <row r="44" spans="1:80" x14ac:dyDescent="0.2">
      <c r="A44" s="8"/>
      <c r="B44" s="8">
        <v>31</v>
      </c>
      <c r="C44" s="8">
        <v>61</v>
      </c>
      <c r="D44" s="15">
        <f t="shared" ca="1" si="21"/>
        <v>403011.19216553372</v>
      </c>
      <c r="E44" s="15">
        <f t="shared" ca="1" si="28"/>
        <v>11851.166958644055</v>
      </c>
      <c r="F44" s="16">
        <f t="shared" ca="1" si="22"/>
        <v>3.0297490016715837E-2</v>
      </c>
      <c r="G44" s="15">
        <f ca="1">'Tax rate cal'!C41</f>
        <v>135728.80244455815</v>
      </c>
      <c r="H44" s="15">
        <f t="shared" ca="1" si="9"/>
        <v>6730.2869091644134</v>
      </c>
      <c r="I44" s="15">
        <f t="shared" ca="1" si="10"/>
        <v>260552.10281181111</v>
      </c>
      <c r="J44" s="16">
        <f t="shared" ca="1" si="11"/>
        <v>0.12</v>
      </c>
      <c r="K44" s="16">
        <v>0.03</v>
      </c>
      <c r="L44" s="17">
        <f ca="1">IF(O44 = 0,0,'Lifestyle Strategy'!$Q$9)</f>
        <v>0</v>
      </c>
      <c r="M44" s="15">
        <f t="shared" ca="1" si="3"/>
        <v>31266.252337417332</v>
      </c>
      <c r="N44" s="15">
        <f t="shared" ca="1" si="4"/>
        <v>7816.5630843543331</v>
      </c>
      <c r="O44" s="15">
        <f ca="1">IF(AND('Lifestyle Strategy'!$Q$2="Yes", B44 &gt;='Lifestyle Strategy'!$Q$3),
     I44 * 'Lifestyle Strategy'!$Q$9,
     0
)</f>
        <v>0</v>
      </c>
      <c r="P44" s="8">
        <f t="shared" si="5"/>
        <v>0</v>
      </c>
      <c r="Q44" s="15">
        <f t="shared" ca="1" si="12"/>
        <v>39082.815421771666</v>
      </c>
      <c r="R44" s="15">
        <f ca="1">IF(B44&lt;=5, Q44*'Fund Allocation Strategy'!$B$2,
 IF(B44&lt;=10, Q44*'Fund Allocation Strategy'!$B$3,
 IF(B44&lt;=15, Q44*'Fund Allocation Strategy'!$B$4,
 IF(B44&lt;=20, Q44*'Fund Allocation Strategy'!$B$5,
 IF(B44&lt;=25, Q44*'Fund Allocation Strategy'!$B$6,
 IF(B44&lt;=30, Q44*'Fund Allocation Strategy'!$B$7,
 Q44*'Fund Allocation Strategy'!$B$8))))))</f>
        <v>19541.407710885833</v>
      </c>
      <c r="S44" s="17">
        <f ca="1">_xlfn.NORM.INV(RAND(),'Fund Allocation Strategy'!$B$11,'Fund Allocation Strategy'!$C$11)</f>
        <v>3.7803964907145722E-2</v>
      </c>
      <c r="T44" s="15">
        <f t="shared" ca="1" si="13"/>
        <v>9451.3073571555342</v>
      </c>
      <c r="U44" s="15">
        <f t="shared" ca="1" si="14"/>
        <v>269230.37357273395</v>
      </c>
      <c r="V44" s="15">
        <f ca="1">IF(B44&lt;=5, Q44*'Fund Allocation Strategy'!$C$2,
 IF(B44&lt;=10, Q44*'Fund Allocation Strategy'!$C$3,
 IF(B44&lt;=15, Q44*'Fund Allocation Strategy'!$C$4,
 IF(B44&lt;=20, Q44*'Fund Allocation Strategy'!$C$5,
 IF(B44&lt;=25, Q44*'Fund Allocation Strategy'!$C$6,
 IF(B44&lt;=30, Q44*'Fund Allocation Strategy'!$C$7,
 Q44*'Fund Allocation Strategy'!$C$8))))))</f>
        <v>13678.985397620083</v>
      </c>
      <c r="W44" s="16">
        <f ca="1">_xlfn.NORM.INV(RAND(),'Fund Allocation Strategy'!$B$12,'Fund Allocation Strategy'!$C$12)</f>
        <v>7.0960069385016408E-2</v>
      </c>
      <c r="X44" s="15">
        <f t="shared" ca="1" si="23"/>
        <v>24730.997559692336</v>
      </c>
      <c r="Y44" s="15">
        <f t="shared" ca="1" si="24"/>
        <v>380090.4082070947</v>
      </c>
      <c r="Z44" s="15">
        <f ca="1">IF(B44&lt;=5, Q44*'Fund Allocation Strategy'!$D$2,
 IF(B44&lt;=10, Q44*'Fund Allocation Strategy'!$D$3,
 IF(B44&lt;=15, Q44*'Fund Allocation Strategy'!$D$4,
 IF(B44&lt;=20, Q44*'Fund Allocation Strategy'!$D$5,
 IF(B44&lt;=25, Q44*'Fund Allocation Strategy'!$D$6,
 IF(B44&lt;=30, Q44*'Fund Allocation Strategy'!$D$7,
 Q44*'Fund Allocation Strategy'!$D$8))))))</f>
        <v>5862.4223132657498</v>
      </c>
      <c r="AA44" s="16">
        <f ca="1">_xlfn.NORM.INV(RAND(),'Fund Allocation Strategy'!$B$13,'Fund Allocation Strategy'!$C$13)</f>
        <v>0.10585551871044344</v>
      </c>
      <c r="AB44" s="15">
        <f t="shared" ca="1" si="25"/>
        <v>87231.95940077072</v>
      </c>
      <c r="AC44" s="15">
        <f t="shared" ca="1" si="26"/>
        <v>914229.41163251002</v>
      </c>
      <c r="AD44" s="15">
        <f ca="1">IF(B44&lt;=5, Q44*'Fund Allocation Strategy'!$E$2,
 IF(B44&lt;=10, Q44*'Fund Allocation Strategy'!$E$3,
 IF(B44&lt;=15, Q44*'Fund Allocation Strategy'!$E$4,
 IF(B44&lt;=20, Q44*'Fund Allocation Strategy'!$E$5,
 IF(B44&lt;=25, Q44*'Fund Allocation Strategy'!$E$6,
 IF(B44&lt;=30, Q44*'Fund Allocation Strategy'!$E$7,
 Q44*'Fund Allocation Strategy'!$E$8))))))</f>
        <v>0</v>
      </c>
      <c r="AE44" s="16">
        <f ca="1">_xlfn.NORM.INV(RAND(), 'Fund Allocation Strategy'!$B$14, 'Fund Allocation Strategy'!$C$14) + _xlfn.NORM.INV(RAND(), 'Fund Allocation Strategy'!$D$14,'Fund Allocation Strategy'!$E$14)</f>
        <v>0.34627789473054804</v>
      </c>
      <c r="AF44" s="15">
        <f t="shared" ca="1" si="15"/>
        <v>320214.37330720358</v>
      </c>
      <c r="AG44" s="15">
        <f ca="1">IF(B44&lt;=5, Q44*'Fund Allocation Strategy'!$F$2,
 IF(B44&lt;=10, Q44*'Fund Allocation Strategy'!$F$3,
 IF(B44&lt;=15, Q44*'Fund Allocation Strategy'!$F$4,
 IF(B44&lt;=20, Q44*'Fund Allocation Strategy'!$F$5,
 IF(B44&lt;=25, Q44*'Fund Allocation Strategy'!$F$6,
 IF(B44&lt;=30, Q44*'Fund Allocation Strategy'!$F$7,
 Q44*'Fund Allocation Strategy'!$F$8))))))</f>
        <v>0</v>
      </c>
      <c r="AH44" s="16">
        <f ca="1">_xlfn.NORM.INV(RAND(),'Fund Allocation Strategy'!$B$15,'Fund Allocation Strategy'!$C$15)</f>
        <v>0.20307530262292972</v>
      </c>
      <c r="AI44" s="15">
        <f t="shared" ca="1" si="27"/>
        <v>2.0356143861600055E-2</v>
      </c>
      <c r="AJ44" s="15">
        <f t="shared" ca="1" si="16"/>
        <v>44427.958985096171</v>
      </c>
      <c r="AK44" s="15">
        <f t="shared" ca="1" si="6"/>
        <v>18674.200934509714</v>
      </c>
      <c r="AL44" s="17">
        <f t="shared" ca="1" si="7"/>
        <v>1.4999999999999999E-2</v>
      </c>
      <c r="AM44" s="15">
        <f t="shared" ca="1" si="17"/>
        <v>1244946.7289673144</v>
      </c>
      <c r="AN44" s="15">
        <f t="shared" ca="1" si="18"/>
        <v>1226272.5280328046</v>
      </c>
      <c r="AO44" s="15" t="str">
        <f ca="1">IF(AV44 = 0, I44 * (
    'Lifestyle Strategy'!$B$2 +
    ('Lifestyle Strategy'!$C$2 - 'Lifestyle Strategy'!$B$2) *
    _xlfn.BETA.INV(RAND(), 'Lifestyle Strategy'!$F$2, 'Lifestyle Strategy'!$G$2)
),IF(AV44 = "", "",0))</f>
        <v/>
      </c>
      <c r="AP44" s="15">
        <f ca="1" xml:space="preserve"> I44 * (
    'Lifestyle Strategy'!$B$3 +
    ('Lifestyle Strategy'!$C$3 - 'Lifestyle Strategy'!$B$3) *
    _xlfn.BETA.INV(RAND(), 'Lifestyle Strategy'!$F$3, 'Lifestyle Strategy'!$G$3)
) * IF(MOD(B44,5)=0, 1 + 'Lifestyle Strategy'!$M$4, 1 + 0.025)</f>
        <v>38447.4227128891</v>
      </c>
      <c r="AQ44" s="15">
        <f ca="1" xml:space="preserve"> I44 * (
    'Lifestyle Strategy'!$B$4 +
    ('Lifestyle Strategy'!$C$4 - 'Lifestyle Strategy'!$B$4) *
    _xlfn.BETA.INV(RAND(), 'Lifestyle Strategy'!$F$4, 'Lifestyle Strategy'!$G$4)
) * IF(MOD(B44,5)=0, 1 + 'Lifestyle Strategy'!$M$4, 1 + 0.025)</f>
        <v>18303.266846862633</v>
      </c>
      <c r="AR44" s="15">
        <f ca="1" xml:space="preserve"> I44 * (
    'Lifestyle Strategy'!$B$5 +
    ('Lifestyle Strategy'!$C$5 - 'Lifestyle Strategy'!$B$5) *
    _xlfn.BETA.INV(RAND(), 'Lifestyle Strategy'!$F$5, 'Lifestyle Strategy'!$G$5)
) * IF(MOD(B44,5)=0, 1 + 'Lifestyle Strategy'!$M$4, 1 + 0.025)</f>
        <v>14135.787881595023</v>
      </c>
      <c r="AS44" s="15">
        <f ca="1" xml:space="preserve"> I44 * (
    'Lifestyle Strategy'!$B$6 +
    ('Lifestyle Strategy'!$C$6 - 'Lifestyle Strategy'!$B$6) *
    _xlfn.BETA.INV(RAND(), 'Lifestyle Strategy'!$F$6, 'Lifestyle Strategy'!$G$6)
) * IF(MOD(B44,5)=0, 1 + 'Lifestyle Strategy'!$M$4, 1 + 0.025)</f>
        <v>13077.863454516895</v>
      </c>
      <c r="AT44" s="15">
        <f ca="1" xml:space="preserve"> I44 * (
    'Lifestyle Strategy'!$B$7 +
    ('Lifestyle Strategy'!$C$7 - 'Lifestyle Strategy'!$B$7) *
    _xlfn.BETA.INV(RAND(), 'Lifestyle Strategy'!$F$7, 'Lifestyle Strategy'!$G$7)
) * IF(MOD(B44,5)=0, 1 + 'Lifestyle Strategy'!$M$4, 1 + 0.025)</f>
        <v>30572.123135640402</v>
      </c>
      <c r="AU44" s="15">
        <f ca="1" xml:space="preserve"> I44 * (
    'Lifestyle Strategy'!$B$8 +
    ('Lifestyle Strategy'!$C$8 - 'Lifestyle Strategy'!$B$8) *
    _xlfn.BETA.INV(RAND(), 'Lifestyle Strategy'!$F$8, 'Lifestyle Strategy'!$G$8)
) * IF(MOD(B44,5)=0, 1 + 'Lifestyle Strategy'!$M$4, 1 + 0.025)</f>
        <v>15209.776742942933</v>
      </c>
      <c r="AV44" s="15" t="str">
        <f ca="1">IF('Lifestyle Strategy'!$B$14 = "Yes",
   IF(AND(B44&gt;='Lifestyle Strategy'!$B$15, B44&lt;'Lifestyle Strategy'!$B$16),
      'Lifestyle Strategy'!$B$25,
      IF(B44&gt;='Lifestyle Strategy'!$B$16, "",
         0)
   ),
   0
)</f>
        <v/>
      </c>
      <c r="AW44" s="15">
        <f ca="1">IF('Lifestyle Strategy'!$Q$4="No", 0,
   IF(AND(B44&gt;='Lifestyle Strategy'!$Q$5, B44&lt;'Lifestyle Strategy'!$Q$6),
      'Lifestyle Strategy'!$Q$8 * (1.025^(B44-'Lifestyle Strategy'!$Q$5)) * (1.12^INT((B44-'Lifestyle Strategy'!$Q$5)/5)),
      0
   )
)</f>
        <v>0</v>
      </c>
      <c r="AX44" s="15">
        <f t="shared" ca="1" si="8"/>
        <v>129746.24077444698</v>
      </c>
      <c r="AY44" s="15">
        <f ca="1">IF(B44='Lifestyle Strategy'!$Q$10, MIN(AN44, 'Lifestyle Strategy'!$Q$11), 0)</f>
        <v>0</v>
      </c>
      <c r="AZ44" s="15">
        <f ca="1">IF(B44='Lifestyle Strategy'!$Q$10, 'Lifestyle Strategy'!$Q$11, 0)</f>
        <v>0</v>
      </c>
      <c r="BA44" s="15">
        <f ca="1">IF(B44='Lifestyle Strategy'!$Q$10, MAX(AZ44 - AY44, 0), 0)</f>
        <v>0</v>
      </c>
      <c r="BB44" s="26">
        <f t="shared" ca="1" si="19"/>
        <v>2834250.6804302395</v>
      </c>
      <c r="BC44" s="18" t="str">
        <f t="shared" ca="1" si="20"/>
        <v>$2.83M</v>
      </c>
      <c r="BD44" s="27"/>
      <c r="BT44" s="103" t="s">
        <v>234</v>
      </c>
      <c r="BU44" s="104" t="s">
        <v>230</v>
      </c>
      <c r="BV44" s="108" t="s">
        <v>238</v>
      </c>
      <c r="BW44" s="108" t="s">
        <v>239</v>
      </c>
      <c r="BX44" s="105" t="s">
        <v>237</v>
      </c>
    </row>
    <row r="45" spans="1:80" x14ac:dyDescent="0.2">
      <c r="A45" s="8"/>
      <c r="B45" s="8">
        <v>32</v>
      </c>
      <c r="C45" s="8">
        <v>62</v>
      </c>
      <c r="D45" s="15">
        <f t="shared" ca="1" si="21"/>
        <v>413199.49076404021</v>
      </c>
      <c r="E45" s="15">
        <f t="shared" ca="1" si="28"/>
        <v>10188.298598506488</v>
      </c>
      <c r="F45" s="16">
        <f t="shared" ca="1" si="22"/>
        <v>2.5280435870182295E-2</v>
      </c>
      <c r="G45" s="15">
        <f ca="1">'Tax rate cal'!C42</f>
        <v>139702.23889797568</v>
      </c>
      <c r="H45" s="15">
        <f t="shared" ca="1" si="9"/>
        <v>6900.4314957594715</v>
      </c>
      <c r="I45" s="15">
        <f t="shared" ca="1" si="10"/>
        <v>266596.82037030504</v>
      </c>
      <c r="J45" s="16">
        <f t="shared" ca="1" si="11"/>
        <v>0.12</v>
      </c>
      <c r="K45" s="16">
        <v>0.03</v>
      </c>
      <c r="L45" s="17">
        <f ca="1">IF(O45 = 0,0,'Lifestyle Strategy'!$Q$9)</f>
        <v>0</v>
      </c>
      <c r="M45" s="15">
        <f t="shared" ca="1" si="3"/>
        <v>31991.618444436604</v>
      </c>
      <c r="N45" s="15">
        <f t="shared" ca="1" si="4"/>
        <v>7997.9046111091511</v>
      </c>
      <c r="O45" s="15">
        <f ca="1">IF(AND('Lifestyle Strategy'!$Q$2="Yes", B45 &gt;='Lifestyle Strategy'!$Q$3),
     I45 * 'Lifestyle Strategy'!$Q$9,
     0
)</f>
        <v>0</v>
      </c>
      <c r="P45" s="8">
        <f t="shared" si="5"/>
        <v>0</v>
      </c>
      <c r="Q45" s="15">
        <f t="shared" ca="1" si="12"/>
        <v>39989.523055545753</v>
      </c>
      <c r="R45" s="15">
        <f ca="1">IF(B45&lt;=5, Q45*'Fund Allocation Strategy'!$B$2,
 IF(B45&lt;=10, Q45*'Fund Allocation Strategy'!$B$3,
 IF(B45&lt;=15, Q45*'Fund Allocation Strategy'!$B$4,
 IF(B45&lt;=20, Q45*'Fund Allocation Strategy'!$B$5,
 IF(B45&lt;=25, Q45*'Fund Allocation Strategy'!$B$6,
 IF(B45&lt;=30, Q45*'Fund Allocation Strategy'!$B$7,
 Q45*'Fund Allocation Strategy'!$B$8))))))</f>
        <v>19994.761527772876</v>
      </c>
      <c r="S45" s="17">
        <f ca="1">_xlfn.NORM.INV(RAND(),'Fund Allocation Strategy'!$B$11,'Fund Allocation Strategy'!$C$11)</f>
        <v>3.7798220326613216E-2</v>
      </c>
      <c r="T45" s="15">
        <f t="shared" ca="1" si="13"/>
        <v>10554.312179721006</v>
      </c>
      <c r="U45" s="15">
        <f t="shared" ca="1" si="14"/>
        <v>299779.44728022785</v>
      </c>
      <c r="V45" s="15">
        <f ca="1">IF(B45&lt;=5, Q45*'Fund Allocation Strategy'!$C$2,
 IF(B45&lt;=10, Q45*'Fund Allocation Strategy'!$C$3,
 IF(B45&lt;=15, Q45*'Fund Allocation Strategy'!$C$4,
 IF(B45&lt;=20, Q45*'Fund Allocation Strategy'!$C$5,
 IF(B45&lt;=25, Q45*'Fund Allocation Strategy'!$C$6,
 IF(B45&lt;=30, Q45*'Fund Allocation Strategy'!$C$7,
 Q45*'Fund Allocation Strategy'!$C$8))))))</f>
        <v>13996.333069441012</v>
      </c>
      <c r="W45" s="16">
        <f ca="1">_xlfn.NORM.INV(RAND(),'Fund Allocation Strategy'!$B$12,'Fund Allocation Strategy'!$C$12)</f>
        <v>6.8382535909791362E-2</v>
      </c>
      <c r="X45" s="15">
        <f t="shared" ca="1" si="23"/>
        <v>26470.098362552137</v>
      </c>
      <c r="Y45" s="15">
        <f t="shared" ca="1" si="24"/>
        <v>420556.83963908785</v>
      </c>
      <c r="Z45" s="15">
        <f ca="1">IF(B45&lt;=5, Q45*'Fund Allocation Strategy'!$D$2,
 IF(B45&lt;=10, Q45*'Fund Allocation Strategy'!$D$3,
 IF(B45&lt;=15, Q45*'Fund Allocation Strategy'!$D$4,
 IF(B45&lt;=20, Q45*'Fund Allocation Strategy'!$D$5,
 IF(B45&lt;=25, Q45*'Fund Allocation Strategy'!$D$6,
 IF(B45&lt;=30, Q45*'Fund Allocation Strategy'!$D$7,
 Q45*'Fund Allocation Strategy'!$D$8))))))</f>
        <v>5998.4284583318631</v>
      </c>
      <c r="AA45" s="16">
        <f ca="1">_xlfn.NORM.INV(RAND(),'Fund Allocation Strategy'!$B$13,'Fund Allocation Strategy'!$C$13)</f>
        <v>0.10340014730893859</v>
      </c>
      <c r="AB45" s="15">
        <f t="shared" ca="1" si="25"/>
        <v>94841.575030072607</v>
      </c>
      <c r="AC45" s="15">
        <f t="shared" ca="1" si="26"/>
        <v>1015069.4151209145</v>
      </c>
      <c r="AD45" s="15">
        <f ca="1">IF(B45&lt;=5, Q45*'Fund Allocation Strategy'!$E$2,
 IF(B45&lt;=10, Q45*'Fund Allocation Strategy'!$E$3,
 IF(B45&lt;=15, Q45*'Fund Allocation Strategy'!$E$4,
 IF(B45&lt;=20, Q45*'Fund Allocation Strategy'!$E$5,
 IF(B45&lt;=25, Q45*'Fund Allocation Strategy'!$E$6,
 IF(B45&lt;=30, Q45*'Fund Allocation Strategy'!$E$7,
 Q45*'Fund Allocation Strategy'!$E$8))))))</f>
        <v>0</v>
      </c>
      <c r="AE45" s="16">
        <f ca="1">_xlfn.NORM.INV(RAND(), 'Fund Allocation Strategy'!$B$14, 'Fund Allocation Strategy'!$C$14) + _xlfn.NORM.INV(RAND(), 'Fund Allocation Strategy'!$D$14,'Fund Allocation Strategy'!$E$14)</f>
        <v>0.25331913856761057</v>
      </c>
      <c r="AF45" s="15">
        <f t="shared" ca="1" si="15"/>
        <v>315368.83294456464</v>
      </c>
      <c r="AG45" s="15">
        <f ca="1">IF(B45&lt;=5, Q45*'Fund Allocation Strategy'!$F$2,
 IF(B45&lt;=10, Q45*'Fund Allocation Strategy'!$F$3,
 IF(B45&lt;=15, Q45*'Fund Allocation Strategy'!$F$4,
 IF(B45&lt;=20, Q45*'Fund Allocation Strategy'!$F$5,
 IF(B45&lt;=25, Q45*'Fund Allocation Strategy'!$F$6,
 IF(B45&lt;=30, Q45*'Fund Allocation Strategy'!$F$7,
 Q45*'Fund Allocation Strategy'!$F$8))))))</f>
        <v>0</v>
      </c>
      <c r="AH45" s="16">
        <f ca="1">_xlfn.NORM.INV(RAND(),'Fund Allocation Strategy'!$B$15,'Fund Allocation Strategy'!$C$15)</f>
        <v>0.21953088478116195</v>
      </c>
      <c r="AI45" s="15">
        <f t="shared" ca="1" si="27"/>
        <v>4.4688022726696785E-3</v>
      </c>
      <c r="AJ45" s="15">
        <f t="shared" ca="1" si="16"/>
        <v>44427.963453898446</v>
      </c>
      <c r="AK45" s="15">
        <f t="shared" ca="1" si="6"/>
        <v>23404.733428678184</v>
      </c>
      <c r="AL45" s="17">
        <f t="shared" ca="1" si="7"/>
        <v>1.4999999999999999E-2</v>
      </c>
      <c r="AM45" s="15">
        <f t="shared" ca="1" si="17"/>
        <v>1560315.5619118791</v>
      </c>
      <c r="AN45" s="15">
        <f t="shared" ca="1" si="18"/>
        <v>1536910.8284832009</v>
      </c>
      <c r="AO45" s="15" t="str">
        <f ca="1">IF(AV45 = 0, I45 * (
    'Lifestyle Strategy'!$B$2 +
    ('Lifestyle Strategy'!$C$2 - 'Lifestyle Strategy'!$B$2) *
    _xlfn.BETA.INV(RAND(), 'Lifestyle Strategy'!$F$2, 'Lifestyle Strategy'!$G$2)
),IF(AV45 = "", "",0))</f>
        <v/>
      </c>
      <c r="AP45" s="15">
        <f ca="1" xml:space="preserve"> I45 * (
    'Lifestyle Strategy'!$B$3 +
    ('Lifestyle Strategy'!$C$3 - 'Lifestyle Strategy'!$B$3) *
    _xlfn.BETA.INV(RAND(), 'Lifestyle Strategy'!$F$3, 'Lifestyle Strategy'!$G$3)
) * IF(MOD(B45,5)=0, 1 + 'Lifestyle Strategy'!$M$4, 1 + 0.025)</f>
        <v>30264.397918346171</v>
      </c>
      <c r="AQ45" s="15">
        <f ca="1" xml:space="preserve"> I45 * (
    'Lifestyle Strategy'!$B$4 +
    ('Lifestyle Strategy'!$C$4 - 'Lifestyle Strategy'!$B$4) *
    _xlfn.BETA.INV(RAND(), 'Lifestyle Strategy'!$F$4, 'Lifestyle Strategy'!$G$4)
) * IF(MOD(B45,5)=0, 1 + 'Lifestyle Strategy'!$M$4, 1 + 0.025)</f>
        <v>17347.349877926179</v>
      </c>
      <c r="AR45" s="15">
        <f ca="1" xml:space="preserve"> I45 * (
    'Lifestyle Strategy'!$B$5 +
    ('Lifestyle Strategy'!$C$5 - 'Lifestyle Strategy'!$B$5) *
    _xlfn.BETA.INV(RAND(), 'Lifestyle Strategy'!$F$5, 'Lifestyle Strategy'!$G$5)
) * IF(MOD(B45,5)=0, 1 + 'Lifestyle Strategy'!$M$4, 1 + 0.025)</f>
        <v>14145.635441298966</v>
      </c>
      <c r="AS45" s="15">
        <f ca="1" xml:space="preserve"> I45 * (
    'Lifestyle Strategy'!$B$6 +
    ('Lifestyle Strategy'!$C$6 - 'Lifestyle Strategy'!$B$6) *
    _xlfn.BETA.INV(RAND(), 'Lifestyle Strategy'!$F$6, 'Lifestyle Strategy'!$G$6)
) * IF(MOD(B45,5)=0, 1 + 'Lifestyle Strategy'!$M$4, 1 + 0.025)</f>
        <v>14836.437766671092</v>
      </c>
      <c r="AT45" s="15">
        <f ca="1" xml:space="preserve"> I45 * (
    'Lifestyle Strategy'!$B$7 +
    ('Lifestyle Strategy'!$C$7 - 'Lifestyle Strategy'!$B$7) *
    _xlfn.BETA.INV(RAND(), 'Lifestyle Strategy'!$F$7, 'Lifestyle Strategy'!$G$7)
) * IF(MOD(B45,5)=0, 1 + 'Lifestyle Strategy'!$M$4, 1 + 0.025)</f>
        <v>25581.138195268166</v>
      </c>
      <c r="AU45" s="15">
        <f ca="1" xml:space="preserve"> I45 * (
    'Lifestyle Strategy'!$B$8 +
    ('Lifestyle Strategy'!$C$8 - 'Lifestyle Strategy'!$B$8) *
    _xlfn.BETA.INV(RAND(), 'Lifestyle Strategy'!$F$8, 'Lifestyle Strategy'!$G$8)
) * IF(MOD(B45,5)=0, 1 + 'Lifestyle Strategy'!$M$4, 1 + 0.025)</f>
        <v>9439.9374140947621</v>
      </c>
      <c r="AV45" s="15" t="str">
        <f ca="1">IF('Lifestyle Strategy'!$B$14 = "Yes",
   IF(AND(B45&gt;='Lifestyle Strategy'!$B$15, B45&lt;'Lifestyle Strategy'!$B$16),
      'Lifestyle Strategy'!$B$25,
      IF(B45&gt;='Lifestyle Strategy'!$B$16, "",
         0)
   ),
   0
)</f>
        <v/>
      </c>
      <c r="AW45" s="15">
        <f ca="1">IF('Lifestyle Strategy'!$Q$4="No", 0,
   IF(AND(B45&gt;='Lifestyle Strategy'!$Q$5, B45&lt;'Lifestyle Strategy'!$Q$6),
      'Lifestyle Strategy'!$Q$8 * (1.025^(B45-'Lifestyle Strategy'!$Q$5)) * (1.12^INT((B45-'Lifestyle Strategy'!$Q$5)/5)),
      0
   )
)</f>
        <v>0</v>
      </c>
      <c r="AX45" s="15">
        <f t="shared" ca="1" si="8"/>
        <v>111614.89661360534</v>
      </c>
      <c r="AY45" s="15">
        <f ca="1">IF(B45='Lifestyle Strategy'!$Q$10, MIN(AN45, 'Lifestyle Strategy'!$Q$11), 0)</f>
        <v>0</v>
      </c>
      <c r="AZ45" s="15">
        <f ca="1">IF(B45='Lifestyle Strategy'!$Q$10, 'Lifestyle Strategy'!$Q$11, 0)</f>
        <v>0</v>
      </c>
      <c r="BA45" s="15">
        <f ca="1">IF(B45='Lifestyle Strategy'!$Q$10, MAX(AZ45 - AY45, 0), 0)</f>
        <v>0</v>
      </c>
      <c r="BB45" s="26">
        <f t="shared" ca="1" si="19"/>
        <v>3316744.4939773297</v>
      </c>
      <c r="BC45" s="18" t="str">
        <f t="shared" ca="1" si="20"/>
        <v>$3.32M</v>
      </c>
      <c r="BD45" s="27"/>
      <c r="BT45" s="99" t="s">
        <v>7</v>
      </c>
      <c r="BU45" s="15">
        <f ca="1">COUNT(BM50:BM5049)</f>
        <v>5000</v>
      </c>
      <c r="BV45" s="15">
        <f ca="1">COUNT(BN50:BN5049)</f>
        <v>5000</v>
      </c>
      <c r="BW45" s="102">
        <f ca="1">COUNT(BO50:BO5049)</f>
        <v>5000</v>
      </c>
      <c r="BX45" s="102">
        <f ca="1">COUNT(BP50:BP5049)</f>
        <v>5000</v>
      </c>
    </row>
    <row r="46" spans="1:80" x14ac:dyDescent="0.2">
      <c r="A46" s="8"/>
      <c r="B46" s="8">
        <v>33</v>
      </c>
      <c r="C46" s="8">
        <v>63</v>
      </c>
      <c r="D46" s="15">
        <f t="shared" ca="1" si="21"/>
        <v>429242.96542858059</v>
      </c>
      <c r="E46" s="15">
        <f t="shared" ca="1" si="28"/>
        <v>16043.474664540379</v>
      </c>
      <c r="F46" s="16">
        <f t="shared" ca="1" si="22"/>
        <v>3.8827430873340771E-2</v>
      </c>
      <c r="G46" s="15">
        <f ca="1">'Tax rate cal'!C43</f>
        <v>145959.19401714642</v>
      </c>
      <c r="H46" s="15">
        <f t="shared" ca="1" si="9"/>
        <v>7168.3575226572957</v>
      </c>
      <c r="I46" s="15">
        <f t="shared" ca="1" si="10"/>
        <v>276115.41388877685</v>
      </c>
      <c r="J46" s="16">
        <f t="shared" ca="1" si="11"/>
        <v>0.12</v>
      </c>
      <c r="K46" s="16">
        <v>0.03</v>
      </c>
      <c r="L46" s="17">
        <f ca="1">IF(O46 = 0,0,'Lifestyle Strategy'!$Q$9)</f>
        <v>0</v>
      </c>
      <c r="M46" s="15">
        <f t="shared" ca="1" si="3"/>
        <v>33133.849666653223</v>
      </c>
      <c r="N46" s="15">
        <f t="shared" ca="1" si="4"/>
        <v>8283.4624166633057</v>
      </c>
      <c r="O46" s="15">
        <f ca="1">IF(AND('Lifestyle Strategy'!$Q$2="Yes", B46 &gt;='Lifestyle Strategy'!$Q$3),
     I46 * 'Lifestyle Strategy'!$Q$9,
     0
)</f>
        <v>0</v>
      </c>
      <c r="P46" s="8">
        <f t="shared" si="5"/>
        <v>0</v>
      </c>
      <c r="Q46" s="15">
        <f t="shared" ca="1" si="12"/>
        <v>41417.31208331653</v>
      </c>
      <c r="R46" s="15">
        <f ca="1">IF(B46&lt;=5, Q46*'Fund Allocation Strategy'!$B$2,
 IF(B46&lt;=10, Q46*'Fund Allocation Strategy'!$B$3,
 IF(B46&lt;=15, Q46*'Fund Allocation Strategy'!$B$4,
 IF(B46&lt;=20, Q46*'Fund Allocation Strategy'!$B$5,
 IF(B46&lt;=25, Q46*'Fund Allocation Strategy'!$B$6,
 IF(B46&lt;=30, Q46*'Fund Allocation Strategy'!$B$7,
 Q46*'Fund Allocation Strategy'!$B$8))))))</f>
        <v>20708.656041658265</v>
      </c>
      <c r="S46" s="17">
        <f ca="1">_xlfn.NORM.INV(RAND(),'Fund Allocation Strategy'!$B$11,'Fund Allocation Strategy'!$C$11)</f>
        <v>3.679625360166431E-2</v>
      </c>
      <c r="T46" s="15">
        <f t="shared" ca="1" si="13"/>
        <v>11411.761046419268</v>
      </c>
      <c r="U46" s="15">
        <f t="shared" ca="1" si="14"/>
        <v>331899.86436830537</v>
      </c>
      <c r="V46" s="15">
        <f ca="1">IF(B46&lt;=5, Q46*'Fund Allocation Strategy'!$C$2,
 IF(B46&lt;=10, Q46*'Fund Allocation Strategy'!$C$3,
 IF(B46&lt;=15, Q46*'Fund Allocation Strategy'!$C$4,
 IF(B46&lt;=20, Q46*'Fund Allocation Strategy'!$C$5,
 IF(B46&lt;=25, Q46*'Fund Allocation Strategy'!$C$6,
 IF(B46&lt;=30, Q46*'Fund Allocation Strategy'!$C$7,
 Q46*'Fund Allocation Strategy'!$C$8))))))</f>
        <v>14496.059229160785</v>
      </c>
      <c r="W46" s="16">
        <f ca="1">_xlfn.NORM.INV(RAND(),'Fund Allocation Strategy'!$B$12,'Fund Allocation Strategy'!$C$12)</f>
        <v>7.1023324662170248E-2</v>
      </c>
      <c r="X46" s="15">
        <f t="shared" ca="1" si="23"/>
        <v>30384.124121060573</v>
      </c>
      <c r="Y46" s="15">
        <f t="shared" ca="1" si="24"/>
        <v>465437.02298930922</v>
      </c>
      <c r="Z46" s="15">
        <f ca="1">IF(B46&lt;=5, Q46*'Fund Allocation Strategy'!$D$2,
 IF(B46&lt;=10, Q46*'Fund Allocation Strategy'!$D$3,
 IF(B46&lt;=15, Q46*'Fund Allocation Strategy'!$D$4,
 IF(B46&lt;=20, Q46*'Fund Allocation Strategy'!$D$5,
 IF(B46&lt;=25, Q46*'Fund Allocation Strategy'!$D$6,
 IF(B46&lt;=30, Q46*'Fund Allocation Strategy'!$D$7,
 Q46*'Fund Allocation Strategy'!$D$8))))))</f>
        <v>6212.5968124974797</v>
      </c>
      <c r="AA46" s="16">
        <f ca="1">_xlfn.NORM.INV(RAND(),'Fund Allocation Strategy'!$B$13,'Fund Allocation Strategy'!$C$13)</f>
        <v>9.9005008779677189E-2</v>
      </c>
      <c r="AB46" s="15">
        <f t="shared" ca="1" si="25"/>
        <v>100804.49545701087</v>
      </c>
      <c r="AC46" s="15">
        <f t="shared" ca="1" si="26"/>
        <v>1122086.5073904227</v>
      </c>
      <c r="AD46" s="15">
        <f ca="1">IF(B46&lt;=5, Q46*'Fund Allocation Strategy'!$E$2,
 IF(B46&lt;=10, Q46*'Fund Allocation Strategy'!$E$3,
 IF(B46&lt;=15, Q46*'Fund Allocation Strategy'!$E$4,
 IF(B46&lt;=20, Q46*'Fund Allocation Strategy'!$E$5,
 IF(B46&lt;=25, Q46*'Fund Allocation Strategy'!$E$6,
 IF(B46&lt;=30, Q46*'Fund Allocation Strategy'!$E$7,
 Q46*'Fund Allocation Strategy'!$E$8))))))</f>
        <v>0</v>
      </c>
      <c r="AE46" s="16">
        <f ca="1">_xlfn.NORM.INV(RAND(), 'Fund Allocation Strategy'!$B$14, 'Fund Allocation Strategy'!$C$14) + _xlfn.NORM.INV(RAND(), 'Fund Allocation Strategy'!$D$14,'Fund Allocation Strategy'!$E$14)</f>
        <v>0.25211042897792285</v>
      </c>
      <c r="AF46" s="15">
        <f t="shared" ca="1" si="15"/>
        <v>393371.82565453259</v>
      </c>
      <c r="AG46" s="15">
        <f ca="1">IF(B46&lt;=5, Q46*'Fund Allocation Strategy'!$F$2,
 IF(B46&lt;=10, Q46*'Fund Allocation Strategy'!$F$3,
 IF(B46&lt;=15, Q46*'Fund Allocation Strategy'!$F$4,
 IF(B46&lt;=20, Q46*'Fund Allocation Strategy'!$F$5,
 IF(B46&lt;=25, Q46*'Fund Allocation Strategy'!$F$6,
 IF(B46&lt;=30, Q46*'Fund Allocation Strategy'!$F$7,
 Q46*'Fund Allocation Strategy'!$F$8))))))</f>
        <v>0</v>
      </c>
      <c r="AH46" s="16">
        <f ca="1">_xlfn.NORM.INV(RAND(),'Fund Allocation Strategy'!$B$15,'Fund Allocation Strategy'!$C$15)</f>
        <v>0.20976426406864881</v>
      </c>
      <c r="AI46" s="15">
        <f t="shared" ca="1" si="27"/>
        <v>9.3739501999486041E-4</v>
      </c>
      <c r="AJ46" s="15">
        <f t="shared" ca="1" si="16"/>
        <v>44427.96439129347</v>
      </c>
      <c r="AK46" s="15">
        <f t="shared" ca="1" si="6"/>
        <v>29305.310813496173</v>
      </c>
      <c r="AL46" s="17">
        <f t="shared" ca="1" si="7"/>
        <v>1.4999999999999999E-2</v>
      </c>
      <c r="AM46" s="15">
        <f t="shared" ca="1" si="17"/>
        <v>1953687.3875664116</v>
      </c>
      <c r="AN46" s="15">
        <f t="shared" ca="1" si="18"/>
        <v>1924382.0767529155</v>
      </c>
      <c r="AO46" s="15" t="str">
        <f ca="1">IF(AV46 = 0, I46 * (
    'Lifestyle Strategy'!$B$2 +
    ('Lifestyle Strategy'!$C$2 - 'Lifestyle Strategy'!$B$2) *
    _xlfn.BETA.INV(RAND(), 'Lifestyle Strategy'!$F$2, 'Lifestyle Strategy'!$G$2)
),IF(AV46 = "", "",0))</f>
        <v/>
      </c>
      <c r="AP46" s="15">
        <f ca="1" xml:space="preserve"> I46 * (
    'Lifestyle Strategy'!$B$3 +
    ('Lifestyle Strategy'!$C$3 - 'Lifestyle Strategy'!$B$3) *
    _xlfn.BETA.INV(RAND(), 'Lifestyle Strategy'!$F$3, 'Lifestyle Strategy'!$G$3)
) * IF(MOD(B46,5)=0, 1 + 'Lifestyle Strategy'!$M$4, 1 + 0.025)</f>
        <v>38117.164289681634</v>
      </c>
      <c r="AQ46" s="15">
        <f ca="1" xml:space="preserve"> I46 * (
    'Lifestyle Strategy'!$B$4 +
    ('Lifestyle Strategy'!$C$4 - 'Lifestyle Strategy'!$B$4) *
    _xlfn.BETA.INV(RAND(), 'Lifestyle Strategy'!$F$4, 'Lifestyle Strategy'!$G$4)
) * IF(MOD(B46,5)=0, 1 + 'Lifestyle Strategy'!$M$4, 1 + 0.025)</f>
        <v>23170.839879158157</v>
      </c>
      <c r="AR46" s="15">
        <f ca="1" xml:space="preserve"> I46 * (
    'Lifestyle Strategy'!$B$5 +
    ('Lifestyle Strategy'!$C$5 - 'Lifestyle Strategy'!$B$5) *
    _xlfn.BETA.INV(RAND(), 'Lifestyle Strategy'!$F$5, 'Lifestyle Strategy'!$G$5)
) * IF(MOD(B46,5)=0, 1 + 'Lifestyle Strategy'!$M$4, 1 + 0.025)</f>
        <v>13887.892978674083</v>
      </c>
      <c r="AS46" s="15">
        <f ca="1" xml:space="preserve"> I46 * (
    'Lifestyle Strategy'!$B$6 +
    ('Lifestyle Strategy'!$C$6 - 'Lifestyle Strategy'!$B$6) *
    _xlfn.BETA.INV(RAND(), 'Lifestyle Strategy'!$F$6, 'Lifestyle Strategy'!$G$6)
) * IF(MOD(B46,5)=0, 1 + 'Lifestyle Strategy'!$M$4, 1 + 0.025)</f>
        <v>13540.588996192402</v>
      </c>
      <c r="AT46" s="15">
        <f ca="1" xml:space="preserve"> I46 * (
    'Lifestyle Strategy'!$B$7 +
    ('Lifestyle Strategy'!$C$7 - 'Lifestyle Strategy'!$B$7) *
    _xlfn.BETA.INV(RAND(), 'Lifestyle Strategy'!$F$7, 'Lifestyle Strategy'!$G$7)
) * IF(MOD(B46,5)=0, 1 + 'Lifestyle Strategy'!$M$4, 1 + 0.025)</f>
        <v>26662.425202820468</v>
      </c>
      <c r="AU46" s="15">
        <f ca="1" xml:space="preserve"> I46 * (
    'Lifestyle Strategy'!$B$8 +
    ('Lifestyle Strategy'!$C$8 - 'Lifestyle Strategy'!$B$8) *
    _xlfn.BETA.INV(RAND(), 'Lifestyle Strategy'!$F$8, 'Lifestyle Strategy'!$G$8)
) * IF(MOD(B46,5)=0, 1 + 'Lifestyle Strategy'!$M$4, 1 + 0.025)</f>
        <v>13918.330759257226</v>
      </c>
      <c r="AV46" s="15" t="str">
        <f ca="1">IF('Lifestyle Strategy'!$B$14 = "Yes",
   IF(AND(B46&gt;='Lifestyle Strategy'!$B$15, B46&lt;'Lifestyle Strategy'!$B$16),
      'Lifestyle Strategy'!$B$25,
      IF(B46&gt;='Lifestyle Strategy'!$B$16, "",
         0)
   ),
   0
)</f>
        <v/>
      </c>
      <c r="AW46" s="15">
        <f ca="1">IF('Lifestyle Strategy'!$Q$4="No", 0,
   IF(AND(B46&gt;='Lifestyle Strategy'!$Q$5, B46&lt;'Lifestyle Strategy'!$Q$6),
      'Lifestyle Strategy'!$Q$8 * (1.025^(B46-'Lifestyle Strategy'!$Q$5)) * (1.12^INT((B46-'Lifestyle Strategy'!$Q$5)/5)),
      0
   )
)</f>
        <v>0</v>
      </c>
      <c r="AX46" s="15">
        <f t="shared" ca="1" si="8"/>
        <v>129297.24210578395</v>
      </c>
      <c r="AY46" s="15">
        <f ca="1">IF(B46='Lifestyle Strategy'!$Q$10, MIN(AN46, 'Lifestyle Strategy'!$Q$11), 0)</f>
        <v>0</v>
      </c>
      <c r="AZ46" s="15">
        <f ca="1">IF(B46='Lifestyle Strategy'!$Q$10, 'Lifestyle Strategy'!$Q$11, 0)</f>
        <v>0</v>
      </c>
      <c r="BA46" s="15">
        <f ca="1">IF(B46='Lifestyle Strategy'!$Q$10, MAX(AZ46 - AY46, 0), 0)</f>
        <v>0</v>
      </c>
      <c r="BB46" s="26">
        <f t="shared" ca="1" si="19"/>
        <v>3888233.4358922462</v>
      </c>
      <c r="BC46" s="18" t="str">
        <f t="shared" ca="1" si="20"/>
        <v>$3.89M</v>
      </c>
      <c r="BD46" s="27"/>
      <c r="BT46" s="99" t="s">
        <v>14</v>
      </c>
      <c r="BU46" s="15">
        <f ca="1">MIN(BM50:BM5049)</f>
        <v>1119930.7636120068</v>
      </c>
      <c r="BV46" s="15">
        <f ca="1">MIN(BN50:BN5049)</f>
        <v>-645541.79345646873</v>
      </c>
      <c r="BW46" s="102">
        <f ca="1">MIN(BO50:BO5049)</f>
        <v>765529.22508127638</v>
      </c>
      <c r="BX46" s="102">
        <f ca="1">MIN(BP50:BP5049)</f>
        <v>1913123.4742828216</v>
      </c>
    </row>
    <row r="47" spans="1:80" x14ac:dyDescent="0.2">
      <c r="A47" s="8"/>
      <c r="B47" s="8">
        <v>34</v>
      </c>
      <c r="C47" s="8">
        <v>64</v>
      </c>
      <c r="D47" s="15">
        <f t="shared" ca="1" si="21"/>
        <v>439906.54573228961</v>
      </c>
      <c r="E47" s="15">
        <f t="shared" ca="1" si="28"/>
        <v>10663.580303709023</v>
      </c>
      <c r="F47" s="19">
        <f t="shared" ca="1" si="22"/>
        <v>2.4842760773171664E-2</v>
      </c>
      <c r="G47" s="15">
        <f ca="1">'Tax rate cal'!C44</f>
        <v>150117.99033559294</v>
      </c>
      <c r="H47" s="15">
        <f t="shared" ca="1" si="9"/>
        <v>7346.4393137292363</v>
      </c>
      <c r="I47" s="15">
        <f t="shared" ca="1" si="10"/>
        <v>282442.11608296743</v>
      </c>
      <c r="J47" s="16">
        <f t="shared" ca="1" si="11"/>
        <v>0.12</v>
      </c>
      <c r="K47" s="19">
        <v>0.03</v>
      </c>
      <c r="L47" s="17">
        <f ca="1">IF(O47 = 0,0,'Lifestyle Strategy'!$Q$9)</f>
        <v>0</v>
      </c>
      <c r="M47" s="15">
        <f t="shared" ca="1" si="3"/>
        <v>33893.053929956091</v>
      </c>
      <c r="N47" s="15">
        <f t="shared" ca="1" si="4"/>
        <v>8473.2634824890229</v>
      </c>
      <c r="O47" s="15">
        <f ca="1">IF(AND('Lifestyle Strategy'!$Q$2="Yes", B47 &gt;='Lifestyle Strategy'!$Q$3),
     I47 * 'Lifestyle Strategy'!$Q$9,
     0
)</f>
        <v>0</v>
      </c>
      <c r="P47" s="8">
        <f t="shared" si="5"/>
        <v>0</v>
      </c>
      <c r="Q47" s="15">
        <f t="shared" ca="1" si="12"/>
        <v>42366.317412445118</v>
      </c>
      <c r="R47" s="15">
        <f ca="1">IF(B47&lt;=5, Q47*'Fund Allocation Strategy'!$B$2,
 IF(B47&lt;=10, Q47*'Fund Allocation Strategy'!$B$3,
 IF(B47&lt;=15, Q47*'Fund Allocation Strategy'!$B$4,
 IF(B47&lt;=20, Q47*'Fund Allocation Strategy'!$B$5,
 IF(B47&lt;=25, Q47*'Fund Allocation Strategy'!$B$6,
 IF(B47&lt;=30, Q47*'Fund Allocation Strategy'!$B$7,
 Q47*'Fund Allocation Strategy'!$B$8))))))</f>
        <v>21183.158706222559</v>
      </c>
      <c r="S47" s="20">
        <f ca="1">_xlfn.NORM.INV(RAND(),'Fund Allocation Strategy'!$B$11,'Fund Allocation Strategy'!$C$11)</f>
        <v>3.7764420587257042E-2</v>
      </c>
      <c r="T47" s="15">
        <f t="shared" ca="1" si="13"/>
        <v>12933.990928232453</v>
      </c>
      <c r="U47" s="15">
        <f t="shared" ca="1" si="14"/>
        <v>366017.01400276035</v>
      </c>
      <c r="V47" s="15">
        <f ca="1">IF(B47&lt;=5, Q47*'Fund Allocation Strategy'!$C$2,
 IF(B47&lt;=10, Q47*'Fund Allocation Strategy'!$C$3,
 IF(B47&lt;=15, Q47*'Fund Allocation Strategy'!$C$4,
 IF(B47&lt;=20, Q47*'Fund Allocation Strategy'!$C$5,
 IF(B47&lt;=25, Q47*'Fund Allocation Strategy'!$C$6,
 IF(B47&lt;=30, Q47*'Fund Allocation Strategy'!$C$7,
 Q47*'Fund Allocation Strategy'!$C$8))))))</f>
        <v>14828.211094355791</v>
      </c>
      <c r="W47" s="19">
        <f ca="1">_xlfn.NORM.INV(RAND(),'Fund Allocation Strategy'!$B$12,'Fund Allocation Strategy'!$C$12)</f>
        <v>7.2419953160324749E-2</v>
      </c>
      <c r="X47" s="15">
        <f t="shared" ca="1" si="23"/>
        <v>34243.856580419095</v>
      </c>
      <c r="Y47" s="15">
        <f t="shared" ca="1" si="24"/>
        <v>514509.09066408413</v>
      </c>
      <c r="Z47" s="15">
        <f ca="1">IF(B47&lt;=5, Q47*'Fund Allocation Strategy'!$D$2,
 IF(B47&lt;=10, Q47*'Fund Allocation Strategy'!$D$3,
 IF(B47&lt;=15, Q47*'Fund Allocation Strategy'!$D$4,
 IF(B47&lt;=20, Q47*'Fund Allocation Strategy'!$D$5,
 IF(B47&lt;=25, Q47*'Fund Allocation Strategy'!$D$6,
 IF(B47&lt;=30, Q47*'Fund Allocation Strategy'!$D$7,
 Q47*'Fund Allocation Strategy'!$D$8))))))</f>
        <v>6354.9476118667671</v>
      </c>
      <c r="AA47" s="19">
        <f ca="1">_xlfn.NORM.INV(RAND(),'Fund Allocation Strategy'!$B$13,'Fund Allocation Strategy'!$C$13)</f>
        <v>0.10348564817938957</v>
      </c>
      <c r="AB47" s="15">
        <f t="shared" ca="1" si="25"/>
        <v>116448.67246702536</v>
      </c>
      <c r="AC47" s="15">
        <f t="shared" ca="1" si="26"/>
        <v>1244890.127469315</v>
      </c>
      <c r="AD47" s="15">
        <f ca="1">IF(B47&lt;=5, Q47*'Fund Allocation Strategy'!$E$2,
 IF(B47&lt;=10, Q47*'Fund Allocation Strategy'!$E$3,
 IF(B47&lt;=15, Q47*'Fund Allocation Strategy'!$E$4,
 IF(B47&lt;=20, Q47*'Fund Allocation Strategy'!$E$5,
 IF(B47&lt;=25, Q47*'Fund Allocation Strategy'!$E$6,
 IF(B47&lt;=30, Q47*'Fund Allocation Strategy'!$E$7,
 Q47*'Fund Allocation Strategy'!$E$8))))))</f>
        <v>0</v>
      </c>
      <c r="AE47" s="16">
        <f ca="1">_xlfn.NORM.INV(RAND(), 'Fund Allocation Strategy'!$B$14, 'Fund Allocation Strategy'!$C$14) + _xlfn.NORM.INV(RAND(), 'Fund Allocation Strategy'!$D$14,'Fund Allocation Strategy'!$E$14)</f>
        <v>0.27064059342545416</v>
      </c>
      <c r="AF47" s="15">
        <f t="shared" ca="1" si="15"/>
        <v>528747.1139387989</v>
      </c>
      <c r="AG47" s="15">
        <f ca="1">IF(B47&lt;=5, Q47*'Fund Allocation Strategy'!$F$2,
 IF(B47&lt;=10, Q47*'Fund Allocation Strategy'!$F$3,
 IF(B47&lt;=15, Q47*'Fund Allocation Strategy'!$F$4,
 IF(B47&lt;=20, Q47*'Fund Allocation Strategy'!$F$5,
 IF(B47&lt;=25, Q47*'Fund Allocation Strategy'!$F$6,
 IF(B47&lt;=30, Q47*'Fund Allocation Strategy'!$F$7,
 Q47*'Fund Allocation Strategy'!$F$8))))))</f>
        <v>0</v>
      </c>
      <c r="AH47" s="19">
        <f ca="1">_xlfn.NORM.INV(RAND(),'Fund Allocation Strategy'!$B$15,'Fund Allocation Strategy'!$C$15)</f>
        <v>0.21126227691209895</v>
      </c>
      <c r="AI47" s="15">
        <f t="shared" ca="1" si="27"/>
        <v>1.9803620629017674E-4</v>
      </c>
      <c r="AJ47" s="15">
        <f t="shared" ca="1" si="16"/>
        <v>44427.964589329677</v>
      </c>
      <c r="AK47" s="15">
        <f t="shared" ca="1" si="6"/>
        <v>37236.517522578157</v>
      </c>
      <c r="AL47" s="20">
        <f t="shared" ca="1" si="7"/>
        <v>1.4999999999999999E-2</v>
      </c>
      <c r="AM47" s="15">
        <f t="shared" ca="1" si="17"/>
        <v>2482434.5015052105</v>
      </c>
      <c r="AN47" s="15">
        <f t="shared" ca="1" si="18"/>
        <v>2445197.9839826324</v>
      </c>
      <c r="AO47" s="15" t="str">
        <f ca="1">IF(AV47 = 0, I47 * (
    'Lifestyle Strategy'!$B$2 +
    ('Lifestyle Strategy'!$C$2 - 'Lifestyle Strategy'!$B$2) *
    _xlfn.BETA.INV(RAND(), 'Lifestyle Strategy'!$F$2, 'Lifestyle Strategy'!$G$2)
),IF(AV47 = "", "",0))</f>
        <v/>
      </c>
      <c r="AP47" s="15">
        <f ca="1" xml:space="preserve"> I47 * (
    'Lifestyle Strategy'!$B$3 +
    ('Lifestyle Strategy'!$C$3 - 'Lifestyle Strategy'!$B$3) *
    _xlfn.BETA.INV(RAND(), 'Lifestyle Strategy'!$F$3, 'Lifestyle Strategy'!$G$3)
) * IF(MOD(B47,5)=0, 1 + 'Lifestyle Strategy'!$M$4, 1 + 0.025)</f>
        <v>36525.654408477218</v>
      </c>
      <c r="AQ47" s="15">
        <f ca="1" xml:space="preserve"> I47 * (
    'Lifestyle Strategy'!$B$4 +
    ('Lifestyle Strategy'!$C$4 - 'Lifestyle Strategy'!$B$4) *
    _xlfn.BETA.INV(RAND(), 'Lifestyle Strategy'!$F$4, 'Lifestyle Strategy'!$G$4)
) * IF(MOD(B47,5)=0, 1 + 'Lifestyle Strategy'!$M$4, 1 + 0.025)</f>
        <v>24551.93392273306</v>
      </c>
      <c r="AR47" s="15">
        <f ca="1" xml:space="preserve"> I47 * (
    'Lifestyle Strategy'!$B$5 +
    ('Lifestyle Strategy'!$C$5 - 'Lifestyle Strategy'!$B$5) *
    _xlfn.BETA.INV(RAND(), 'Lifestyle Strategy'!$F$5, 'Lifestyle Strategy'!$G$5)
) * IF(MOD(B47,5)=0, 1 + 'Lifestyle Strategy'!$M$4, 1 + 0.025)</f>
        <v>13680.600978178434</v>
      </c>
      <c r="AS47" s="15">
        <f ca="1" xml:space="preserve"> I47 * (
    'Lifestyle Strategy'!$B$6 +
    ('Lifestyle Strategy'!$C$6 - 'Lifestyle Strategy'!$B$6) *
    _xlfn.BETA.INV(RAND(), 'Lifestyle Strategy'!$F$6, 'Lifestyle Strategy'!$G$6)
) * IF(MOD(B47,5)=0, 1 + 'Lifestyle Strategy'!$M$4, 1 + 0.025)</f>
        <v>15258.568070146297</v>
      </c>
      <c r="AT47" s="15">
        <f ca="1" xml:space="preserve"> I47 * (
    'Lifestyle Strategy'!$B$7 +
    ('Lifestyle Strategy'!$C$7 - 'Lifestyle Strategy'!$B$7) *
    _xlfn.BETA.INV(RAND(), 'Lifestyle Strategy'!$F$7, 'Lifestyle Strategy'!$G$7)
) * IF(MOD(B47,5)=0, 1 + 'Lifestyle Strategy'!$M$4, 1 + 0.025)</f>
        <v>34532.055707890562</v>
      </c>
      <c r="AU47" s="15">
        <f ca="1" xml:space="preserve"> I47 * (
    'Lifestyle Strategy'!$B$8 +
    ('Lifestyle Strategy'!$C$8 - 'Lifestyle Strategy'!$B$8) *
    _xlfn.BETA.INV(RAND(), 'Lifestyle Strategy'!$F$8, 'Lifestyle Strategy'!$G$8)
) * IF(MOD(B47,5)=0, 1 + 'Lifestyle Strategy'!$M$4, 1 + 0.025)</f>
        <v>11859.57975351371</v>
      </c>
      <c r="AV47" s="15" t="str">
        <f ca="1">IF('Lifestyle Strategy'!$B$14 = "Yes",
   IF(AND(B47&gt;='Lifestyle Strategy'!$B$15, B47&lt;'Lifestyle Strategy'!$B$16),
      'Lifestyle Strategy'!$B$25,
      IF(B47&gt;='Lifestyle Strategy'!$B$16, "",
         0)
   ),
   0
)</f>
        <v/>
      </c>
      <c r="AW47" s="15">
        <f ca="1">IF('Lifestyle Strategy'!$Q$4="No", 0,
   IF(AND(B47&gt;='Lifestyle Strategy'!$Q$5, B47&lt;'Lifestyle Strategy'!$Q$6),
      'Lifestyle Strategy'!$Q$8 * (1.025^(B47-'Lifestyle Strategy'!$Q$5)) * (1.12^INT((B47-'Lifestyle Strategy'!$Q$5)/5)),
      0
   )
)</f>
        <v>0</v>
      </c>
      <c r="AX47" s="15">
        <f t="shared" ca="1" si="8"/>
        <v>136408.39284093928</v>
      </c>
      <c r="AY47" s="15">
        <f ca="1">IF(B47='Lifestyle Strategy'!$Q$10, MIN(AN47, 'Lifestyle Strategy'!$Q$11), 0)</f>
        <v>0</v>
      </c>
      <c r="AZ47" s="15">
        <f ca="1">IF(B47='Lifestyle Strategy'!$Q$10, 'Lifestyle Strategy'!$Q$11, 0)</f>
        <v>0</v>
      </c>
      <c r="BA47" s="15">
        <f ca="1">IF(B47='Lifestyle Strategy'!$Q$10, MAX(AZ47 - AY47, 0), 0)</f>
        <v>0</v>
      </c>
      <c r="BB47" s="26">
        <f t="shared" ca="1" si="19"/>
        <v>4615042.1807081215</v>
      </c>
      <c r="BC47" s="18" t="str">
        <f t="shared" ca="1" si="20"/>
        <v>$4.62M</v>
      </c>
      <c r="BD47" s="27"/>
      <c r="BT47" s="99" t="s">
        <v>10</v>
      </c>
      <c r="BU47" s="15">
        <f ca="1">MAX(BM50:BM5049)</f>
        <v>30091218.651366577</v>
      </c>
      <c r="BV47" s="15">
        <f ca="1">MAX(BN50:BN5049)</f>
        <v>36244118.492962338</v>
      </c>
      <c r="BW47" s="102">
        <f ca="1">MAX(BO50:BO5049)</f>
        <v>50827539.04091993</v>
      </c>
      <c r="BX47" s="102">
        <f ca="1">MAX(BP50:BP5049)</f>
        <v>7344023.4668739941</v>
      </c>
    </row>
    <row r="48" spans="1:80" x14ac:dyDescent="0.2">
      <c r="A48" s="8"/>
      <c r="B48" s="34">
        <v>35</v>
      </c>
      <c r="C48" s="34">
        <v>65</v>
      </c>
      <c r="D48" s="35">
        <f t="shared" ref="D48" ca="1" si="34">IF(B48&lt;&gt;$B$5,D47*(1+_xlfn.NORM.INV(RAND(),$B$3,$B$4)),D47*(1+_xlfn.NORM.INV(RAND(),$B$3,$B$4))+D47*(1+_xlfn.NORM.INV(RAND(),$B$3,$B$4)))</f>
        <v>453732.79744842189</v>
      </c>
      <c r="E48" s="35">
        <f t="shared" ref="E48" ca="1" si="35">D48-D47</f>
        <v>13826.251716132276</v>
      </c>
      <c r="F48" s="36">
        <f t="shared" ref="F48" ca="1" si="36">E48/D47</f>
        <v>3.142997495778662E-2</v>
      </c>
      <c r="G48" s="35">
        <f ca="1">'Tax rate cal'!C45</f>
        <v>155510.22850488455</v>
      </c>
      <c r="H48" s="35">
        <f t="shared" ref="H48" ca="1" si="37">$B$6*D48</f>
        <v>7577.3377173886456</v>
      </c>
      <c r="I48" s="35">
        <f t="shared" ref="I48" ca="1" si="38">D48-G48-H48</f>
        <v>290645.23122614867</v>
      </c>
      <c r="J48" s="36">
        <f t="shared" ref="J48" ca="1" si="39">MIN($E$2 + INT(B48/$E$3)*$E$4, $E$5)</f>
        <v>0.12</v>
      </c>
      <c r="K48" s="82">
        <v>0.03</v>
      </c>
      <c r="L48" s="33">
        <f ca="1">IF(O48 = 0,0,'Lifestyle Strategy'!$Q$9)</f>
        <v>0</v>
      </c>
      <c r="M48" s="35">
        <f t="shared" ref="M48" ca="1" si="40">I48*J48</f>
        <v>34877.427747137837</v>
      </c>
      <c r="N48" s="35">
        <f t="shared" ref="N48" ca="1" si="41">I48*K48</f>
        <v>8719.3569367844593</v>
      </c>
      <c r="O48" s="35">
        <f ca="1">IF(AND('Lifestyle Strategy'!$Q$2="Yes", B48 &gt;='Lifestyle Strategy'!$Q$3),
     I48 * 'Lifestyle Strategy'!$Q$9,
     0
)</f>
        <v>0</v>
      </c>
      <c r="P48" s="34">
        <f t="shared" ca="1" si="5"/>
        <v>10000</v>
      </c>
      <c r="Q48" s="56">
        <f t="shared" ca="1" si="12"/>
        <v>53596.784683922298</v>
      </c>
      <c r="R48" s="35">
        <f ca="1">IF(B48&lt;=5, Q48*'Fund Allocation Strategy'!$B$2,
 IF(B48&lt;=10, Q48*'Fund Allocation Strategy'!$B$3,
 IF(B48&lt;=15, Q48*'Fund Allocation Strategy'!$B$4,
 IF(B48&lt;=20, Q48*'Fund Allocation Strategy'!$B$5,
 IF(B48&lt;=25, Q48*'Fund Allocation Strategy'!$B$6,
 IF(B48&lt;=30, Q48*'Fund Allocation Strategy'!$B$7,
 Q48*'Fund Allocation Strategy'!$B$8))))))</f>
        <v>26798.392341961149</v>
      </c>
      <c r="S48" s="37">
        <f ca="1">_xlfn.NORM.INV(RAND(),'Fund Allocation Strategy'!$B$11,'Fund Allocation Strategy'!$C$11)</f>
        <v>3.6459178889144205E-2</v>
      </c>
      <c r="T48" s="35">
        <f t="shared" ref="T48" ca="1" si="42">U47*S48+(R48*S48*0.5)</f>
        <v>13833.203480165555</v>
      </c>
      <c r="U48" s="35">
        <f t="shared" ref="U48" ca="1" si="43">U47+R48+T48</f>
        <v>406648.60982488707</v>
      </c>
      <c r="V48" s="35">
        <f ca="1">IF(B48&lt;=5, Q48*'Fund Allocation Strategy'!$C$2,
 IF(B48&lt;=10, Q48*'Fund Allocation Strategy'!$C$3,
 IF(B48&lt;=15, Q48*'Fund Allocation Strategy'!$C$4,
 IF(B48&lt;=20, Q48*'Fund Allocation Strategy'!$C$5,
 IF(B48&lt;=25, Q48*'Fund Allocation Strategy'!$C$6,
 IF(B48&lt;=30, Q48*'Fund Allocation Strategy'!$C$7,
 Q48*'Fund Allocation Strategy'!$C$8))))))</f>
        <v>18758.874639372803</v>
      </c>
      <c r="W48" s="36">
        <f ca="1">_xlfn.NORM.INV(RAND(),'Fund Allocation Strategy'!$B$12,'Fund Allocation Strategy'!$C$12)</f>
        <v>6.8993740094258266E-2</v>
      </c>
      <c r="X48" s="35">
        <f t="shared" ref="X48" ca="1" si="44">Y47*W48 + (V48*W48*0.5)</f>
        <v>36145.028938075811</v>
      </c>
      <c r="Y48" s="35">
        <f t="shared" ref="Y48" ca="1" si="45">Y47+V48+X48</f>
        <v>569412.99424153264</v>
      </c>
      <c r="Z48" s="35">
        <f ca="1">IF(B48&lt;=5, Q48*'Fund Allocation Strategy'!$D$2,
 IF(B48&lt;=10, Q48*'Fund Allocation Strategy'!$D$3,
 IF(B48&lt;=15, Q48*'Fund Allocation Strategy'!$D$4,
 IF(B48&lt;=20, Q48*'Fund Allocation Strategy'!$D$5,
 IF(B48&lt;=25, Q48*'Fund Allocation Strategy'!$D$6,
 IF(B48&lt;=30, Q48*'Fund Allocation Strategy'!$D$7,
 Q48*'Fund Allocation Strategy'!$D$8))))))</f>
        <v>8039.517702588344</v>
      </c>
      <c r="AA48" s="36">
        <f ca="1">_xlfn.NORM.INV(RAND(),'Fund Allocation Strategy'!$B$13,'Fund Allocation Strategy'!$C$13)</f>
        <v>0.10572776116108472</v>
      </c>
      <c r="AB48" s="35">
        <f t="shared" ref="AB48" ca="1" si="46">AC47*AA48+(Z48*AA48*0.5)</f>
        <v>132044.44617262282</v>
      </c>
      <c r="AC48" s="35">
        <f t="shared" ref="AC48" ca="1" si="47">AC47+Z48+AB48</f>
        <v>1384974.091344526</v>
      </c>
      <c r="AD48" s="35">
        <f ca="1">IF(B48&lt;=5, Q48*'Fund Allocation Strategy'!$E$2,
 IF(B48&lt;=10, Q48*'Fund Allocation Strategy'!$E$3,
 IF(B48&lt;=15, Q48*'Fund Allocation Strategy'!$E$4,
 IF(B48&lt;=20, Q48*'Fund Allocation Strategy'!$E$5,
 IF(B48&lt;=25, Q48*'Fund Allocation Strategy'!$E$6,
 IF(B48&lt;=30, Q48*'Fund Allocation Strategy'!$E$7,
 Q48*'Fund Allocation Strategy'!$E$8))))))</f>
        <v>0</v>
      </c>
      <c r="AE48" s="82">
        <f ca="1">_xlfn.NORM.INV(RAND(), 'Fund Allocation Strategy'!$B$14, 'Fund Allocation Strategy'!$C$14) + _xlfn.NORM.INV(RAND(), 'Fund Allocation Strategy'!$D$14,'Fund Allocation Strategy'!$E$14)</f>
        <v>8.0299261124482102E-3</v>
      </c>
      <c r="AF48" s="35">
        <f t="shared" ref="AF48" ca="1" si="48">AM47*AE48+(AD48*AE48*0.5)</f>
        <v>19933.765626079046</v>
      </c>
      <c r="AG48" s="35">
        <f ca="1">IF(B48&lt;=5, Q48*'Fund Allocation Strategy'!$F$2,
 IF(B48&lt;=10, Q48*'Fund Allocation Strategy'!$F$3,
 IF(B48&lt;=15, Q48*'Fund Allocation Strategy'!$F$4,
 IF(B48&lt;=20, Q48*'Fund Allocation Strategy'!$F$5,
 IF(B48&lt;=25, Q48*'Fund Allocation Strategy'!$F$6,
 IF(B48&lt;=30, Q48*'Fund Allocation Strategy'!$F$7,
 Q48*'Fund Allocation Strategy'!$F$8))))))</f>
        <v>0</v>
      </c>
      <c r="AH48" s="36">
        <f ca="1">_xlfn.NORM.INV(RAND(),'Fund Allocation Strategy'!$B$15,'Fund Allocation Strategy'!$C$15)</f>
        <v>0.20547280744265495</v>
      </c>
      <c r="AI48" s="35">
        <f t="shared" ref="AI48" ca="1" si="49">AI47*AH48+(AG48*AH48*0.5)</f>
        <v>4.069105528173538E-5</v>
      </c>
      <c r="AJ48" s="35">
        <f t="shared" ref="AJ48" ca="1" si="50">AJ47+AG48+AI48</f>
        <v>44427.964630020731</v>
      </c>
      <c r="AK48" s="35">
        <f t="shared" ref="AK48" ca="1" si="51">IF(AM48&lt;50000,0, AM48*0.015)</f>
        <v>37535.524006969339</v>
      </c>
      <c r="AL48" s="37">
        <f t="shared" ref="AL48" ca="1" si="52">IF(AM48&lt;50000,0,0.015)</f>
        <v>1.4999999999999999E-2</v>
      </c>
      <c r="AM48" s="35">
        <f t="shared" ref="AM48" ca="1" si="53">AM47+AD48+AF48</f>
        <v>2502368.2671312895</v>
      </c>
      <c r="AN48" s="35">
        <f t="shared" ref="AN48" ca="1" si="54">AM48-AK48</f>
        <v>2464832.7431243202</v>
      </c>
      <c r="AO48" s="35" t="str">
        <f ca="1">IF(AV48 = 0, I48 * (
    'Lifestyle Strategy'!$B$2 +
    ('Lifestyle Strategy'!$C$2 - 'Lifestyle Strategy'!$B$2) *
    _xlfn.BETA.INV(RAND(), 'Lifestyle Strategy'!$F$2, 'Lifestyle Strategy'!$G$2)
),IF(AV48 = "", "",0))</f>
        <v/>
      </c>
      <c r="AP48" s="35">
        <f ca="1" xml:space="preserve"> I48 * (
    'Lifestyle Strategy'!$B$3 +
    ('Lifestyle Strategy'!$C$3 - 'Lifestyle Strategy'!$B$3) *
    _xlfn.BETA.INV(RAND(), 'Lifestyle Strategy'!$F$3, 'Lifestyle Strategy'!$G$3)
) * IF(MOD(B48,5)=0, 1 + 'Lifestyle Strategy'!$M$4, 1 + 0.025)</f>
        <v>35432.566453159823</v>
      </c>
      <c r="AQ48" s="35">
        <f ca="1" xml:space="preserve"> I48 * (
    'Lifestyle Strategy'!$B$4 +
    ('Lifestyle Strategy'!$C$4 - 'Lifestyle Strategy'!$B$4) *
    _xlfn.BETA.INV(RAND(), 'Lifestyle Strategy'!$F$4, 'Lifestyle Strategy'!$G$4)
) * IF(MOD(B48,5)=0, 1 + 'Lifestyle Strategy'!$M$4, 1 + 0.025)</f>
        <v>26647.866881574773</v>
      </c>
      <c r="AR48" s="35">
        <f ca="1" xml:space="preserve"> I48 * (
    'Lifestyle Strategy'!$B$5 +
    ('Lifestyle Strategy'!$C$5 - 'Lifestyle Strategy'!$B$5) *
    _xlfn.BETA.INV(RAND(), 'Lifestyle Strategy'!$F$5, 'Lifestyle Strategy'!$G$5)
) * IF(MOD(B48,5)=0, 1 + 'Lifestyle Strategy'!$M$4, 1 + 0.025)</f>
        <v>14256.619744958416</v>
      </c>
      <c r="AS48" s="35">
        <f ca="1" xml:space="preserve"> I48 * (
    'Lifestyle Strategy'!$B$6 +
    ('Lifestyle Strategy'!$C$6 - 'Lifestyle Strategy'!$B$6) *
    _xlfn.BETA.INV(RAND(), 'Lifestyle Strategy'!$F$6, 'Lifestyle Strategy'!$G$6)
) * IF(MOD(B48,5)=0, 1 + 'Lifestyle Strategy'!$M$4, 1 + 0.025)</f>
        <v>15103.289709803284</v>
      </c>
      <c r="AT48" s="35">
        <f ca="1" xml:space="preserve"> I48 * (
    'Lifestyle Strategy'!$B$7 +
    ('Lifestyle Strategy'!$C$7 - 'Lifestyle Strategy'!$B$7) *
    _xlfn.BETA.INV(RAND(), 'Lifestyle Strategy'!$F$7, 'Lifestyle Strategy'!$G$7)
) * IF(MOD(B48,5)=0, 1 + 'Lifestyle Strategy'!$M$4, 1 + 0.025)</f>
        <v>33839.443097016039</v>
      </c>
      <c r="AU48" s="35">
        <f ca="1" xml:space="preserve"> I48 * (
    'Lifestyle Strategy'!$B$8 +
    ('Lifestyle Strategy'!$C$8 - 'Lifestyle Strategy'!$B$8) *
    _xlfn.BETA.INV(RAND(), 'Lifestyle Strategy'!$F$8, 'Lifestyle Strategy'!$G$8)
) * IF(MOD(B48,5)=0, 1 + 'Lifestyle Strategy'!$M$4, 1 + 0.025)</f>
        <v>18529.805277998337</v>
      </c>
      <c r="AV48" s="35" t="str">
        <f ca="1">IF('Lifestyle Strategy'!$B$14 = "Yes",
   IF(AND(B48&gt;='Lifestyle Strategy'!$B$15, B48&lt;'Lifestyle Strategy'!$B$16),
      'Lifestyle Strategy'!$B$25,
      IF(B48&gt;='Lifestyle Strategy'!$B$16, "",
         0)
   ),
   0
)</f>
        <v/>
      </c>
      <c r="AW48" s="35">
        <f ca="1">IF('Lifestyle Strategy'!$Q$4="No", 0,
   IF(AND(B48&gt;='Lifestyle Strategy'!$Q$5, B48&lt;'Lifestyle Strategy'!$Q$6),
      'Lifestyle Strategy'!$Q$8 * (1.025^(B48-'Lifestyle Strategy'!$Q$5)) * (1.12^INT((B48-'Lifestyle Strategy'!$Q$5)/5)),
      0
   )
)</f>
        <v>0</v>
      </c>
      <c r="AX48" s="35">
        <f t="shared" ref="AX48" ca="1" si="55">IF(AO48 = "",0,AO48)+AP48+AQ48+AR48+AS48+AT48+AU48+AW48+IF(AV48 = "",0,AV48)</f>
        <v>143809.59116451067</v>
      </c>
      <c r="AY48" s="35">
        <f ca="1">IF(B48='Lifestyle Strategy'!$Q$10, MIN(AN48, 'Lifestyle Strategy'!$Q$11), 0)</f>
        <v>66265</v>
      </c>
      <c r="AZ48" s="35">
        <f ca="1">IF(B48='Lifestyle Strategy'!$Q$10, 'Lifestyle Strategy'!$Q$11, 0)</f>
        <v>66265</v>
      </c>
      <c r="BA48" s="35">
        <f ca="1">IF(B48='Lifestyle Strategy'!$Q$10, MAX(AZ48 - AY48, 0), 0)</f>
        <v>0</v>
      </c>
      <c r="BB48" s="26">
        <f t="shared" ca="1" si="19"/>
        <v>4804031.4031652864</v>
      </c>
      <c r="BC48" s="38" t="str">
        <f t="shared" ref="BC48" ca="1" si="56">TEXT(BB48/1000000, "[$$-en-US]0.00") &amp; "M"</f>
        <v>$4.80M</v>
      </c>
      <c r="BD48" s="27"/>
      <c r="BT48" s="99" t="s">
        <v>23</v>
      </c>
      <c r="BU48" s="15">
        <f ca="1">AVERAGE(BM50:BM5049)</f>
        <v>4770789.7944875387</v>
      </c>
      <c r="BV48" s="15">
        <f ca="1">AVERAGE(BN50:BN5049)</f>
        <v>2031215.4563496667</v>
      </c>
      <c r="BW48" s="102">
        <f ca="1">AVERAGE(BO50:BO5049)</f>
        <v>6802005.2508371929</v>
      </c>
      <c r="BX48" s="102">
        <f ca="1">AVERAGE(BP50:BP5049)</f>
        <v>4134226.4337333776</v>
      </c>
    </row>
    <row r="49" spans="1:76" x14ac:dyDescent="0.2">
      <c r="A49"/>
      <c r="B49"/>
      <c r="C49"/>
      <c r="D49" s="2"/>
      <c r="E49" s="2"/>
      <c r="F49" s="30"/>
      <c r="G49" s="2"/>
      <c r="H49" s="2"/>
      <c r="I49" s="2"/>
      <c r="J49" s="39"/>
      <c r="K49" s="30"/>
      <c r="L49" s="40"/>
      <c r="M49" s="2"/>
      <c r="N49" s="2"/>
      <c r="O49" s="2"/>
      <c r="P49" s="2"/>
      <c r="Q49"/>
      <c r="R49" s="2"/>
      <c r="S49" s="31"/>
      <c r="T49" s="2"/>
      <c r="U49" s="2"/>
      <c r="V49" s="2"/>
      <c r="W49" s="30"/>
      <c r="X49" s="2"/>
      <c r="Y49" s="2"/>
      <c r="Z49" s="2"/>
      <c r="AA49" s="30"/>
      <c r="AB49" s="2"/>
      <c r="AC49" s="2"/>
      <c r="AD49" s="2"/>
      <c r="AE49" s="30"/>
      <c r="AF49" s="2"/>
      <c r="AG49" s="2"/>
      <c r="AH49" s="30"/>
      <c r="AI49" s="2"/>
      <c r="AJ49" s="2"/>
      <c r="AK49" s="2"/>
      <c r="AL49" s="31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41"/>
      <c r="BC49" s="27"/>
      <c r="BD49" s="27"/>
      <c r="BL49" s="131" t="s">
        <v>226</v>
      </c>
      <c r="BM49" s="131" t="s">
        <v>247</v>
      </c>
      <c r="BN49" s="131" t="s">
        <v>238</v>
      </c>
      <c r="BO49" s="131" t="s">
        <v>240</v>
      </c>
      <c r="BP49" s="131" t="s">
        <v>248</v>
      </c>
      <c r="BQ49" s="131" t="s">
        <v>227</v>
      </c>
      <c r="BR49" s="131" t="s">
        <v>232</v>
      </c>
      <c r="BT49" s="99" t="s">
        <v>228</v>
      </c>
      <c r="BU49" s="15">
        <f ca="1">_xlfn.STDEV.S(BM50:BM5049)</f>
        <v>2575630.4472104954</v>
      </c>
      <c r="BV49" s="15">
        <f ca="1">_xlfn.STDEV.S(BN50:BN5049)</f>
        <v>3168784.6699945396</v>
      </c>
      <c r="BW49" s="102">
        <f ca="1">_xlfn.STDEV.S(BO50:BO5049)</f>
        <v>4839450.3353187339</v>
      </c>
      <c r="BX49" s="102">
        <f ca="1">_xlfn.STDEV.S(BP50:BP5049)</f>
        <v>1488120.0084579892</v>
      </c>
    </row>
    <row r="50" spans="1:76" x14ac:dyDescent="0.2">
      <c r="A50"/>
      <c r="B50"/>
      <c r="C50"/>
      <c r="D50" s="2"/>
      <c r="E50" s="2"/>
      <c r="F50" s="30"/>
      <c r="G50" s="2"/>
      <c r="H50" s="2"/>
      <c r="I50" s="2"/>
      <c r="J50" s="39"/>
      <c r="K50" s="30"/>
      <c r="L50" s="40"/>
      <c r="M50" s="2"/>
      <c r="N50" s="2"/>
      <c r="O50" s="2"/>
      <c r="P50" s="2"/>
      <c r="Q50"/>
      <c r="R50" s="2"/>
      <c r="S50" s="31"/>
      <c r="T50" s="2"/>
      <c r="U50" s="2"/>
      <c r="V50" s="2"/>
      <c r="W50" s="30"/>
      <c r="X50" s="2"/>
      <c r="Y50" s="2"/>
      <c r="Z50" s="2"/>
      <c r="AA50" s="30"/>
      <c r="AB50" s="2"/>
      <c r="AC50" s="2"/>
      <c r="AD50" s="2"/>
      <c r="AE50" s="30"/>
      <c r="AF50" s="2"/>
      <c r="AG50" s="2"/>
      <c r="AH50" s="30"/>
      <c r="AI50" s="2"/>
      <c r="AJ50" s="2"/>
      <c r="AK50" s="2"/>
      <c r="AL50" s="31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41"/>
      <c r="BC50" s="27"/>
      <c r="BD50" s="27"/>
      <c r="BL50" s="8">
        <v>1</v>
      </c>
      <c r="BM50" s="15">
        <f ca="1">BU40</f>
        <v>4804031.4031652864</v>
      </c>
      <c r="BN50" s="15">
        <f ca="1">BU41</f>
        <v>2573743.2117534289</v>
      </c>
      <c r="BO50" s="15">
        <f ca="1">BU39</f>
        <v>7377774.6149187153</v>
      </c>
      <c r="BP50" s="15">
        <f ca="1">BU42</f>
        <v>4175019.9910215717</v>
      </c>
      <c r="BQ50" s="15">
        <f ca="1">BP50-BO50</f>
        <v>-3202754.6238971436</v>
      </c>
      <c r="BR50" s="8" t="str">
        <f ca="1">IF(BQ50&gt;0, "No", "Yes")</f>
        <v>Yes</v>
      </c>
      <c r="BT50" s="99"/>
      <c r="BU50" s="15"/>
      <c r="BV50" s="15"/>
      <c r="BW50" s="102"/>
      <c r="BX50" s="102"/>
    </row>
    <row r="51" spans="1:76" x14ac:dyDescent="0.2">
      <c r="A51"/>
      <c r="B51"/>
      <c r="C51"/>
      <c r="D51" s="2"/>
      <c r="E51" s="2"/>
      <c r="F51" s="30"/>
      <c r="G51" s="2"/>
      <c r="H51" s="2"/>
      <c r="I51" s="2"/>
      <c r="J51" s="30"/>
      <c r="K51" s="30"/>
      <c r="L51" s="31"/>
      <c r="M51" s="2"/>
      <c r="N51" s="2"/>
      <c r="O51" s="2"/>
      <c r="P51" s="2"/>
      <c r="Q51"/>
      <c r="R51" s="2"/>
      <c r="S51" s="31"/>
      <c r="T51" s="2"/>
      <c r="U51" s="2"/>
      <c r="V51" s="2"/>
      <c r="W51" s="30"/>
      <c r="X51" s="2"/>
      <c r="Y51" s="2"/>
      <c r="Z51" s="2"/>
      <c r="AA51" s="30"/>
      <c r="AB51" s="2"/>
      <c r="AC51" s="2"/>
      <c r="AD51" s="2"/>
      <c r="AE51" s="30"/>
      <c r="AF51" s="2"/>
      <c r="AG51" s="2"/>
      <c r="AH51" s="30"/>
      <c r="AI51" s="2"/>
      <c r="AJ51" s="2"/>
      <c r="AK51" s="2"/>
      <c r="AL51" s="31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32"/>
      <c r="BC51" s="27"/>
      <c r="BD51" s="27"/>
      <c r="BL51" s="8">
        <v>2</v>
      </c>
      <c r="BM51" s="8">
        <f t="dataTable" ref="BM51:BR5049" dt2D="0" dtr="0" r1="BQ39" ca="1"/>
        <v>2724450.7314257678</v>
      </c>
      <c r="BN51" s="8">
        <v>1432868.4412041977</v>
      </c>
      <c r="BO51" s="8">
        <v>4157319.1726299655</v>
      </c>
      <c r="BP51" s="8">
        <v>3501109.7081857673</v>
      </c>
      <c r="BQ51" s="8">
        <v>-656209.46444419818</v>
      </c>
      <c r="BR51" s="8" t="str">
        <v>Yes</v>
      </c>
      <c r="BT51" s="100" t="s">
        <v>229</v>
      </c>
      <c r="BU51" s="15">
        <f ca="1">$BU$48+_xlfn.CONFIDENCE.T(0.05,$BU$49,$BU$45)</f>
        <v>4842198.605753025</v>
      </c>
      <c r="BV51" s="15">
        <f ca="1">IFERROR($BV$48+_xlfn.CONFIDENCE.T(0.05,$BV$49,$BV$45),0)</f>
        <v>2119069.3434186266</v>
      </c>
      <c r="BW51" s="102">
        <f ca="1">$BW$48+_xlfn.CONFIDENCE.T(0.05,$BW$49,$BW$45)</f>
        <v>6936177.9913395206</v>
      </c>
      <c r="BX51" s="102">
        <f ca="1">$BX$48+_xlfn.CONFIDENCE.T(0.05,$BX$49,$BX$45)</f>
        <v>4175484.2473065392</v>
      </c>
    </row>
    <row r="52" spans="1:76" x14ac:dyDescent="0.2">
      <c r="A52"/>
      <c r="B52"/>
      <c r="C52"/>
      <c r="D52" s="2"/>
      <c r="E52" s="2"/>
      <c r="F52" s="30"/>
      <c r="G52" s="2"/>
      <c r="H52" s="2"/>
      <c r="I52" s="2"/>
      <c r="J52" s="30"/>
      <c r="K52" s="30"/>
      <c r="L52" s="31"/>
      <c r="M52" s="2"/>
      <c r="N52" s="2"/>
      <c r="O52" s="2"/>
      <c r="P52" s="2"/>
      <c r="Q52"/>
      <c r="R52" s="2"/>
      <c r="S52" s="31"/>
      <c r="T52" s="2"/>
      <c r="U52" s="2"/>
      <c r="V52" s="2"/>
      <c r="W52" s="30"/>
      <c r="X52" s="2"/>
      <c r="Y52" s="2"/>
      <c r="Z52" s="2"/>
      <c r="AA52" s="30"/>
      <c r="AB52" s="2"/>
      <c r="AC52" s="2"/>
      <c r="AD52" s="2"/>
      <c r="AE52" s="30"/>
      <c r="AF52" s="2"/>
      <c r="AG52" s="2"/>
      <c r="AH52" s="30"/>
      <c r="AI52" s="2"/>
      <c r="AJ52" s="2"/>
      <c r="AK52" s="2"/>
      <c r="AL52" s="31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32"/>
      <c r="BC52" s="27"/>
      <c r="BD52" s="27"/>
      <c r="BL52" s="8">
        <v>3</v>
      </c>
      <c r="BM52" s="8">
        <v>3793831.791723704</v>
      </c>
      <c r="BN52" s="8">
        <v>2742045.6781840781</v>
      </c>
      <c r="BO52" s="8">
        <v>6535877.469907782</v>
      </c>
      <c r="BP52" s="8">
        <v>3505310.1772248689</v>
      </c>
      <c r="BQ52" s="8">
        <v>-3030567.2926829131</v>
      </c>
      <c r="BR52" s="8" t="str">
        <v>Yes</v>
      </c>
      <c r="BT52" s="99"/>
      <c r="BU52" s="15">
        <f ca="1">$BU$48-_xlfn.CONFIDENCE.T(0.05,$BU$49,$BU$45)</f>
        <v>4699380.9832220525</v>
      </c>
      <c r="BV52" s="15">
        <f ca="1">IFERROR($BV$48-_xlfn.CONFIDENCE.T(0.05,$BV$49,$BV$45),0)</f>
        <v>1943361.569280707</v>
      </c>
      <c r="BW52" s="102">
        <f ca="1">$BW$48-_xlfn.CONFIDENCE.T(0.05,$BW$49,$BW$45)</f>
        <v>6667832.5103348652</v>
      </c>
      <c r="BX52" s="102">
        <f ca="1">$BX$48-_xlfn.CONFIDENCE.T(0.05,$BX$49,$BX$45)</f>
        <v>4092968.620160216</v>
      </c>
    </row>
    <row r="53" spans="1:76" x14ac:dyDescent="0.2">
      <c r="A53"/>
      <c r="B53"/>
      <c r="C53"/>
      <c r="D53" s="2"/>
      <c r="E53" s="2"/>
      <c r="F53" s="30"/>
      <c r="G53" s="2"/>
      <c r="H53" s="2"/>
      <c r="I53" s="2"/>
      <c r="J53" s="30"/>
      <c r="K53" s="30"/>
      <c r="L53" s="31"/>
      <c r="M53" s="2"/>
      <c r="N53" s="2"/>
      <c r="O53" s="2"/>
      <c r="P53" s="2"/>
      <c r="Q53"/>
      <c r="R53" s="2"/>
      <c r="S53" s="31"/>
      <c r="T53" s="2"/>
      <c r="U53" s="2"/>
      <c r="V53" s="2"/>
      <c r="W53" s="30"/>
      <c r="X53" s="2"/>
      <c r="Y53" s="2"/>
      <c r="Z53" s="2"/>
      <c r="AA53" s="30"/>
      <c r="AB53" s="2"/>
      <c r="AC53" s="2"/>
      <c r="AD53" s="2"/>
      <c r="AE53" s="30"/>
      <c r="AF53" s="2"/>
      <c r="AG53" s="2"/>
      <c r="AH53" s="30"/>
      <c r="AI53" s="2"/>
      <c r="AJ53" s="2"/>
      <c r="AK53" s="2"/>
      <c r="AL53" s="31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32"/>
      <c r="BC53" s="27"/>
      <c r="BD53" s="27"/>
      <c r="BL53" s="8">
        <v>4</v>
      </c>
      <c r="BM53" s="8">
        <v>6525127.4979925659</v>
      </c>
      <c r="BN53" s="8">
        <v>0</v>
      </c>
      <c r="BO53" s="8">
        <v>6525127.4979925659</v>
      </c>
      <c r="BP53" s="8">
        <v>4375268.6312883999</v>
      </c>
      <c r="BQ53" s="8">
        <v>-2149858.8667041659</v>
      </c>
      <c r="BR53" s="8" t="str">
        <v>Yes</v>
      </c>
      <c r="BT53" s="99"/>
      <c r="BU53" s="8"/>
      <c r="BV53" s="8"/>
      <c r="BX53" s="101"/>
    </row>
    <row r="54" spans="1:76" ht="15" customHeight="1" x14ac:dyDescent="0.2">
      <c r="A54" s="132"/>
      <c r="B54" s="132"/>
      <c r="C54" s="132"/>
      <c r="D54" s="132"/>
      <c r="E54" s="132"/>
      <c r="F54" s="132"/>
      <c r="G54" s="132"/>
      <c r="H54" s="132"/>
      <c r="I54" s="132"/>
      <c r="J54" s="132"/>
      <c r="K54" s="132"/>
      <c r="L54" s="132"/>
      <c r="M54" s="132"/>
      <c r="N54" s="132"/>
      <c r="O54" s="132"/>
      <c r="P54" s="132"/>
      <c r="Q54" s="132"/>
      <c r="R54" s="132"/>
      <c r="S54" s="132"/>
      <c r="T54" s="132"/>
      <c r="U54" s="132"/>
      <c r="V54" s="132"/>
      <c r="W54" s="132"/>
      <c r="X54" s="132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2"/>
      <c r="AJ54" s="132"/>
      <c r="AK54" s="132"/>
      <c r="AL54" s="132"/>
      <c r="AM54" s="132"/>
      <c r="AN54" s="132"/>
      <c r="AO54" s="132"/>
      <c r="AP54" s="132"/>
      <c r="AQ54" s="132"/>
      <c r="AR54" s="132"/>
      <c r="AS54" s="132"/>
      <c r="AT54" s="132"/>
      <c r="AU54" s="132"/>
      <c r="AV54" s="132"/>
      <c r="AW54" s="132"/>
      <c r="AX54" s="132"/>
      <c r="AY54" s="132"/>
      <c r="AZ54" s="132"/>
      <c r="BA54" s="132"/>
      <c r="BB54" s="132"/>
      <c r="BC54" s="132"/>
      <c r="BD54" s="27"/>
      <c r="BL54" s="8">
        <v>5</v>
      </c>
      <c r="BM54" s="8">
        <v>5016524.5721980585</v>
      </c>
      <c r="BN54" s="8">
        <v>0</v>
      </c>
      <c r="BO54" s="8">
        <v>5016524.5721980585</v>
      </c>
      <c r="BP54" s="8">
        <v>4176760.2153650569</v>
      </c>
      <c r="BQ54" s="8">
        <v>-839764.3568330016</v>
      </c>
      <c r="BR54" s="8" t="str">
        <v>Yes</v>
      </c>
      <c r="BT54" s="99"/>
      <c r="BU54" s="8"/>
      <c r="BV54" s="8"/>
      <c r="BX54" s="101"/>
    </row>
    <row r="55" spans="1:76" ht="15" customHeight="1" x14ac:dyDescent="0.2">
      <c r="A55" s="132"/>
      <c r="B55" s="132"/>
      <c r="C55" s="132"/>
      <c r="D55" s="132"/>
      <c r="E55" s="132"/>
      <c r="F55" s="132"/>
      <c r="G55" s="132"/>
      <c r="H55" s="132"/>
      <c r="I55" s="132"/>
      <c r="J55" s="132"/>
      <c r="K55" s="132"/>
      <c r="L55" s="132"/>
      <c r="M55" s="132"/>
      <c r="N55" s="132"/>
      <c r="O55" s="132"/>
      <c r="P55" s="132"/>
      <c r="Q55" s="132"/>
      <c r="R55" s="132"/>
      <c r="S55" s="132"/>
      <c r="T55" s="132"/>
      <c r="U55" s="132"/>
      <c r="V55" s="132"/>
      <c r="W55" s="132"/>
      <c r="X55" s="132"/>
      <c r="Y55" s="132"/>
      <c r="Z55" s="132"/>
      <c r="AA55" s="132"/>
      <c r="AB55" s="132"/>
      <c r="AC55" s="132"/>
      <c r="AD55" s="132"/>
      <c r="AE55" s="132"/>
      <c r="AF55" s="132"/>
      <c r="AG55" s="132"/>
      <c r="AH55" s="132"/>
      <c r="AI55" s="132"/>
      <c r="AJ55" s="132"/>
      <c r="AK55" s="132"/>
      <c r="AL55" s="132"/>
      <c r="AM55" s="132"/>
      <c r="AN55" s="132"/>
      <c r="AO55" s="132"/>
      <c r="AP55" s="132"/>
      <c r="AQ55" s="132"/>
      <c r="AR55" s="132"/>
      <c r="AS55" s="132"/>
      <c r="AT55" s="132"/>
      <c r="AU55" s="132"/>
      <c r="AV55" s="132"/>
      <c r="AW55" s="132"/>
      <c r="AX55" s="132"/>
      <c r="AY55" s="132"/>
      <c r="AZ55" s="132"/>
      <c r="BA55" s="132"/>
      <c r="BB55" s="132"/>
      <c r="BC55" s="132"/>
      <c r="BD55" s="27"/>
      <c r="BL55" s="8">
        <v>6</v>
      </c>
      <c r="BM55" s="8">
        <v>5657933.3171493039</v>
      </c>
      <c r="BN55" s="8">
        <v>0</v>
      </c>
      <c r="BO55" s="8">
        <v>5657933.3171493039</v>
      </c>
      <c r="BP55" s="8">
        <v>6433124.2268726006</v>
      </c>
      <c r="BQ55" s="8">
        <v>775190.90972329676</v>
      </c>
      <c r="BR55" s="8" t="str">
        <v>No</v>
      </c>
      <c r="BT55" s="106" t="s">
        <v>233</v>
      </c>
      <c r="BU55" s="115">
        <f ca="1">COUNTIF(BR50:BR5049,"Yes")/BU45</f>
        <v>0.69499999999999995</v>
      </c>
      <c r="BV55" s="115"/>
      <c r="BX55" s="107"/>
    </row>
    <row r="56" spans="1:76" ht="15" customHeight="1" x14ac:dyDescent="0.2">
      <c r="A56" s="132"/>
      <c r="B56" s="132"/>
      <c r="C56" s="132"/>
      <c r="D56" s="132"/>
      <c r="E56" s="132"/>
      <c r="F56" s="132"/>
      <c r="G56" s="132"/>
      <c r="H56" s="132"/>
      <c r="I56" s="132"/>
      <c r="J56" s="132"/>
      <c r="K56" s="132"/>
      <c r="L56" s="132"/>
      <c r="M56" s="132"/>
      <c r="N56" s="132"/>
      <c r="O56" s="132"/>
      <c r="P56" s="132"/>
      <c r="Q56" s="132"/>
      <c r="R56" s="132"/>
      <c r="S56" s="132"/>
      <c r="T56" s="132"/>
      <c r="U56" s="132"/>
      <c r="V56" s="132"/>
      <c r="W56" s="132"/>
      <c r="X56" s="132"/>
      <c r="Y56" s="132"/>
      <c r="Z56" s="132"/>
      <c r="AA56" s="132"/>
      <c r="AB56" s="132"/>
      <c r="AC56" s="132"/>
      <c r="AD56" s="132"/>
      <c r="AE56" s="132"/>
      <c r="AF56" s="132"/>
      <c r="AG56" s="132"/>
      <c r="AH56" s="132"/>
      <c r="AI56" s="132"/>
      <c r="AJ56" s="132"/>
      <c r="AK56" s="132"/>
      <c r="AL56" s="132"/>
      <c r="AM56" s="132"/>
      <c r="AN56" s="132"/>
      <c r="AO56" s="132"/>
      <c r="AP56" s="132"/>
      <c r="AQ56" s="132"/>
      <c r="AR56" s="132"/>
      <c r="AS56" s="132"/>
      <c r="AT56" s="132"/>
      <c r="AU56" s="132"/>
      <c r="AV56" s="132"/>
      <c r="AW56" s="132"/>
      <c r="AX56" s="132"/>
      <c r="AY56" s="132"/>
      <c r="AZ56" s="132"/>
      <c r="BA56" s="132"/>
      <c r="BB56" s="132"/>
      <c r="BC56" s="132"/>
      <c r="BD56" s="27"/>
      <c r="BL56" s="8">
        <v>7</v>
      </c>
      <c r="BM56" s="8">
        <v>3327817.5735650714</v>
      </c>
      <c r="BN56" s="8">
        <v>543800.86003242002</v>
      </c>
      <c r="BO56" s="8">
        <v>3871618.4335974916</v>
      </c>
      <c r="BP56" s="8">
        <v>6425755.1480959626</v>
      </c>
      <c r="BQ56" s="8">
        <v>2554136.714498471</v>
      </c>
      <c r="BR56" s="8" t="str">
        <v>No</v>
      </c>
    </row>
    <row r="57" spans="1:76" ht="15" customHeight="1" x14ac:dyDescent="0.2">
      <c r="A57" s="132"/>
      <c r="B57" s="132"/>
      <c r="C57" s="132"/>
      <c r="D57" s="132"/>
      <c r="E57" s="132"/>
      <c r="F57" s="132"/>
      <c r="G57" s="132"/>
      <c r="H57" s="132"/>
      <c r="I57" s="132"/>
      <c r="J57" s="132"/>
      <c r="K57" s="132"/>
      <c r="L57" s="132"/>
      <c r="M57" s="132"/>
      <c r="N57" s="132"/>
      <c r="O57" s="132"/>
      <c r="P57" s="132"/>
      <c r="Q57" s="132"/>
      <c r="R57" s="132"/>
      <c r="S57" s="132"/>
      <c r="T57" s="132"/>
      <c r="U57" s="132"/>
      <c r="V57" s="132"/>
      <c r="W57" s="132"/>
      <c r="X57" s="132"/>
      <c r="Y57" s="132"/>
      <c r="Z57" s="132"/>
      <c r="AA57" s="132"/>
      <c r="AB57" s="132"/>
      <c r="AC57" s="132"/>
      <c r="AD57" s="132"/>
      <c r="AE57" s="132"/>
      <c r="AF57" s="132"/>
      <c r="AG57" s="132"/>
      <c r="AH57" s="132"/>
      <c r="AI57" s="132"/>
      <c r="AJ57" s="132"/>
      <c r="AK57" s="132"/>
      <c r="AL57" s="132"/>
      <c r="AM57" s="132"/>
      <c r="AN57" s="132"/>
      <c r="AO57" s="132"/>
      <c r="AP57" s="132"/>
      <c r="AQ57" s="132"/>
      <c r="AR57" s="132"/>
      <c r="AS57" s="132"/>
      <c r="AT57" s="132"/>
      <c r="AU57" s="132"/>
      <c r="AV57" s="132"/>
      <c r="AW57" s="132"/>
      <c r="AX57" s="132"/>
      <c r="AY57" s="132"/>
      <c r="AZ57" s="132"/>
      <c r="BA57" s="132"/>
      <c r="BB57" s="132"/>
      <c r="BC57" s="132"/>
      <c r="BD57" s="27"/>
      <c r="BL57" s="8">
        <v>8</v>
      </c>
      <c r="BM57" s="8">
        <v>4548736.7572892671</v>
      </c>
      <c r="BN57" s="8">
        <v>4583021.4536486883</v>
      </c>
      <c r="BO57" s="8">
        <v>9131758.2109379545</v>
      </c>
      <c r="BP57" s="8">
        <v>3231867.1503064907</v>
      </c>
      <c r="BQ57" s="8">
        <v>-5899891.0606314633</v>
      </c>
      <c r="BR57" s="8" t="str">
        <v>Yes</v>
      </c>
    </row>
    <row r="58" spans="1:76" x14ac:dyDescent="0.2">
      <c r="A58"/>
      <c r="B58"/>
      <c r="C58"/>
      <c r="D58" s="2"/>
      <c r="E58" s="2"/>
      <c r="F58" s="30"/>
      <c r="G58" s="2"/>
      <c r="H58" s="2"/>
      <c r="I58" s="2"/>
      <c r="J58" s="30"/>
      <c r="K58" s="30"/>
      <c r="L58" s="31"/>
      <c r="M58" s="2"/>
      <c r="N58" s="2"/>
      <c r="O58" s="2"/>
      <c r="P58" s="2"/>
      <c r="Q58"/>
      <c r="R58" s="2"/>
      <c r="S58" s="31"/>
      <c r="T58" s="2"/>
      <c r="U58" s="2"/>
      <c r="V58" s="2"/>
      <c r="W58" s="30"/>
      <c r="X58" s="2"/>
      <c r="Y58" s="2"/>
      <c r="Z58" s="2"/>
      <c r="AA58" s="30"/>
      <c r="AB58" s="2"/>
      <c r="AC58" s="2"/>
      <c r="AD58" s="2"/>
      <c r="AE58" s="30"/>
      <c r="AF58" s="2"/>
      <c r="AG58" s="2"/>
      <c r="AH58" s="30"/>
      <c r="AI58" s="2"/>
      <c r="AJ58" s="2"/>
      <c r="AK58" s="2"/>
      <c r="AL58" s="31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32"/>
      <c r="BC58" s="27"/>
      <c r="BD58" s="27"/>
      <c r="BL58" s="8">
        <v>9</v>
      </c>
      <c r="BM58" s="8">
        <v>2784864.5230535683</v>
      </c>
      <c r="BN58" s="8">
        <v>0</v>
      </c>
      <c r="BO58" s="8">
        <v>2784864.5230535683</v>
      </c>
      <c r="BP58" s="8">
        <v>3248179.3100069524</v>
      </c>
      <c r="BQ58" s="8">
        <v>463314.78695338406</v>
      </c>
      <c r="BR58" s="8" t="str">
        <v>No</v>
      </c>
    </row>
    <row r="59" spans="1:76" x14ac:dyDescent="0.2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 s="4"/>
      <c r="U59" s="4"/>
      <c r="V59" s="4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L59" s="8">
        <v>10</v>
      </c>
      <c r="BM59" s="8">
        <v>9200987.4205977693</v>
      </c>
      <c r="BN59" s="8">
        <v>9118344.9320197199</v>
      </c>
      <c r="BO59" s="8">
        <v>18319332.352617487</v>
      </c>
      <c r="BP59" s="8">
        <v>3417989.4350201106</v>
      </c>
      <c r="BQ59" s="8">
        <v>-14901342.917597376</v>
      </c>
      <c r="BR59" s="8" t="str">
        <v>Yes</v>
      </c>
    </row>
    <row r="60" spans="1:76" x14ac:dyDescent="0.2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 s="4"/>
      <c r="U60" s="4"/>
      <c r="V60" s="4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L60" s="8">
        <v>11</v>
      </c>
      <c r="BM60" s="8">
        <v>2175552.2145330482</v>
      </c>
      <c r="BN60" s="8">
        <v>739205.91427509463</v>
      </c>
      <c r="BO60" s="8">
        <v>2914758.1288081426</v>
      </c>
      <c r="BP60" s="8">
        <v>6102109.407181968</v>
      </c>
      <c r="BQ60" s="8">
        <v>3187351.2783738254</v>
      </c>
      <c r="BR60" s="8" t="str">
        <v>No</v>
      </c>
    </row>
    <row r="61" spans="1:76" x14ac:dyDescent="0.2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 s="4"/>
      <c r="U61" s="4"/>
      <c r="V61" s="4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L61" s="8">
        <v>12</v>
      </c>
      <c r="BM61" s="8">
        <v>3771591.0668568825</v>
      </c>
      <c r="BN61" s="8">
        <v>0</v>
      </c>
      <c r="BO61" s="8">
        <v>3771591.0668568825</v>
      </c>
      <c r="BP61" s="8">
        <v>3572223.8255831595</v>
      </c>
      <c r="BQ61" s="8">
        <v>-199367.24127372308</v>
      </c>
      <c r="BR61" s="8" t="str">
        <v>Yes</v>
      </c>
    </row>
    <row r="62" spans="1:76" x14ac:dyDescent="0.2">
      <c r="T62" s="93"/>
      <c r="U62" s="93"/>
      <c r="V62" s="93"/>
      <c r="BL62" s="8">
        <v>13</v>
      </c>
      <c r="BM62" s="8">
        <v>3053643.879027626</v>
      </c>
      <c r="BN62" s="8">
        <v>2499885.9003658751</v>
      </c>
      <c r="BO62" s="8">
        <v>5553529.7793935016</v>
      </c>
      <c r="BP62" s="8">
        <v>3488122.7665728657</v>
      </c>
      <c r="BQ62" s="8">
        <v>-2065407.0128206359</v>
      </c>
      <c r="BR62" s="8" t="str">
        <v>Yes</v>
      </c>
    </row>
    <row r="63" spans="1:76" x14ac:dyDescent="0.2">
      <c r="T63" s="93"/>
      <c r="U63" s="93"/>
      <c r="V63" s="93"/>
      <c r="BB63" s="94"/>
      <c r="BL63" s="8">
        <v>14</v>
      </c>
      <c r="BM63" s="8">
        <v>2975273.7057530405</v>
      </c>
      <c r="BN63" s="8">
        <v>0</v>
      </c>
      <c r="BO63" s="8">
        <v>2975273.7057530405</v>
      </c>
      <c r="BP63" s="8">
        <v>3440670.4181266753</v>
      </c>
      <c r="BQ63" s="8">
        <v>465396.7123736348</v>
      </c>
      <c r="BR63" s="8" t="str">
        <v>No</v>
      </c>
    </row>
    <row r="64" spans="1:76" x14ac:dyDescent="0.2">
      <c r="BB64" s="94"/>
      <c r="BL64" s="8">
        <v>15</v>
      </c>
      <c r="BM64" s="8">
        <v>6536608.9031579113</v>
      </c>
      <c r="BN64" s="8">
        <v>3967715.2807137887</v>
      </c>
      <c r="BO64" s="8">
        <v>10504324.183871699</v>
      </c>
      <c r="BP64" s="8">
        <v>3184114.8294073245</v>
      </c>
      <c r="BQ64" s="8">
        <v>-7320209.3544643745</v>
      </c>
      <c r="BR64" s="8" t="str">
        <v>Yes</v>
      </c>
    </row>
    <row r="65" spans="54:70" x14ac:dyDescent="0.2">
      <c r="BB65" s="94"/>
      <c r="BL65" s="8">
        <v>16</v>
      </c>
      <c r="BM65" s="8">
        <v>4271989.2951241219</v>
      </c>
      <c r="BN65" s="8">
        <v>9269601.6314623877</v>
      </c>
      <c r="BO65" s="8">
        <v>13541590.926586509</v>
      </c>
      <c r="BP65" s="8">
        <v>3261761.2727467837</v>
      </c>
      <c r="BQ65" s="8">
        <v>-10279829.653839726</v>
      </c>
      <c r="BR65" s="8" t="str">
        <v>Yes</v>
      </c>
    </row>
    <row r="66" spans="54:70" x14ac:dyDescent="0.2">
      <c r="BB66" s="94"/>
      <c r="BL66" s="8">
        <v>17</v>
      </c>
      <c r="BM66" s="8">
        <v>6196847.6936207619</v>
      </c>
      <c r="BN66" s="8">
        <v>8942061.2189127635</v>
      </c>
      <c r="BO66" s="8">
        <v>15138908.912533525</v>
      </c>
      <c r="BP66" s="8">
        <v>2239066.0919445152</v>
      </c>
      <c r="BQ66" s="8">
        <v>-12899842.82058901</v>
      </c>
      <c r="BR66" s="8" t="str">
        <v>Yes</v>
      </c>
    </row>
    <row r="67" spans="54:70" x14ac:dyDescent="0.2">
      <c r="BB67" s="94"/>
      <c r="BL67" s="8">
        <v>18</v>
      </c>
      <c r="BM67" s="8">
        <v>3479112.0319013735</v>
      </c>
      <c r="BN67" s="8">
        <v>4104300.1251848643</v>
      </c>
      <c r="BO67" s="8">
        <v>7583412.1570862383</v>
      </c>
      <c r="BP67" s="8">
        <v>3379709.5034463252</v>
      </c>
      <c r="BQ67" s="8">
        <v>-4203702.6536399126</v>
      </c>
      <c r="BR67" s="8" t="str">
        <v>Yes</v>
      </c>
    </row>
    <row r="68" spans="54:70" x14ac:dyDescent="0.2">
      <c r="BB68" s="94"/>
      <c r="BL68" s="8">
        <v>19</v>
      </c>
      <c r="BM68" s="8">
        <v>7363435.7960128672</v>
      </c>
      <c r="BN68" s="8">
        <v>8798051.5998020787</v>
      </c>
      <c r="BO68" s="8">
        <v>16161487.395814946</v>
      </c>
      <c r="BP68" s="8">
        <v>4704506.1513995742</v>
      </c>
      <c r="BQ68" s="8">
        <v>-11456981.244415373</v>
      </c>
      <c r="BR68" s="8" t="str">
        <v>Yes</v>
      </c>
    </row>
    <row r="69" spans="54:70" x14ac:dyDescent="0.2">
      <c r="BB69" s="94"/>
      <c r="BL69" s="8">
        <v>20</v>
      </c>
      <c r="BM69" s="8">
        <v>3353521.6923054047</v>
      </c>
      <c r="BN69" s="8">
        <v>3879833.7890491649</v>
      </c>
      <c r="BO69" s="8">
        <v>7233355.48135457</v>
      </c>
      <c r="BP69" s="8">
        <v>4219117.5690649012</v>
      </c>
      <c r="BQ69" s="8">
        <v>-3014237.9122896688</v>
      </c>
      <c r="BR69" s="8" t="str">
        <v>Yes</v>
      </c>
    </row>
    <row r="70" spans="54:70" x14ac:dyDescent="0.2">
      <c r="BB70" s="94"/>
      <c r="BL70" s="8">
        <v>21</v>
      </c>
      <c r="BM70" s="8">
        <v>3519844.3991731876</v>
      </c>
      <c r="BN70" s="8">
        <v>2057580.6848764969</v>
      </c>
      <c r="BO70" s="8">
        <v>5577425.0840496849</v>
      </c>
      <c r="BP70" s="8">
        <v>3098964.3486763095</v>
      </c>
      <c r="BQ70" s="8">
        <v>-2478460.7353733755</v>
      </c>
      <c r="BR70" s="8" t="str">
        <v>Yes</v>
      </c>
    </row>
    <row r="71" spans="54:70" x14ac:dyDescent="0.2">
      <c r="BB71" s="94"/>
      <c r="BL71" s="8">
        <v>22</v>
      </c>
      <c r="BM71" s="8">
        <v>6444762.7825772138</v>
      </c>
      <c r="BN71" s="8">
        <v>0</v>
      </c>
      <c r="BO71" s="8">
        <v>6444762.7825772138</v>
      </c>
      <c r="BP71" s="8">
        <v>3335196.7997424821</v>
      </c>
      <c r="BQ71" s="8">
        <v>-3109565.9828347317</v>
      </c>
      <c r="BR71" s="8" t="str">
        <v>Yes</v>
      </c>
    </row>
    <row r="72" spans="54:70" x14ac:dyDescent="0.2">
      <c r="BB72" s="94"/>
      <c r="BL72" s="8">
        <v>23</v>
      </c>
      <c r="BM72" s="8">
        <v>2564977.7322736755</v>
      </c>
      <c r="BN72" s="8">
        <v>0</v>
      </c>
      <c r="BO72" s="8">
        <v>2564977.7322736755</v>
      </c>
      <c r="BP72" s="8">
        <v>3267823.3730709897</v>
      </c>
      <c r="BQ72" s="8">
        <v>702845.64079731423</v>
      </c>
      <c r="BR72" s="8" t="str">
        <v>No</v>
      </c>
    </row>
    <row r="73" spans="54:70" x14ac:dyDescent="0.2">
      <c r="BB73" s="94"/>
      <c r="BL73" s="8">
        <v>24</v>
      </c>
      <c r="BM73" s="8">
        <v>3226099.2933244049</v>
      </c>
      <c r="BN73" s="8">
        <v>4008878.0838824217</v>
      </c>
      <c r="BO73" s="8">
        <v>7234977.3772068266</v>
      </c>
      <c r="BP73" s="8">
        <v>3454083.7381892712</v>
      </c>
      <c r="BQ73" s="8">
        <v>-3780893.6390175554</v>
      </c>
      <c r="BR73" s="8" t="str">
        <v>Yes</v>
      </c>
    </row>
    <row r="74" spans="54:70" x14ac:dyDescent="0.2">
      <c r="BB74" s="94"/>
      <c r="BL74" s="8">
        <v>25</v>
      </c>
      <c r="BM74" s="8">
        <v>4026184.8166103982</v>
      </c>
      <c r="BN74" s="8">
        <v>3920450.6417587502</v>
      </c>
      <c r="BO74" s="8">
        <v>7946635.4583691489</v>
      </c>
      <c r="BP74" s="8">
        <v>4335501.9078006931</v>
      </c>
      <c r="BQ74" s="8">
        <v>-3611133.5505684558</v>
      </c>
      <c r="BR74" s="8" t="str">
        <v>Yes</v>
      </c>
    </row>
    <row r="75" spans="54:70" x14ac:dyDescent="0.2">
      <c r="BB75" s="94"/>
      <c r="BL75" s="8">
        <v>26</v>
      </c>
      <c r="BM75" s="8">
        <v>3497915.0096105719</v>
      </c>
      <c r="BN75" s="8">
        <v>0</v>
      </c>
      <c r="BO75" s="8">
        <v>3497915.0096105719</v>
      </c>
      <c r="BP75" s="8">
        <v>3546932.035721662</v>
      </c>
      <c r="BQ75" s="8">
        <v>49017.02611109009</v>
      </c>
      <c r="BR75" s="8" t="str">
        <v>No</v>
      </c>
    </row>
    <row r="76" spans="54:70" x14ac:dyDescent="0.2">
      <c r="BB76" s="94"/>
      <c r="BL76" s="8">
        <v>27</v>
      </c>
      <c r="BM76" s="8">
        <v>4915482.5791574297</v>
      </c>
      <c r="BN76" s="8">
        <v>0</v>
      </c>
      <c r="BO76" s="8">
        <v>4915482.5791574297</v>
      </c>
      <c r="BP76" s="8">
        <v>4429501.9978772067</v>
      </c>
      <c r="BQ76" s="8">
        <v>-485980.58128022309</v>
      </c>
      <c r="BR76" s="8" t="str">
        <v>Yes</v>
      </c>
    </row>
    <row r="77" spans="54:70" x14ac:dyDescent="0.2">
      <c r="BB77" s="94"/>
      <c r="BL77" s="8">
        <v>28</v>
      </c>
      <c r="BM77" s="8">
        <v>8974282.4353231136</v>
      </c>
      <c r="BN77" s="8">
        <v>9002869.8261463456</v>
      </c>
      <c r="BO77" s="8">
        <v>17977152.261469461</v>
      </c>
      <c r="BP77" s="8">
        <v>3223220.1969458233</v>
      </c>
      <c r="BQ77" s="8">
        <v>-14753932.064523637</v>
      </c>
      <c r="BR77" s="8" t="str">
        <v>Yes</v>
      </c>
    </row>
    <row r="78" spans="54:70" x14ac:dyDescent="0.2">
      <c r="BB78" s="94"/>
      <c r="BL78" s="8">
        <v>29</v>
      </c>
      <c r="BM78" s="8">
        <v>8652249.9978303052</v>
      </c>
      <c r="BN78" s="8">
        <v>0</v>
      </c>
      <c r="BO78" s="8">
        <v>8652249.9978303052</v>
      </c>
      <c r="BP78" s="8">
        <v>4289429.4707666636</v>
      </c>
      <c r="BQ78" s="8">
        <v>-4362820.5270636417</v>
      </c>
      <c r="BR78" s="8" t="str">
        <v>Yes</v>
      </c>
    </row>
    <row r="79" spans="54:70" x14ac:dyDescent="0.2">
      <c r="BB79" s="94"/>
      <c r="BL79" s="8">
        <v>30</v>
      </c>
      <c r="BM79" s="8">
        <v>2363955.0389233446</v>
      </c>
      <c r="BN79" s="8">
        <v>916178.47244244593</v>
      </c>
      <c r="BO79" s="8">
        <v>3280133.5113657904</v>
      </c>
      <c r="BP79" s="8">
        <v>3387710.6817506924</v>
      </c>
      <c r="BQ79" s="8">
        <v>107577.17038490204</v>
      </c>
      <c r="BR79" s="8" t="str">
        <v>No</v>
      </c>
    </row>
    <row r="80" spans="54:70" x14ac:dyDescent="0.2">
      <c r="BB80" s="94"/>
      <c r="BL80" s="8">
        <v>31</v>
      </c>
      <c r="BM80" s="8">
        <v>5528753.7608626001</v>
      </c>
      <c r="BN80" s="8">
        <v>0</v>
      </c>
      <c r="BO80" s="8">
        <v>5528753.7608626001</v>
      </c>
      <c r="BP80" s="8">
        <v>2293536.9415487228</v>
      </c>
      <c r="BQ80" s="8">
        <v>-3235216.8193138773</v>
      </c>
      <c r="BR80" s="8" t="str">
        <v>Yes</v>
      </c>
    </row>
    <row r="81" spans="54:70" x14ac:dyDescent="0.2">
      <c r="BB81" s="94"/>
      <c r="BL81" s="8">
        <v>32</v>
      </c>
      <c r="BM81" s="8">
        <v>4926209.9407987222</v>
      </c>
      <c r="BN81" s="8">
        <v>2775097.5310088741</v>
      </c>
      <c r="BO81" s="8">
        <v>7701307.4718075963</v>
      </c>
      <c r="BP81" s="8">
        <v>2265814.7740603103</v>
      </c>
      <c r="BQ81" s="8">
        <v>-5435492.6977472864</v>
      </c>
      <c r="BR81" s="8" t="str">
        <v>Yes</v>
      </c>
    </row>
    <row r="82" spans="54:70" x14ac:dyDescent="0.2">
      <c r="BB82" s="94"/>
      <c r="BL82" s="8">
        <v>33</v>
      </c>
      <c r="BM82" s="8">
        <v>11040187.491509631</v>
      </c>
      <c r="BN82" s="8">
        <v>10129559.866284</v>
      </c>
      <c r="BO82" s="8">
        <v>21169747.357793629</v>
      </c>
      <c r="BP82" s="8">
        <v>3085004.8682535458</v>
      </c>
      <c r="BQ82" s="8">
        <v>-18084742.489540085</v>
      </c>
      <c r="BR82" s="8" t="str">
        <v>Yes</v>
      </c>
    </row>
    <row r="83" spans="54:70" x14ac:dyDescent="0.2">
      <c r="BB83" s="94"/>
      <c r="BL83" s="8">
        <v>34</v>
      </c>
      <c r="BM83" s="8">
        <v>4214988.6393341888</v>
      </c>
      <c r="BN83" s="8">
        <v>0</v>
      </c>
      <c r="BO83" s="8">
        <v>4214988.6393341888</v>
      </c>
      <c r="BP83" s="8">
        <v>2578713.4333111541</v>
      </c>
      <c r="BQ83" s="8">
        <v>-1636275.2060230346</v>
      </c>
      <c r="BR83" s="8" t="str">
        <v>Yes</v>
      </c>
    </row>
    <row r="84" spans="54:70" x14ac:dyDescent="0.2">
      <c r="BB84" s="94"/>
      <c r="BL84" s="8">
        <v>35</v>
      </c>
      <c r="BM84" s="8">
        <v>11272771.029797265</v>
      </c>
      <c r="BN84" s="8">
        <v>0</v>
      </c>
      <c r="BO84" s="8">
        <v>11272771.029797265</v>
      </c>
      <c r="BP84" s="8">
        <v>2353105.8183654291</v>
      </c>
      <c r="BQ84" s="8">
        <v>-8919665.2114318367</v>
      </c>
      <c r="BR84" s="8" t="str">
        <v>Yes</v>
      </c>
    </row>
    <row r="85" spans="54:70" x14ac:dyDescent="0.2">
      <c r="BB85" s="94"/>
      <c r="BL85" s="8">
        <v>36</v>
      </c>
      <c r="BM85" s="8">
        <v>2851456.7289980063</v>
      </c>
      <c r="BN85" s="8">
        <v>0</v>
      </c>
      <c r="BO85" s="8">
        <v>2851456.7289980063</v>
      </c>
      <c r="BP85" s="8">
        <v>3583995.0478716209</v>
      </c>
      <c r="BQ85" s="8">
        <v>732538.31887361454</v>
      </c>
      <c r="BR85" s="8" t="str">
        <v>No</v>
      </c>
    </row>
    <row r="86" spans="54:70" x14ac:dyDescent="0.2">
      <c r="BB86" s="94"/>
      <c r="BL86" s="8">
        <v>37</v>
      </c>
      <c r="BM86" s="8">
        <v>5311356.3527161144</v>
      </c>
      <c r="BN86" s="8">
        <v>9750328.9515242856</v>
      </c>
      <c r="BO86" s="8">
        <v>15061685.3042404</v>
      </c>
      <c r="BP86" s="8">
        <v>2361950.7710881615</v>
      </c>
      <c r="BQ86" s="8">
        <v>-12699734.533152238</v>
      </c>
      <c r="BR86" s="8" t="str">
        <v>Yes</v>
      </c>
    </row>
    <row r="87" spans="54:70" x14ac:dyDescent="0.2">
      <c r="BB87" s="94"/>
      <c r="BL87" s="8">
        <v>38</v>
      </c>
      <c r="BM87" s="8">
        <v>3487165.0719589521</v>
      </c>
      <c r="BN87" s="8">
        <v>0</v>
      </c>
      <c r="BO87" s="8">
        <v>3487165.0719589521</v>
      </c>
      <c r="BP87" s="8">
        <v>4059046.8766976213</v>
      </c>
      <c r="BQ87" s="8">
        <v>571881.80473866919</v>
      </c>
      <c r="BR87" s="8" t="str">
        <v>No</v>
      </c>
    </row>
    <row r="88" spans="54:70" x14ac:dyDescent="0.2">
      <c r="BB88" s="94"/>
      <c r="BL88" s="8">
        <v>39</v>
      </c>
      <c r="BM88" s="8">
        <v>4751638.237137123</v>
      </c>
      <c r="BN88" s="8">
        <v>0</v>
      </c>
      <c r="BO88" s="8">
        <v>4751638.237137123</v>
      </c>
      <c r="BP88" s="8">
        <v>5999492.8875230365</v>
      </c>
      <c r="BQ88" s="8">
        <v>1247854.6503859134</v>
      </c>
      <c r="BR88" s="8" t="str">
        <v>No</v>
      </c>
    </row>
    <row r="89" spans="54:70" x14ac:dyDescent="0.2">
      <c r="BB89" s="94"/>
      <c r="BL89" s="8">
        <v>40</v>
      </c>
      <c r="BM89" s="8">
        <v>3648110.3938642447</v>
      </c>
      <c r="BN89" s="8">
        <v>3987624.3537054998</v>
      </c>
      <c r="BO89" s="8">
        <v>7635734.7475697445</v>
      </c>
      <c r="BP89" s="8">
        <v>3351538.1203826815</v>
      </c>
      <c r="BQ89" s="8">
        <v>-4284196.627187063</v>
      </c>
      <c r="BR89" s="8" t="str">
        <v>Yes</v>
      </c>
    </row>
    <row r="90" spans="54:70" x14ac:dyDescent="0.2">
      <c r="BB90" s="94"/>
      <c r="BL90" s="8">
        <v>41</v>
      </c>
      <c r="BM90" s="8">
        <v>10990058.549844692</v>
      </c>
      <c r="BN90" s="8">
        <v>12824652.669720717</v>
      </c>
      <c r="BO90" s="8">
        <v>23814711.219565406</v>
      </c>
      <c r="BP90" s="8">
        <v>3404607.5482369801</v>
      </c>
      <c r="BQ90" s="8">
        <v>-20410103.671328425</v>
      </c>
      <c r="BR90" s="8" t="str">
        <v>Yes</v>
      </c>
    </row>
    <row r="91" spans="54:70" x14ac:dyDescent="0.2">
      <c r="BB91" s="94"/>
      <c r="BL91" s="8">
        <v>42</v>
      </c>
      <c r="BM91" s="8">
        <v>1333073.9060333231</v>
      </c>
      <c r="BN91" s="8">
        <v>158237.77615017057</v>
      </c>
      <c r="BO91" s="8">
        <v>1491311.6821834936</v>
      </c>
      <c r="BP91" s="8">
        <v>3042571.0737816123</v>
      </c>
      <c r="BQ91" s="8">
        <v>1551259.3915981187</v>
      </c>
      <c r="BR91" s="8" t="str">
        <v>No</v>
      </c>
    </row>
    <row r="92" spans="54:70" x14ac:dyDescent="0.2">
      <c r="BB92" s="94"/>
      <c r="BL92" s="8">
        <v>43</v>
      </c>
      <c r="BM92" s="8">
        <v>3306354.860296662</v>
      </c>
      <c r="BN92" s="8">
        <v>0</v>
      </c>
      <c r="BO92" s="8">
        <v>3306354.860296662</v>
      </c>
      <c r="BP92" s="8">
        <v>4838271.2360052252</v>
      </c>
      <c r="BQ92" s="8">
        <v>1531916.3757085633</v>
      </c>
      <c r="BR92" s="8" t="str">
        <v>No</v>
      </c>
    </row>
    <row r="93" spans="54:70" x14ac:dyDescent="0.2">
      <c r="BB93" s="94"/>
      <c r="BL93" s="8">
        <v>44</v>
      </c>
      <c r="BM93" s="8">
        <v>3087152.0001340546</v>
      </c>
      <c r="BN93" s="8">
        <v>0</v>
      </c>
      <c r="BO93" s="8">
        <v>3087152.0001340546</v>
      </c>
      <c r="BP93" s="8">
        <v>3548298.486940051</v>
      </c>
      <c r="BQ93" s="8">
        <v>461146.48680599639</v>
      </c>
      <c r="BR93" s="8" t="str">
        <v>No</v>
      </c>
    </row>
    <row r="94" spans="54:70" x14ac:dyDescent="0.2">
      <c r="BB94" s="94"/>
      <c r="BL94" s="8">
        <v>45</v>
      </c>
      <c r="BM94" s="8">
        <v>6552514.7504116483</v>
      </c>
      <c r="BN94" s="8">
        <v>6334105.0855084872</v>
      </c>
      <c r="BO94" s="8">
        <v>12886619.835920136</v>
      </c>
      <c r="BP94" s="8">
        <v>6425426.0537523786</v>
      </c>
      <c r="BQ94" s="8">
        <v>-6461193.7821677579</v>
      </c>
      <c r="BR94" s="8" t="str">
        <v>Yes</v>
      </c>
    </row>
    <row r="95" spans="54:70" x14ac:dyDescent="0.2">
      <c r="BB95" s="94"/>
      <c r="BL95" s="8">
        <v>46</v>
      </c>
      <c r="BM95" s="8">
        <v>5104610.9283245299</v>
      </c>
      <c r="BN95" s="8">
        <v>7229655.4574851543</v>
      </c>
      <c r="BO95" s="8">
        <v>12334266.385809684</v>
      </c>
      <c r="BP95" s="8">
        <v>6477306.1627910389</v>
      </c>
      <c r="BQ95" s="8">
        <v>-5856960.2230186453</v>
      </c>
      <c r="BR95" s="8" t="str">
        <v>Yes</v>
      </c>
    </row>
    <row r="96" spans="54:70" x14ac:dyDescent="0.2">
      <c r="BB96" s="94"/>
      <c r="BL96" s="8">
        <v>47</v>
      </c>
      <c r="BM96" s="8">
        <v>21603262.148244012</v>
      </c>
      <c r="BN96" s="8">
        <v>0</v>
      </c>
      <c r="BO96" s="8">
        <v>21603262.148244012</v>
      </c>
      <c r="BP96" s="8">
        <v>5968703.7988341711</v>
      </c>
      <c r="BQ96" s="8">
        <v>-15634558.349409841</v>
      </c>
      <c r="BR96" s="8" t="str">
        <v>Yes</v>
      </c>
    </row>
    <row r="97" spans="54:70" x14ac:dyDescent="0.2">
      <c r="BB97" s="94"/>
      <c r="BL97" s="8">
        <v>48</v>
      </c>
      <c r="BM97" s="8">
        <v>3721605.6221880391</v>
      </c>
      <c r="BN97" s="8">
        <v>0</v>
      </c>
      <c r="BO97" s="8">
        <v>3721605.6221880391</v>
      </c>
      <c r="BP97" s="8">
        <v>4579856.6210685475</v>
      </c>
      <c r="BQ97" s="8">
        <v>858250.99888050836</v>
      </c>
      <c r="BR97" s="8" t="str">
        <v>No</v>
      </c>
    </row>
    <row r="98" spans="54:70" x14ac:dyDescent="0.2">
      <c r="BB98" s="94"/>
      <c r="BL98" s="8">
        <v>49</v>
      </c>
      <c r="BM98" s="8">
        <v>6064521.2789105047</v>
      </c>
      <c r="BN98" s="8">
        <v>5010489.4729285408</v>
      </c>
      <c r="BO98" s="8">
        <v>11075010.751839045</v>
      </c>
      <c r="BP98" s="8">
        <v>4338649.9346234631</v>
      </c>
      <c r="BQ98" s="8">
        <v>-6736360.8172155824</v>
      </c>
      <c r="BR98" s="8" t="str">
        <v>Yes</v>
      </c>
    </row>
    <row r="99" spans="54:70" x14ac:dyDescent="0.2">
      <c r="BB99" s="94"/>
      <c r="BL99" s="8">
        <v>50</v>
      </c>
      <c r="BM99" s="8">
        <v>5130520.5491674701</v>
      </c>
      <c r="BN99" s="8">
        <v>3540239.7940954478</v>
      </c>
      <c r="BO99" s="8">
        <v>8670760.3432629183</v>
      </c>
      <c r="BP99" s="8">
        <v>2280879.0962276799</v>
      </c>
      <c r="BQ99" s="8">
        <v>-6389881.2470352389</v>
      </c>
      <c r="BR99" s="8" t="str">
        <v>Yes</v>
      </c>
    </row>
    <row r="100" spans="54:70" x14ac:dyDescent="0.2">
      <c r="BB100" s="94"/>
      <c r="BL100" s="8">
        <v>51</v>
      </c>
      <c r="BM100" s="8">
        <v>4829451.2817474389</v>
      </c>
      <c r="BN100" s="8">
        <v>7866029.012002077</v>
      </c>
      <c r="BO100" s="8">
        <v>12695480.293749515</v>
      </c>
      <c r="BP100" s="8">
        <v>5990163.7942514531</v>
      </c>
      <c r="BQ100" s="8">
        <v>-6705316.4994980618</v>
      </c>
      <c r="BR100" s="8" t="str">
        <v>Yes</v>
      </c>
    </row>
    <row r="101" spans="54:70" x14ac:dyDescent="0.2">
      <c r="BB101" s="94"/>
      <c r="BL101" s="8">
        <v>52</v>
      </c>
      <c r="BM101" s="8">
        <v>4599143.9137542266</v>
      </c>
      <c r="BN101" s="8">
        <v>6423362.5876402557</v>
      </c>
      <c r="BO101" s="8">
        <v>11022506.501394482</v>
      </c>
      <c r="BP101" s="8">
        <v>4070424.2259027418</v>
      </c>
      <c r="BQ101" s="8">
        <v>-6952082.2754917406</v>
      </c>
      <c r="BR101" s="8" t="str">
        <v>Yes</v>
      </c>
    </row>
    <row r="102" spans="54:70" x14ac:dyDescent="0.2">
      <c r="BB102" s="94"/>
      <c r="BL102" s="8">
        <v>53</v>
      </c>
      <c r="BM102" s="8">
        <v>4864208.2704417408</v>
      </c>
      <c r="BN102" s="8">
        <v>4823207.5591890235</v>
      </c>
      <c r="BO102" s="8">
        <v>9687415.8296307642</v>
      </c>
      <c r="BP102" s="8">
        <v>3302854.8169255345</v>
      </c>
      <c r="BQ102" s="8">
        <v>-6384561.0127052292</v>
      </c>
      <c r="BR102" s="8" t="str">
        <v>Yes</v>
      </c>
    </row>
    <row r="103" spans="54:70" x14ac:dyDescent="0.2">
      <c r="BB103" s="94"/>
      <c r="BL103" s="8">
        <v>54</v>
      </c>
      <c r="BM103" s="8">
        <v>4084405.892021569</v>
      </c>
      <c r="BN103" s="8">
        <v>4288716.4096844243</v>
      </c>
      <c r="BO103" s="8">
        <v>8373122.3017059937</v>
      </c>
      <c r="BP103" s="8">
        <v>6413457.5571724325</v>
      </c>
      <c r="BQ103" s="8">
        <v>-1959664.7445335612</v>
      </c>
      <c r="BR103" s="8" t="str">
        <v>Yes</v>
      </c>
    </row>
    <row r="104" spans="54:70" x14ac:dyDescent="0.2">
      <c r="BB104" s="94"/>
      <c r="BL104" s="8">
        <v>55</v>
      </c>
      <c r="BM104" s="8">
        <v>1977270.2969238122</v>
      </c>
      <c r="BN104" s="8">
        <v>0</v>
      </c>
      <c r="BO104" s="8">
        <v>1977270.2969238122</v>
      </c>
      <c r="BP104" s="8">
        <v>4060125.3939395407</v>
      </c>
      <c r="BQ104" s="8">
        <v>2082855.0970157285</v>
      </c>
      <c r="BR104" s="8" t="str">
        <v>No</v>
      </c>
    </row>
    <row r="105" spans="54:70" x14ac:dyDescent="0.2">
      <c r="BB105" s="94"/>
      <c r="BL105" s="8">
        <v>56</v>
      </c>
      <c r="BM105" s="8">
        <v>4389335.9323392669</v>
      </c>
      <c r="BN105" s="8">
        <v>1611753.1049123644</v>
      </c>
      <c r="BO105" s="8">
        <v>6001089.0372516308</v>
      </c>
      <c r="BP105" s="8">
        <v>2252420.0969282663</v>
      </c>
      <c r="BQ105" s="8">
        <v>-3748668.9403233645</v>
      </c>
      <c r="BR105" s="8" t="str">
        <v>Yes</v>
      </c>
    </row>
    <row r="106" spans="54:70" x14ac:dyDescent="0.2">
      <c r="BB106" s="94"/>
      <c r="BL106" s="8">
        <v>57</v>
      </c>
      <c r="BM106" s="8">
        <v>3303929.4326637047</v>
      </c>
      <c r="BN106" s="8">
        <v>4748462.3748129513</v>
      </c>
      <c r="BO106" s="8">
        <v>8052391.8074766565</v>
      </c>
      <c r="BP106" s="8">
        <v>4192327.6867376384</v>
      </c>
      <c r="BQ106" s="8">
        <v>-3860064.1207390181</v>
      </c>
      <c r="BR106" s="8" t="str">
        <v>Yes</v>
      </c>
    </row>
    <row r="107" spans="54:70" x14ac:dyDescent="0.2">
      <c r="BB107" s="94"/>
      <c r="BL107" s="8">
        <v>58</v>
      </c>
      <c r="BM107" s="8">
        <v>4417869.765538062</v>
      </c>
      <c r="BN107" s="8">
        <v>2467371.6488873218</v>
      </c>
      <c r="BO107" s="8">
        <v>6885241.4144253843</v>
      </c>
      <c r="BP107" s="8">
        <v>2279623.71735489</v>
      </c>
      <c r="BQ107" s="8">
        <v>-4605617.6970704943</v>
      </c>
      <c r="BR107" s="8" t="str">
        <v>Yes</v>
      </c>
    </row>
    <row r="108" spans="54:70" x14ac:dyDescent="0.2">
      <c r="BB108" s="94"/>
      <c r="BL108" s="8">
        <v>59</v>
      </c>
      <c r="BM108" s="8">
        <v>3346730.3933295496</v>
      </c>
      <c r="BN108" s="8">
        <v>0</v>
      </c>
      <c r="BO108" s="8">
        <v>3346730.3933295496</v>
      </c>
      <c r="BP108" s="8">
        <v>5260528.3472236171</v>
      </c>
      <c r="BQ108" s="8">
        <v>1913797.9538940676</v>
      </c>
      <c r="BR108" s="8" t="str">
        <v>No</v>
      </c>
    </row>
    <row r="109" spans="54:70" x14ac:dyDescent="0.2">
      <c r="BB109" s="94"/>
      <c r="BL109" s="8">
        <v>60</v>
      </c>
      <c r="BM109" s="8">
        <v>3200892.8572775829</v>
      </c>
      <c r="BN109" s="8">
        <v>776066.3189913237</v>
      </c>
      <c r="BO109" s="8">
        <v>3976959.1762689063</v>
      </c>
      <c r="BP109" s="8">
        <v>3196482.3679808136</v>
      </c>
      <c r="BQ109" s="8">
        <v>-780476.80828809272</v>
      </c>
      <c r="BR109" s="8" t="str">
        <v>Yes</v>
      </c>
    </row>
    <row r="110" spans="54:70" x14ac:dyDescent="0.2">
      <c r="BB110" s="94"/>
      <c r="BL110" s="8">
        <v>61</v>
      </c>
      <c r="BM110" s="8">
        <v>2522963.7843825617</v>
      </c>
      <c r="BN110" s="8">
        <v>1655509.7634979389</v>
      </c>
      <c r="BO110" s="8">
        <v>4178473.5478805006</v>
      </c>
      <c r="BP110" s="8">
        <v>3363188.6447708765</v>
      </c>
      <c r="BQ110" s="8">
        <v>-815284.90310962405</v>
      </c>
      <c r="BR110" s="8" t="str">
        <v>Yes</v>
      </c>
    </row>
    <row r="111" spans="54:70" x14ac:dyDescent="0.2">
      <c r="BB111" s="94"/>
      <c r="BL111" s="8">
        <v>62</v>
      </c>
      <c r="BM111" s="8">
        <v>2874312.6318892981</v>
      </c>
      <c r="BN111" s="8">
        <v>2379337.8092633104</v>
      </c>
      <c r="BO111" s="8">
        <v>5253650.441152608</v>
      </c>
      <c r="BP111" s="8">
        <v>3260702.1380680408</v>
      </c>
      <c r="BQ111" s="8">
        <v>-1992948.3030845672</v>
      </c>
      <c r="BR111" s="8" t="str">
        <v>Yes</v>
      </c>
    </row>
    <row r="112" spans="54:70" x14ac:dyDescent="0.2">
      <c r="BB112" s="94"/>
      <c r="BL112" s="8">
        <v>63</v>
      </c>
      <c r="BM112" s="8">
        <v>4362077.1936579263</v>
      </c>
      <c r="BN112" s="8">
        <v>5213100.7249907209</v>
      </c>
      <c r="BO112" s="8">
        <v>9575177.9186486471</v>
      </c>
      <c r="BP112" s="8">
        <v>2222513.7584750941</v>
      </c>
      <c r="BQ112" s="8">
        <v>-7352664.160173553</v>
      </c>
      <c r="BR112" s="8" t="str">
        <v>Yes</v>
      </c>
    </row>
    <row r="113" spans="54:70" x14ac:dyDescent="0.2">
      <c r="BB113" s="94"/>
      <c r="BL113" s="8">
        <v>64</v>
      </c>
      <c r="BM113" s="8">
        <v>6118784.2480041748</v>
      </c>
      <c r="BN113" s="8">
        <v>4464156.4690743675</v>
      </c>
      <c r="BO113" s="8">
        <v>10582940.717078542</v>
      </c>
      <c r="BP113" s="8">
        <v>3310720.4249645313</v>
      </c>
      <c r="BQ113" s="8">
        <v>-7272220.292114011</v>
      </c>
      <c r="BR113" s="8" t="str">
        <v>Yes</v>
      </c>
    </row>
    <row r="114" spans="54:70" x14ac:dyDescent="0.2">
      <c r="BB114" s="94"/>
      <c r="BL114" s="8">
        <v>65</v>
      </c>
      <c r="BM114" s="8">
        <v>3589394.5616477402</v>
      </c>
      <c r="BN114" s="8">
        <v>0</v>
      </c>
      <c r="BO114" s="8">
        <v>3589394.5616477402</v>
      </c>
      <c r="BP114" s="8">
        <v>3144377.4860107182</v>
      </c>
      <c r="BQ114" s="8">
        <v>-445017.07563702203</v>
      </c>
      <c r="BR114" s="8" t="str">
        <v>Yes</v>
      </c>
    </row>
    <row r="115" spans="54:70" x14ac:dyDescent="0.2">
      <c r="BB115" s="94"/>
      <c r="BL115" s="8">
        <v>66</v>
      </c>
      <c r="BM115" s="8">
        <v>1706565.5180157907</v>
      </c>
      <c r="BN115" s="8">
        <v>0</v>
      </c>
      <c r="BO115" s="8">
        <v>1706565.5180157907</v>
      </c>
      <c r="BP115" s="8">
        <v>3932620.9449996147</v>
      </c>
      <c r="BQ115" s="8">
        <v>2226055.426983824</v>
      </c>
      <c r="BR115" s="8" t="str">
        <v>No</v>
      </c>
    </row>
    <row r="116" spans="54:70" x14ac:dyDescent="0.2">
      <c r="BB116" s="94"/>
      <c r="BL116" s="8">
        <v>67</v>
      </c>
      <c r="BM116" s="8">
        <v>2141403.0914902654</v>
      </c>
      <c r="BN116" s="8">
        <v>0</v>
      </c>
      <c r="BO116" s="8">
        <v>2141403.0914902654</v>
      </c>
      <c r="BP116" s="8">
        <v>2322981.9150760798</v>
      </c>
      <c r="BQ116" s="8">
        <v>181578.82358581433</v>
      </c>
      <c r="BR116" s="8" t="str">
        <v>No</v>
      </c>
    </row>
    <row r="117" spans="54:70" x14ac:dyDescent="0.2">
      <c r="BB117" s="94"/>
      <c r="BL117" s="8">
        <v>68</v>
      </c>
      <c r="BM117" s="8">
        <v>1797128.3574202615</v>
      </c>
      <c r="BN117" s="8">
        <v>1183815.0076557002</v>
      </c>
      <c r="BO117" s="8">
        <v>2980943.3650759617</v>
      </c>
      <c r="BP117" s="8">
        <v>3602112.0302377879</v>
      </c>
      <c r="BQ117" s="8">
        <v>621168.66516182618</v>
      </c>
      <c r="BR117" s="8" t="str">
        <v>No</v>
      </c>
    </row>
    <row r="118" spans="54:70" x14ac:dyDescent="0.2">
      <c r="BB118" s="94"/>
      <c r="BL118" s="8">
        <v>69</v>
      </c>
      <c r="BM118" s="8">
        <v>2956926.7683656542</v>
      </c>
      <c r="BN118" s="8">
        <v>1031120.0098386557</v>
      </c>
      <c r="BO118" s="8">
        <v>3988046.7782043098</v>
      </c>
      <c r="BP118" s="8">
        <v>4507966.1738734022</v>
      </c>
      <c r="BQ118" s="8">
        <v>519919.39566909242</v>
      </c>
      <c r="BR118" s="8" t="str">
        <v>No</v>
      </c>
    </row>
    <row r="119" spans="54:70" x14ac:dyDescent="0.2">
      <c r="BB119" s="94"/>
      <c r="BL119" s="8">
        <v>70</v>
      </c>
      <c r="BM119" s="8">
        <v>3479844.1049636733</v>
      </c>
      <c r="BN119" s="8">
        <v>5641703.6422924837</v>
      </c>
      <c r="BO119" s="8">
        <v>9121547.7472561561</v>
      </c>
      <c r="BP119" s="8">
        <v>3051283.0217544134</v>
      </c>
      <c r="BQ119" s="8">
        <v>-6070264.7255017422</v>
      </c>
      <c r="BR119" s="8" t="str">
        <v>Yes</v>
      </c>
    </row>
    <row r="120" spans="54:70" x14ac:dyDescent="0.2">
      <c r="BB120" s="94"/>
      <c r="BL120" s="8">
        <v>71</v>
      </c>
      <c r="BM120" s="8">
        <v>2433916.4764838153</v>
      </c>
      <c r="BN120" s="8">
        <v>1718961.1669464083</v>
      </c>
      <c r="BO120" s="8">
        <v>4152877.6434302237</v>
      </c>
      <c r="BP120" s="8">
        <v>3054854.2989180074</v>
      </c>
      <c r="BQ120" s="8">
        <v>-1098023.3445122163</v>
      </c>
      <c r="BR120" s="8" t="str">
        <v>Yes</v>
      </c>
    </row>
    <row r="121" spans="54:70" x14ac:dyDescent="0.2">
      <c r="BB121" s="94"/>
      <c r="BL121" s="8">
        <v>72</v>
      </c>
      <c r="BM121" s="8">
        <v>6969604.1964262463</v>
      </c>
      <c r="BN121" s="8">
        <v>0</v>
      </c>
      <c r="BO121" s="8">
        <v>6969604.1964262463</v>
      </c>
      <c r="BP121" s="8">
        <v>4510506.2055250462</v>
      </c>
      <c r="BQ121" s="8">
        <v>-2459097.9909012001</v>
      </c>
      <c r="BR121" s="8" t="str">
        <v>Yes</v>
      </c>
    </row>
    <row r="122" spans="54:70" x14ac:dyDescent="0.2">
      <c r="BB122" s="94"/>
      <c r="BL122" s="8">
        <v>73</v>
      </c>
      <c r="BM122" s="8">
        <v>1880812.0966733645</v>
      </c>
      <c r="BN122" s="8">
        <v>0</v>
      </c>
      <c r="BO122" s="8">
        <v>1880812.0966733645</v>
      </c>
      <c r="BP122" s="8">
        <v>5894461.0877590692</v>
      </c>
      <c r="BQ122" s="8">
        <v>4013648.9910857044</v>
      </c>
      <c r="BR122" s="8" t="str">
        <v>No</v>
      </c>
    </row>
    <row r="123" spans="54:70" x14ac:dyDescent="0.2">
      <c r="BB123" s="94"/>
      <c r="BL123" s="8">
        <v>74</v>
      </c>
      <c r="BM123" s="8">
        <v>4485270.2525188215</v>
      </c>
      <c r="BN123" s="8">
        <v>2276597.4078637832</v>
      </c>
      <c r="BO123" s="8">
        <v>6761867.6603826042</v>
      </c>
      <c r="BP123" s="8">
        <v>2066307.980672322</v>
      </c>
      <c r="BQ123" s="8">
        <v>-4695559.679710282</v>
      </c>
      <c r="BR123" s="8" t="str">
        <v>Yes</v>
      </c>
    </row>
    <row r="124" spans="54:70" x14ac:dyDescent="0.2">
      <c r="BB124" s="94"/>
      <c r="BL124" s="8">
        <v>75</v>
      </c>
      <c r="BM124" s="8">
        <v>3690177.2608873332</v>
      </c>
      <c r="BN124" s="8">
        <v>3911987.3916348014</v>
      </c>
      <c r="BO124" s="8">
        <v>7602164.6525221346</v>
      </c>
      <c r="BP124" s="8">
        <v>4091879.5351321367</v>
      </c>
      <c r="BQ124" s="8">
        <v>-3510285.1173899979</v>
      </c>
      <c r="BR124" s="8" t="str">
        <v>Yes</v>
      </c>
    </row>
    <row r="125" spans="54:70" x14ac:dyDescent="0.2">
      <c r="BB125" s="94"/>
      <c r="BL125" s="8">
        <v>76</v>
      </c>
      <c r="BM125" s="8">
        <v>3530456.3659077515</v>
      </c>
      <c r="BN125" s="8">
        <v>2152272.8080905657</v>
      </c>
      <c r="BO125" s="8">
        <v>5682729.1739983167</v>
      </c>
      <c r="BP125" s="8">
        <v>5687150.4057699069</v>
      </c>
      <c r="BQ125" s="8">
        <v>4421.2317715901881</v>
      </c>
      <c r="BR125" s="8" t="str">
        <v>No</v>
      </c>
    </row>
    <row r="126" spans="54:70" x14ac:dyDescent="0.2">
      <c r="BB126" s="94"/>
      <c r="BL126" s="8">
        <v>77</v>
      </c>
      <c r="BM126" s="8">
        <v>4738749.7687876793</v>
      </c>
      <c r="BN126" s="8">
        <v>2639447.1024074592</v>
      </c>
      <c r="BO126" s="8">
        <v>7378196.8711951384</v>
      </c>
      <c r="BP126" s="8">
        <v>6428444.5947070261</v>
      </c>
      <c r="BQ126" s="8">
        <v>-949752.27648811229</v>
      </c>
      <c r="BR126" s="8" t="str">
        <v>Yes</v>
      </c>
    </row>
    <row r="127" spans="54:70" x14ac:dyDescent="0.2">
      <c r="BB127" s="94"/>
      <c r="BL127" s="8">
        <v>78</v>
      </c>
      <c r="BM127" s="8">
        <v>8441538.6857300624</v>
      </c>
      <c r="BN127" s="8">
        <v>7155679.6540810447</v>
      </c>
      <c r="BO127" s="8">
        <v>15597218.339811107</v>
      </c>
      <c r="BP127" s="8">
        <v>2360679.9441603739</v>
      </c>
      <c r="BQ127" s="8">
        <v>-13236538.395650733</v>
      </c>
      <c r="BR127" s="8" t="str">
        <v>Yes</v>
      </c>
    </row>
    <row r="128" spans="54:70" x14ac:dyDescent="0.2">
      <c r="BB128" s="94"/>
      <c r="BL128" s="8">
        <v>79</v>
      </c>
      <c r="BM128" s="8">
        <v>4200990.2541392269</v>
      </c>
      <c r="BN128" s="8">
        <v>2475262.4057198162</v>
      </c>
      <c r="BO128" s="8">
        <v>6676252.6598590426</v>
      </c>
      <c r="BP128" s="8">
        <v>6452924.4922537999</v>
      </c>
      <c r="BQ128" s="8">
        <v>-223328.16760524269</v>
      </c>
      <c r="BR128" s="8" t="str">
        <v>Yes</v>
      </c>
    </row>
    <row r="129" spans="54:70" x14ac:dyDescent="0.2">
      <c r="BB129" s="94"/>
      <c r="BL129" s="8">
        <v>80</v>
      </c>
      <c r="BM129" s="8">
        <v>1824185.7037101805</v>
      </c>
      <c r="BN129" s="8">
        <v>1236597.3534461944</v>
      </c>
      <c r="BO129" s="8">
        <v>3060783.0571563747</v>
      </c>
      <c r="BP129" s="8">
        <v>3226424.0232774317</v>
      </c>
      <c r="BQ129" s="8">
        <v>165640.96612105705</v>
      </c>
      <c r="BR129" s="8" t="str">
        <v>No</v>
      </c>
    </row>
    <row r="130" spans="54:70" x14ac:dyDescent="0.2">
      <c r="BB130" s="94"/>
      <c r="BL130" s="8">
        <v>81</v>
      </c>
      <c r="BM130" s="8">
        <v>4630126.409581027</v>
      </c>
      <c r="BN130" s="8">
        <v>3698757.4270656854</v>
      </c>
      <c r="BO130" s="8">
        <v>8328883.8366467124</v>
      </c>
      <c r="BP130" s="8">
        <v>3588300.3743469035</v>
      </c>
      <c r="BQ130" s="8">
        <v>-4740583.4622998089</v>
      </c>
      <c r="BR130" s="8" t="str">
        <v>Yes</v>
      </c>
    </row>
    <row r="131" spans="54:70" x14ac:dyDescent="0.2">
      <c r="BB131" s="94"/>
      <c r="BL131" s="8">
        <v>82</v>
      </c>
      <c r="BM131" s="8">
        <v>4509354.9682575539</v>
      </c>
      <c r="BN131" s="8">
        <v>0</v>
      </c>
      <c r="BO131" s="8">
        <v>4509354.9682575539</v>
      </c>
      <c r="BP131" s="8">
        <v>2365097.0298900222</v>
      </c>
      <c r="BQ131" s="8">
        <v>-2144257.9383675316</v>
      </c>
      <c r="BR131" s="8" t="str">
        <v>Yes</v>
      </c>
    </row>
    <row r="132" spans="54:70" x14ac:dyDescent="0.2">
      <c r="BB132" s="94"/>
      <c r="BL132" s="8">
        <v>83</v>
      </c>
      <c r="BM132" s="8">
        <v>4559678.0195970256</v>
      </c>
      <c r="BN132" s="8">
        <v>0</v>
      </c>
      <c r="BO132" s="8">
        <v>4559678.0195970256</v>
      </c>
      <c r="BP132" s="8">
        <v>6057339.1013552872</v>
      </c>
      <c r="BQ132" s="8">
        <v>1497661.0817582617</v>
      </c>
      <c r="BR132" s="8" t="str">
        <v>No</v>
      </c>
    </row>
    <row r="133" spans="54:70" x14ac:dyDescent="0.2">
      <c r="BB133" s="94"/>
      <c r="BL133" s="8">
        <v>84</v>
      </c>
      <c r="BM133" s="8">
        <v>5874951.856990871</v>
      </c>
      <c r="BN133" s="8">
        <v>0</v>
      </c>
      <c r="BO133" s="8">
        <v>5874951.856990871</v>
      </c>
      <c r="BP133" s="8">
        <v>3471729.294750581</v>
      </c>
      <c r="BQ133" s="8">
        <v>-2403222.56224029</v>
      </c>
      <c r="BR133" s="8" t="str">
        <v>Yes</v>
      </c>
    </row>
    <row r="134" spans="54:70" x14ac:dyDescent="0.2">
      <c r="BB134" s="94"/>
      <c r="BL134" s="8">
        <v>85</v>
      </c>
      <c r="BM134" s="8">
        <v>1379758.8646718655</v>
      </c>
      <c r="BN134" s="8">
        <v>1868526.3845674857</v>
      </c>
      <c r="BO134" s="8">
        <v>3248285.2492393511</v>
      </c>
      <c r="BP134" s="8">
        <v>2397596.3506064657</v>
      </c>
      <c r="BQ134" s="8">
        <v>-850688.89863288542</v>
      </c>
      <c r="BR134" s="8" t="str">
        <v>Yes</v>
      </c>
    </row>
    <row r="135" spans="54:70" x14ac:dyDescent="0.2">
      <c r="BB135" s="94"/>
      <c r="BL135" s="8">
        <v>86</v>
      </c>
      <c r="BM135" s="8">
        <v>3807607.1679450627</v>
      </c>
      <c r="BN135" s="8">
        <v>3165294.158599792</v>
      </c>
      <c r="BO135" s="8">
        <v>6972901.3265448548</v>
      </c>
      <c r="BP135" s="8">
        <v>2206562.655093947</v>
      </c>
      <c r="BQ135" s="8">
        <v>-4766338.6714509074</v>
      </c>
      <c r="BR135" s="8" t="str">
        <v>Yes</v>
      </c>
    </row>
    <row r="136" spans="54:70" x14ac:dyDescent="0.2">
      <c r="BB136" s="94"/>
      <c r="BL136" s="8">
        <v>87</v>
      </c>
      <c r="BM136" s="8">
        <v>4528575.7718862128</v>
      </c>
      <c r="BN136" s="8">
        <v>1978516.5397389159</v>
      </c>
      <c r="BO136" s="8">
        <v>6507092.3116251286</v>
      </c>
      <c r="BP136" s="8">
        <v>3172117.1369523653</v>
      </c>
      <c r="BQ136" s="8">
        <v>-3334975.1746727633</v>
      </c>
      <c r="BR136" s="8" t="str">
        <v>Yes</v>
      </c>
    </row>
    <row r="137" spans="54:70" x14ac:dyDescent="0.2">
      <c r="BB137" s="94"/>
      <c r="BL137" s="8">
        <v>88</v>
      </c>
      <c r="BM137" s="8">
        <v>2660037.866369498</v>
      </c>
      <c r="BN137" s="8">
        <v>0</v>
      </c>
      <c r="BO137" s="8">
        <v>2660037.866369498</v>
      </c>
      <c r="BP137" s="8">
        <v>3572265.2905923012</v>
      </c>
      <c r="BQ137" s="8">
        <v>912227.42422280321</v>
      </c>
      <c r="BR137" s="8" t="str">
        <v>No</v>
      </c>
    </row>
    <row r="138" spans="54:70" x14ac:dyDescent="0.2">
      <c r="BB138" s="94"/>
      <c r="BL138" s="8">
        <v>89</v>
      </c>
      <c r="BM138" s="8">
        <v>4964068.5334395077</v>
      </c>
      <c r="BN138" s="8">
        <v>0</v>
      </c>
      <c r="BO138" s="8">
        <v>4964068.5334395077</v>
      </c>
      <c r="BP138" s="8">
        <v>4272884.3631380936</v>
      </c>
      <c r="BQ138" s="8">
        <v>-691184.17030141409</v>
      </c>
      <c r="BR138" s="8" t="str">
        <v>Yes</v>
      </c>
    </row>
    <row r="139" spans="54:70" x14ac:dyDescent="0.2">
      <c r="BB139" s="94"/>
      <c r="BL139" s="8">
        <v>90</v>
      </c>
      <c r="BM139" s="8">
        <v>3957539.2463194858</v>
      </c>
      <c r="BN139" s="8">
        <v>3216484.879688276</v>
      </c>
      <c r="BO139" s="8">
        <v>7174024.1260077618</v>
      </c>
      <c r="BP139" s="8">
        <v>3360024.1585369133</v>
      </c>
      <c r="BQ139" s="8">
        <v>-3813999.9674708485</v>
      </c>
      <c r="BR139" s="8" t="str">
        <v>Yes</v>
      </c>
    </row>
    <row r="140" spans="54:70" x14ac:dyDescent="0.2">
      <c r="BB140" s="94"/>
      <c r="BL140" s="8">
        <v>91</v>
      </c>
      <c r="BM140" s="8">
        <v>2261611.2016936392</v>
      </c>
      <c r="BN140" s="8">
        <v>1646486.7803172159</v>
      </c>
      <c r="BO140" s="8">
        <v>3908097.9820108553</v>
      </c>
      <c r="BP140" s="8">
        <v>4476692.6946022082</v>
      </c>
      <c r="BQ140" s="8">
        <v>568594.71259135287</v>
      </c>
      <c r="BR140" s="8" t="str">
        <v>No</v>
      </c>
    </row>
    <row r="141" spans="54:70" x14ac:dyDescent="0.2">
      <c r="BB141" s="94"/>
      <c r="BL141" s="8">
        <v>92</v>
      </c>
      <c r="BM141" s="8">
        <v>4665475.32013469</v>
      </c>
      <c r="BN141" s="8">
        <v>4120495.058142384</v>
      </c>
      <c r="BO141" s="8">
        <v>8785970.3782770745</v>
      </c>
      <c r="BP141" s="8">
        <v>3281294.2178149489</v>
      </c>
      <c r="BQ141" s="8">
        <v>-5504676.1604621261</v>
      </c>
      <c r="BR141" s="8" t="str">
        <v>Yes</v>
      </c>
    </row>
    <row r="142" spans="54:70" x14ac:dyDescent="0.2">
      <c r="BB142" s="94"/>
      <c r="BL142" s="8">
        <v>93</v>
      </c>
      <c r="BM142" s="8">
        <v>5824566.3730301876</v>
      </c>
      <c r="BN142" s="8">
        <v>0</v>
      </c>
      <c r="BO142" s="8">
        <v>5824566.3730301876</v>
      </c>
      <c r="BP142" s="8">
        <v>2228199.7446756521</v>
      </c>
      <c r="BQ142" s="8">
        <v>-3596366.6283545354</v>
      </c>
      <c r="BR142" s="8" t="str">
        <v>Yes</v>
      </c>
    </row>
    <row r="143" spans="54:70" x14ac:dyDescent="0.2">
      <c r="BB143" s="94"/>
      <c r="BL143" s="8">
        <v>94</v>
      </c>
      <c r="BM143" s="8">
        <v>2717050.5030707801</v>
      </c>
      <c r="BN143" s="8">
        <v>0</v>
      </c>
      <c r="BO143" s="8">
        <v>2717050.5030707801</v>
      </c>
      <c r="BP143" s="8">
        <v>3176041.4514191118</v>
      </c>
      <c r="BQ143" s="8">
        <v>458990.94834833173</v>
      </c>
      <c r="BR143" s="8" t="str">
        <v>No</v>
      </c>
    </row>
    <row r="144" spans="54:70" x14ac:dyDescent="0.2">
      <c r="BB144" s="94"/>
      <c r="BL144" s="8">
        <v>95</v>
      </c>
      <c r="BM144" s="8">
        <v>7354969.7322720736</v>
      </c>
      <c r="BN144" s="8">
        <v>0</v>
      </c>
      <c r="BO144" s="8">
        <v>7354969.7322720736</v>
      </c>
      <c r="BP144" s="8">
        <v>2215782.0304427361</v>
      </c>
      <c r="BQ144" s="8">
        <v>-5139187.7018293375</v>
      </c>
      <c r="BR144" s="8" t="str">
        <v>Yes</v>
      </c>
    </row>
    <row r="145" spans="54:70" x14ac:dyDescent="0.2">
      <c r="BB145" s="94"/>
      <c r="BL145" s="8">
        <v>96</v>
      </c>
      <c r="BM145" s="8">
        <v>3488757.811939382</v>
      </c>
      <c r="BN145" s="8">
        <v>3621859.0598321706</v>
      </c>
      <c r="BO145" s="8">
        <v>7110616.8717715526</v>
      </c>
      <c r="BP145" s="8">
        <v>2333473.9800645369</v>
      </c>
      <c r="BQ145" s="8">
        <v>-4777142.8917070162</v>
      </c>
      <c r="BR145" s="8" t="str">
        <v>Yes</v>
      </c>
    </row>
    <row r="146" spans="54:70" x14ac:dyDescent="0.2">
      <c r="BB146" s="94"/>
      <c r="BL146" s="8">
        <v>97</v>
      </c>
      <c r="BM146" s="8">
        <v>3667785.7493480705</v>
      </c>
      <c r="BN146" s="8">
        <v>0</v>
      </c>
      <c r="BO146" s="8">
        <v>3667785.7493480705</v>
      </c>
      <c r="BP146" s="8">
        <v>2545299.5013255998</v>
      </c>
      <c r="BQ146" s="8">
        <v>-1122486.2480224706</v>
      </c>
      <c r="BR146" s="8" t="str">
        <v>Yes</v>
      </c>
    </row>
    <row r="147" spans="54:70" x14ac:dyDescent="0.2">
      <c r="BB147" s="94"/>
      <c r="BL147" s="8">
        <v>98</v>
      </c>
      <c r="BM147" s="8">
        <v>3061592.4633849002</v>
      </c>
      <c r="BN147" s="8">
        <v>3025800.2839725525</v>
      </c>
      <c r="BO147" s="8">
        <v>6087392.7473574523</v>
      </c>
      <c r="BP147" s="8">
        <v>3351419.5552214747</v>
      </c>
      <c r="BQ147" s="8">
        <v>-2735973.1921359776</v>
      </c>
      <c r="BR147" s="8" t="str">
        <v>Yes</v>
      </c>
    </row>
    <row r="148" spans="54:70" x14ac:dyDescent="0.2">
      <c r="BB148" s="94"/>
      <c r="BL148" s="8">
        <v>99</v>
      </c>
      <c r="BM148" s="8">
        <v>5461690.1890347376</v>
      </c>
      <c r="BN148" s="8">
        <v>0</v>
      </c>
      <c r="BO148" s="8">
        <v>5461690.1890347376</v>
      </c>
      <c r="BP148" s="8">
        <v>3540138.047899588</v>
      </c>
      <c r="BQ148" s="8">
        <v>-1921552.1411351496</v>
      </c>
      <c r="BR148" s="8" t="str">
        <v>Yes</v>
      </c>
    </row>
    <row r="149" spans="54:70" x14ac:dyDescent="0.2">
      <c r="BB149" s="94"/>
      <c r="BL149" s="8">
        <v>100</v>
      </c>
      <c r="BM149" s="8">
        <v>3640230.7016988983</v>
      </c>
      <c r="BN149" s="8">
        <v>0</v>
      </c>
      <c r="BO149" s="8">
        <v>3640230.7016988983</v>
      </c>
      <c r="BP149" s="8">
        <v>2334185.7256655726</v>
      </c>
      <c r="BQ149" s="8">
        <v>-1306044.9760333258</v>
      </c>
      <c r="BR149" s="8" t="str">
        <v>Yes</v>
      </c>
    </row>
    <row r="150" spans="54:70" x14ac:dyDescent="0.2">
      <c r="BB150" s="94"/>
      <c r="BL150" s="8">
        <v>101</v>
      </c>
      <c r="BM150" s="8">
        <v>2989429.5862710485</v>
      </c>
      <c r="BN150" s="8">
        <v>1861565.2609024276</v>
      </c>
      <c r="BO150" s="8">
        <v>4850994.8471734766</v>
      </c>
      <c r="BP150" s="8">
        <v>4416023.8251649709</v>
      </c>
      <c r="BQ150" s="8">
        <v>-434971.02200850565</v>
      </c>
      <c r="BR150" s="8" t="str">
        <v>Yes</v>
      </c>
    </row>
    <row r="151" spans="54:70" x14ac:dyDescent="0.2">
      <c r="BB151" s="94"/>
      <c r="BL151" s="8">
        <v>102</v>
      </c>
      <c r="BM151" s="8">
        <v>3549849.7057618629</v>
      </c>
      <c r="BN151" s="8">
        <v>0</v>
      </c>
      <c r="BO151" s="8">
        <v>3549849.7057618629</v>
      </c>
      <c r="BP151" s="8">
        <v>5803547.4664726621</v>
      </c>
      <c r="BQ151" s="8">
        <v>2253697.7607107991</v>
      </c>
      <c r="BR151" s="8" t="str">
        <v>No</v>
      </c>
    </row>
    <row r="152" spans="54:70" x14ac:dyDescent="0.2">
      <c r="BB152" s="94"/>
      <c r="BL152" s="8">
        <v>103</v>
      </c>
      <c r="BM152" s="8">
        <v>3363283.2643039403</v>
      </c>
      <c r="BN152" s="8">
        <v>5097580.6450019311</v>
      </c>
      <c r="BO152" s="8">
        <v>8460863.9093058705</v>
      </c>
      <c r="BP152" s="8">
        <v>3197433.2901476379</v>
      </c>
      <c r="BQ152" s="8">
        <v>-5263430.6191582326</v>
      </c>
      <c r="BR152" s="8" t="str">
        <v>Yes</v>
      </c>
    </row>
    <row r="153" spans="54:70" x14ac:dyDescent="0.2">
      <c r="BB153" s="94"/>
      <c r="BL153" s="8">
        <v>104</v>
      </c>
      <c r="BM153" s="8">
        <v>2300175.9188985834</v>
      </c>
      <c r="BN153" s="8">
        <v>0</v>
      </c>
      <c r="BO153" s="8">
        <v>2300175.9188985834</v>
      </c>
      <c r="BP153" s="8">
        <v>3217489.5360392481</v>
      </c>
      <c r="BQ153" s="8">
        <v>917313.61714066472</v>
      </c>
      <c r="BR153" s="8" t="str">
        <v>No</v>
      </c>
    </row>
    <row r="154" spans="54:70" x14ac:dyDescent="0.2">
      <c r="BB154" s="94"/>
      <c r="BL154" s="8">
        <v>105</v>
      </c>
      <c r="BM154" s="8">
        <v>4084575.1197656002</v>
      </c>
      <c r="BN154" s="8">
        <v>0</v>
      </c>
      <c r="BO154" s="8">
        <v>4084575.1197656002</v>
      </c>
      <c r="BP154" s="8">
        <v>2338882.6733455695</v>
      </c>
      <c r="BQ154" s="8">
        <v>-1745692.4464200307</v>
      </c>
      <c r="BR154" s="8" t="str">
        <v>Yes</v>
      </c>
    </row>
    <row r="155" spans="54:70" x14ac:dyDescent="0.2">
      <c r="BB155" s="94"/>
      <c r="BL155" s="8">
        <v>106</v>
      </c>
      <c r="BM155" s="8">
        <v>2856379.0439155316</v>
      </c>
      <c r="BN155" s="8">
        <v>2505490.7219135067</v>
      </c>
      <c r="BO155" s="8">
        <v>5361869.7658290379</v>
      </c>
      <c r="BP155" s="8">
        <v>2230917.9617792182</v>
      </c>
      <c r="BQ155" s="8">
        <v>-3130951.8040498197</v>
      </c>
      <c r="BR155" s="8" t="str">
        <v>Yes</v>
      </c>
    </row>
    <row r="156" spans="54:70" x14ac:dyDescent="0.2">
      <c r="BB156" s="94"/>
      <c r="BL156" s="8">
        <v>107</v>
      </c>
      <c r="BM156" s="8">
        <v>2586831.5459000384</v>
      </c>
      <c r="BN156" s="8">
        <v>846622.96416053444</v>
      </c>
      <c r="BO156" s="8">
        <v>3433454.510060573</v>
      </c>
      <c r="BP156" s="8">
        <v>3466643.4569483176</v>
      </c>
      <c r="BQ156" s="8">
        <v>33188.946887744591</v>
      </c>
      <c r="BR156" s="8" t="str">
        <v>No</v>
      </c>
    </row>
    <row r="157" spans="54:70" x14ac:dyDescent="0.2">
      <c r="BB157" s="94"/>
      <c r="BL157" s="8">
        <v>108</v>
      </c>
      <c r="BM157" s="8">
        <v>2755276.4858475002</v>
      </c>
      <c r="BN157" s="8">
        <v>0</v>
      </c>
      <c r="BO157" s="8">
        <v>2755276.4858475002</v>
      </c>
      <c r="BP157" s="8">
        <v>2377910.7518013823</v>
      </c>
      <c r="BQ157" s="8">
        <v>-377365.73404611787</v>
      </c>
      <c r="BR157" s="8" t="str">
        <v>Yes</v>
      </c>
    </row>
    <row r="158" spans="54:70" x14ac:dyDescent="0.2">
      <c r="BB158" s="94"/>
      <c r="BL158" s="8">
        <v>109</v>
      </c>
      <c r="BM158" s="8">
        <v>3549731.9248923166</v>
      </c>
      <c r="BN158" s="8">
        <v>1707103.2070089979</v>
      </c>
      <c r="BO158" s="8">
        <v>5256835.1319013145</v>
      </c>
      <c r="BP158" s="8">
        <v>5851428.2077893009</v>
      </c>
      <c r="BQ158" s="8">
        <v>594593.07588798646</v>
      </c>
      <c r="BR158" s="8" t="str">
        <v>No</v>
      </c>
    </row>
    <row r="159" spans="54:70" x14ac:dyDescent="0.2">
      <c r="BB159" s="94"/>
      <c r="BL159" s="8">
        <v>110</v>
      </c>
      <c r="BM159" s="8">
        <v>3512512.327463584</v>
      </c>
      <c r="BN159" s="8">
        <v>0</v>
      </c>
      <c r="BO159" s="8">
        <v>3512512.327463584</v>
      </c>
      <c r="BP159" s="8">
        <v>3446440.1302784798</v>
      </c>
      <c r="BQ159" s="8">
        <v>-66072.197185104247</v>
      </c>
      <c r="BR159" s="8" t="str">
        <v>Yes</v>
      </c>
    </row>
    <row r="160" spans="54:70" x14ac:dyDescent="0.2">
      <c r="BB160" s="94"/>
      <c r="BL160" s="8">
        <v>111</v>
      </c>
      <c r="BM160" s="8">
        <v>7061867.613218612</v>
      </c>
      <c r="BN160" s="8">
        <v>0</v>
      </c>
      <c r="BO160" s="8">
        <v>7061867.613218612</v>
      </c>
      <c r="BP160" s="8">
        <v>4147703.7729250262</v>
      </c>
      <c r="BQ160" s="8">
        <v>-2914163.8402935858</v>
      </c>
      <c r="BR160" s="8" t="str">
        <v>Yes</v>
      </c>
    </row>
    <row r="161" spans="54:70" x14ac:dyDescent="0.2">
      <c r="BB161" s="94"/>
      <c r="BL161" s="8">
        <v>112</v>
      </c>
      <c r="BM161" s="8">
        <v>4510313.7850903813</v>
      </c>
      <c r="BN161" s="8">
        <v>0</v>
      </c>
      <c r="BO161" s="8">
        <v>4510313.7850903813</v>
      </c>
      <c r="BP161" s="8">
        <v>3337327.3882015184</v>
      </c>
      <c r="BQ161" s="8">
        <v>-1172986.3968888628</v>
      </c>
      <c r="BR161" s="8" t="str">
        <v>Yes</v>
      </c>
    </row>
    <row r="162" spans="54:70" x14ac:dyDescent="0.2">
      <c r="BB162" s="94"/>
      <c r="BL162" s="8">
        <v>113</v>
      </c>
      <c r="BM162" s="8">
        <v>8307163.515842529</v>
      </c>
      <c r="BN162" s="8">
        <v>12066645.784962561</v>
      </c>
      <c r="BO162" s="8">
        <v>20373809.300805092</v>
      </c>
      <c r="BP162" s="8">
        <v>2504954.2904994451</v>
      </c>
      <c r="BQ162" s="8">
        <v>-17868855.010305647</v>
      </c>
      <c r="BR162" s="8" t="str">
        <v>Yes</v>
      </c>
    </row>
    <row r="163" spans="54:70" x14ac:dyDescent="0.2">
      <c r="BB163" s="94"/>
      <c r="BL163" s="8">
        <v>114</v>
      </c>
      <c r="BM163" s="8">
        <v>2623867.8162559932</v>
      </c>
      <c r="BN163" s="8">
        <v>2641608.7107165395</v>
      </c>
      <c r="BO163" s="8">
        <v>5265476.5269725323</v>
      </c>
      <c r="BP163" s="8">
        <v>2594582.2714732839</v>
      </c>
      <c r="BQ163" s="8">
        <v>-2670894.2554992484</v>
      </c>
      <c r="BR163" s="8" t="str">
        <v>Yes</v>
      </c>
    </row>
    <row r="164" spans="54:70" x14ac:dyDescent="0.2">
      <c r="BB164" s="94"/>
      <c r="BL164" s="8">
        <v>115</v>
      </c>
      <c r="BM164" s="8">
        <v>7939310.4241301445</v>
      </c>
      <c r="BN164" s="8">
        <v>8689952.7351780646</v>
      </c>
      <c r="BO164" s="8">
        <v>16629263.15930821</v>
      </c>
      <c r="BP164" s="8">
        <v>4196416.5825392129</v>
      </c>
      <c r="BQ164" s="8">
        <v>-12432846.576768998</v>
      </c>
      <c r="BR164" s="8" t="str">
        <v>Yes</v>
      </c>
    </row>
    <row r="165" spans="54:70" x14ac:dyDescent="0.2">
      <c r="BB165" s="94"/>
      <c r="BL165" s="8">
        <v>116</v>
      </c>
      <c r="BM165" s="8">
        <v>4935906.9299346413</v>
      </c>
      <c r="BN165" s="8">
        <v>0</v>
      </c>
      <c r="BO165" s="8">
        <v>4935906.9299346413</v>
      </c>
      <c r="BP165" s="8">
        <v>3481285.8597676111</v>
      </c>
      <c r="BQ165" s="8">
        <v>-1454621.0701670302</v>
      </c>
      <c r="BR165" s="8" t="str">
        <v>Yes</v>
      </c>
    </row>
    <row r="166" spans="54:70" x14ac:dyDescent="0.2">
      <c r="BB166" s="94"/>
      <c r="BL166" s="8">
        <v>117</v>
      </c>
      <c r="BM166" s="8">
        <v>2834756.1368139219</v>
      </c>
      <c r="BN166" s="8">
        <v>465241.10796316346</v>
      </c>
      <c r="BO166" s="8">
        <v>3299997.2447770853</v>
      </c>
      <c r="BP166" s="8">
        <v>6555130.3504184429</v>
      </c>
      <c r="BQ166" s="8">
        <v>3255133.1056413576</v>
      </c>
      <c r="BR166" s="8" t="str">
        <v>No</v>
      </c>
    </row>
    <row r="167" spans="54:70" x14ac:dyDescent="0.2">
      <c r="BB167" s="94"/>
      <c r="BL167" s="8">
        <v>118</v>
      </c>
      <c r="BM167" s="8">
        <v>2553968.9685695018</v>
      </c>
      <c r="BN167" s="8">
        <v>2465115.2202977031</v>
      </c>
      <c r="BO167" s="8">
        <v>5019084.1888672048</v>
      </c>
      <c r="BP167" s="8">
        <v>2360599.2495147958</v>
      </c>
      <c r="BQ167" s="8">
        <v>-2658484.939352409</v>
      </c>
      <c r="BR167" s="8" t="str">
        <v>Yes</v>
      </c>
    </row>
    <row r="168" spans="54:70" x14ac:dyDescent="0.2">
      <c r="BB168" s="94"/>
      <c r="BL168" s="8">
        <v>119</v>
      </c>
      <c r="BM168" s="8">
        <v>3605776.9278420378</v>
      </c>
      <c r="BN168" s="8">
        <v>5232134.8093955144</v>
      </c>
      <c r="BO168" s="8">
        <v>8837911.7372375522</v>
      </c>
      <c r="BP168" s="8">
        <v>3488991.0707360851</v>
      </c>
      <c r="BQ168" s="8">
        <v>-5348920.6665014671</v>
      </c>
      <c r="BR168" s="8" t="str">
        <v>Yes</v>
      </c>
    </row>
    <row r="169" spans="54:70" x14ac:dyDescent="0.2">
      <c r="BB169" s="94"/>
      <c r="BL169" s="8">
        <v>120</v>
      </c>
      <c r="BM169" s="8">
        <v>6534448.5342319589</v>
      </c>
      <c r="BN169" s="8">
        <v>3596528.7126949504</v>
      </c>
      <c r="BO169" s="8">
        <v>10130977.246926909</v>
      </c>
      <c r="BP169" s="8">
        <v>4437666.3875276856</v>
      </c>
      <c r="BQ169" s="8">
        <v>-5693310.8593992237</v>
      </c>
      <c r="BR169" s="8" t="str">
        <v>Yes</v>
      </c>
    </row>
    <row r="170" spans="54:70" x14ac:dyDescent="0.2">
      <c r="BB170" s="94"/>
      <c r="BL170" s="8">
        <v>121</v>
      </c>
      <c r="BM170" s="8">
        <v>2177443.3864450068</v>
      </c>
      <c r="BN170" s="8">
        <v>2108248.0240348373</v>
      </c>
      <c r="BO170" s="8">
        <v>4285691.4104798436</v>
      </c>
      <c r="BP170" s="8">
        <v>3675037.6894555166</v>
      </c>
      <c r="BQ170" s="8">
        <v>-610653.72102432698</v>
      </c>
      <c r="BR170" s="8" t="str">
        <v>Yes</v>
      </c>
    </row>
    <row r="171" spans="54:70" x14ac:dyDescent="0.2">
      <c r="BB171" s="94"/>
      <c r="BL171" s="8">
        <v>122</v>
      </c>
      <c r="BM171" s="8">
        <v>2079423.4644980174</v>
      </c>
      <c r="BN171" s="8">
        <v>1735422.2878523224</v>
      </c>
      <c r="BO171" s="8">
        <v>3814845.7523503397</v>
      </c>
      <c r="BP171" s="8">
        <v>3322573.520991175</v>
      </c>
      <c r="BQ171" s="8">
        <v>-492272.2313591647</v>
      </c>
      <c r="BR171" s="8" t="str">
        <v>Yes</v>
      </c>
    </row>
    <row r="172" spans="54:70" x14ac:dyDescent="0.2">
      <c r="BB172" s="94"/>
      <c r="BL172" s="8">
        <v>123</v>
      </c>
      <c r="BM172" s="8">
        <v>3583406.1735692229</v>
      </c>
      <c r="BN172" s="8">
        <v>2163325.7021559048</v>
      </c>
      <c r="BO172" s="8">
        <v>5746731.8757251278</v>
      </c>
      <c r="BP172" s="8">
        <v>4444468.288687868</v>
      </c>
      <c r="BQ172" s="8">
        <v>-1302263.5870372597</v>
      </c>
      <c r="BR172" s="8" t="str">
        <v>Yes</v>
      </c>
    </row>
    <row r="173" spans="54:70" x14ac:dyDescent="0.2">
      <c r="BB173" s="94"/>
      <c r="BL173" s="8">
        <v>124</v>
      </c>
      <c r="BM173" s="8">
        <v>4555312.691600915</v>
      </c>
      <c r="BN173" s="8">
        <v>6049136.2588337297</v>
      </c>
      <c r="BO173" s="8">
        <v>10604448.950434644</v>
      </c>
      <c r="BP173" s="8">
        <v>4205724.4784429837</v>
      </c>
      <c r="BQ173" s="8">
        <v>-6398724.4719916601</v>
      </c>
      <c r="BR173" s="8" t="str">
        <v>Yes</v>
      </c>
    </row>
    <row r="174" spans="54:70" x14ac:dyDescent="0.2">
      <c r="BB174" s="94"/>
      <c r="BL174" s="8">
        <v>125</v>
      </c>
      <c r="BM174" s="8">
        <v>2349475.7787722182</v>
      </c>
      <c r="BN174" s="8">
        <v>0</v>
      </c>
      <c r="BO174" s="8">
        <v>2349475.7787722182</v>
      </c>
      <c r="BP174" s="8">
        <v>4290707.950969954</v>
      </c>
      <c r="BQ174" s="8">
        <v>1941232.1721977359</v>
      </c>
      <c r="BR174" s="8" t="str">
        <v>No</v>
      </c>
    </row>
    <row r="175" spans="54:70" x14ac:dyDescent="0.2">
      <c r="BB175" s="94"/>
      <c r="BL175" s="8">
        <v>126</v>
      </c>
      <c r="BM175" s="8">
        <v>3060892.7495383518</v>
      </c>
      <c r="BN175" s="8">
        <v>1476172.0079116472</v>
      </c>
      <c r="BO175" s="8">
        <v>4537064.7574499995</v>
      </c>
      <c r="BP175" s="8">
        <v>2334520.6978335911</v>
      </c>
      <c r="BQ175" s="8">
        <v>-2202544.0596164083</v>
      </c>
      <c r="BR175" s="8" t="str">
        <v>Yes</v>
      </c>
    </row>
    <row r="176" spans="54:70" x14ac:dyDescent="0.2">
      <c r="BB176" s="94"/>
      <c r="BL176" s="8">
        <v>127</v>
      </c>
      <c r="BM176" s="8">
        <v>4405898.8459749399</v>
      </c>
      <c r="BN176" s="8">
        <v>2568284.117367947</v>
      </c>
      <c r="BO176" s="8">
        <v>6974182.9633428864</v>
      </c>
      <c r="BP176" s="8">
        <v>3350003.881283591</v>
      </c>
      <c r="BQ176" s="8">
        <v>-3624179.0820592954</v>
      </c>
      <c r="BR176" s="8" t="str">
        <v>Yes</v>
      </c>
    </row>
    <row r="177" spans="54:70" x14ac:dyDescent="0.2">
      <c r="BB177" s="94"/>
      <c r="BL177" s="8">
        <v>128</v>
      </c>
      <c r="BM177" s="8">
        <v>2831131.657955505</v>
      </c>
      <c r="BN177" s="8">
        <v>1821359.9157971833</v>
      </c>
      <c r="BO177" s="8">
        <v>4652491.5737526882</v>
      </c>
      <c r="BP177" s="8">
        <v>4481764.6660039658</v>
      </c>
      <c r="BQ177" s="8">
        <v>-170726.90774872247</v>
      </c>
      <c r="BR177" s="8" t="str">
        <v>Yes</v>
      </c>
    </row>
    <row r="178" spans="54:70" x14ac:dyDescent="0.2">
      <c r="BB178" s="94"/>
      <c r="BL178" s="8">
        <v>129</v>
      </c>
      <c r="BM178" s="8">
        <v>1880958.9494327169</v>
      </c>
      <c r="BN178" s="8">
        <v>2390070.4540168634</v>
      </c>
      <c r="BO178" s="8">
        <v>4271029.4034495801</v>
      </c>
      <c r="BP178" s="8">
        <v>4279054.1223320933</v>
      </c>
      <c r="BQ178" s="8">
        <v>8024.7188825132325</v>
      </c>
      <c r="BR178" s="8" t="str">
        <v>No</v>
      </c>
    </row>
    <row r="179" spans="54:70" x14ac:dyDescent="0.2">
      <c r="BB179" s="94"/>
      <c r="BL179" s="8">
        <v>130</v>
      </c>
      <c r="BM179" s="8">
        <v>4757179.8733716253</v>
      </c>
      <c r="BN179" s="8">
        <v>3101645.0221219645</v>
      </c>
      <c r="BO179" s="8">
        <v>7858824.8954935893</v>
      </c>
      <c r="BP179" s="8">
        <v>6497752.4095963053</v>
      </c>
      <c r="BQ179" s="8">
        <v>-1361072.485897284</v>
      </c>
      <c r="BR179" s="8" t="str">
        <v>Yes</v>
      </c>
    </row>
    <row r="180" spans="54:70" x14ac:dyDescent="0.2">
      <c r="BB180" s="94"/>
      <c r="BL180" s="8">
        <v>131</v>
      </c>
      <c r="BM180" s="8">
        <v>2809300.2287031906</v>
      </c>
      <c r="BN180" s="8">
        <v>2682413.4174508564</v>
      </c>
      <c r="BO180" s="8">
        <v>5491713.646154047</v>
      </c>
      <c r="BP180" s="8">
        <v>4546166.4122509025</v>
      </c>
      <c r="BQ180" s="8">
        <v>-945547.23390314449</v>
      </c>
      <c r="BR180" s="8" t="str">
        <v>Yes</v>
      </c>
    </row>
    <row r="181" spans="54:70" x14ac:dyDescent="0.2">
      <c r="BB181" s="94"/>
      <c r="BL181" s="8">
        <v>132</v>
      </c>
      <c r="BM181" s="8">
        <v>2077173.378409266</v>
      </c>
      <c r="BN181" s="8">
        <v>-39480.700202089058</v>
      </c>
      <c r="BO181" s="8">
        <v>2037692.678207177</v>
      </c>
      <c r="BP181" s="8">
        <v>6359128.4470200446</v>
      </c>
      <c r="BQ181" s="8">
        <v>4321435.7688128678</v>
      </c>
      <c r="BR181" s="8" t="str">
        <v>No</v>
      </c>
    </row>
    <row r="182" spans="54:70" x14ac:dyDescent="0.2">
      <c r="BB182" s="94"/>
      <c r="BL182" s="8">
        <v>133</v>
      </c>
      <c r="BM182" s="8">
        <v>4469592.9069898706</v>
      </c>
      <c r="BN182" s="8">
        <v>0</v>
      </c>
      <c r="BO182" s="8">
        <v>4469592.9069898706</v>
      </c>
      <c r="BP182" s="8">
        <v>4425766.3825099552</v>
      </c>
      <c r="BQ182" s="8">
        <v>-43826.524479915388</v>
      </c>
      <c r="BR182" s="8" t="str">
        <v>Yes</v>
      </c>
    </row>
    <row r="183" spans="54:70" x14ac:dyDescent="0.2">
      <c r="BB183" s="94"/>
      <c r="BL183" s="8">
        <v>134</v>
      </c>
      <c r="BM183" s="8">
        <v>3999348.670222172</v>
      </c>
      <c r="BN183" s="8">
        <v>0</v>
      </c>
      <c r="BO183" s="8">
        <v>3999348.670222172</v>
      </c>
      <c r="BP183" s="8">
        <v>6037039.5572063914</v>
      </c>
      <c r="BQ183" s="8">
        <v>2037690.8869842193</v>
      </c>
      <c r="BR183" s="8" t="str">
        <v>No</v>
      </c>
    </row>
    <row r="184" spans="54:70" x14ac:dyDescent="0.2">
      <c r="BB184" s="94"/>
      <c r="BL184" s="8">
        <v>135</v>
      </c>
      <c r="BM184" s="8">
        <v>3587171.112486071</v>
      </c>
      <c r="BN184" s="8">
        <v>830570.2518425642</v>
      </c>
      <c r="BO184" s="8">
        <v>4417741.3643286349</v>
      </c>
      <c r="BP184" s="8">
        <v>4411632.7914198525</v>
      </c>
      <c r="BQ184" s="8">
        <v>-6108.5729087824002</v>
      </c>
      <c r="BR184" s="8" t="str">
        <v>Yes</v>
      </c>
    </row>
    <row r="185" spans="54:70" x14ac:dyDescent="0.2">
      <c r="BB185" s="94"/>
      <c r="BL185" s="8">
        <v>136</v>
      </c>
      <c r="BM185" s="8">
        <v>7347272.2742940001</v>
      </c>
      <c r="BN185" s="8">
        <v>0</v>
      </c>
      <c r="BO185" s="8">
        <v>7347272.2742940001</v>
      </c>
      <c r="BP185" s="8">
        <v>4455731.2126232684</v>
      </c>
      <c r="BQ185" s="8">
        <v>-2891541.0616707318</v>
      </c>
      <c r="BR185" s="8" t="str">
        <v>Yes</v>
      </c>
    </row>
    <row r="186" spans="54:70" x14ac:dyDescent="0.2">
      <c r="BB186" s="94"/>
      <c r="BL186" s="8">
        <v>137</v>
      </c>
      <c r="BM186" s="8">
        <v>2642376.9862553636</v>
      </c>
      <c r="BN186" s="8">
        <v>0</v>
      </c>
      <c r="BO186" s="8">
        <v>2642376.9862553636</v>
      </c>
      <c r="BP186" s="8">
        <v>6199270.9448618405</v>
      </c>
      <c r="BQ186" s="8">
        <v>3556893.9586064769</v>
      </c>
      <c r="BR186" s="8" t="str">
        <v>No</v>
      </c>
    </row>
    <row r="187" spans="54:70" x14ac:dyDescent="0.2">
      <c r="BB187" s="94"/>
      <c r="BL187" s="8">
        <v>138</v>
      </c>
      <c r="BM187" s="8">
        <v>3427221.3157571019</v>
      </c>
      <c r="BN187" s="8">
        <v>2157202.4484464219</v>
      </c>
      <c r="BO187" s="8">
        <v>5584423.7642035242</v>
      </c>
      <c r="BP187" s="8">
        <v>2333199.4765364821</v>
      </c>
      <c r="BQ187" s="8">
        <v>-3251224.2876670421</v>
      </c>
      <c r="BR187" s="8" t="str">
        <v>Yes</v>
      </c>
    </row>
    <row r="188" spans="54:70" x14ac:dyDescent="0.2">
      <c r="BB188" s="94"/>
      <c r="BL188" s="8">
        <v>139</v>
      </c>
      <c r="BM188" s="8">
        <v>5283522.6375727644</v>
      </c>
      <c r="BN188" s="8">
        <v>0</v>
      </c>
      <c r="BO188" s="8">
        <v>5283522.6375727644</v>
      </c>
      <c r="BP188" s="8">
        <v>6238891.0334229255</v>
      </c>
      <c r="BQ188" s="8">
        <v>955368.39585016109</v>
      </c>
      <c r="BR188" s="8" t="str">
        <v>No</v>
      </c>
    </row>
    <row r="189" spans="54:70" x14ac:dyDescent="0.2">
      <c r="BB189" s="94"/>
      <c r="BL189" s="8">
        <v>140</v>
      </c>
      <c r="BM189" s="8">
        <v>3763045.6630747346</v>
      </c>
      <c r="BN189" s="8">
        <v>4138618.6799509525</v>
      </c>
      <c r="BO189" s="8">
        <v>7901664.3430256872</v>
      </c>
      <c r="BP189" s="8">
        <v>2119015.9338469459</v>
      </c>
      <c r="BQ189" s="8">
        <v>-5782648.4091787413</v>
      </c>
      <c r="BR189" s="8" t="str">
        <v>Yes</v>
      </c>
    </row>
    <row r="190" spans="54:70" x14ac:dyDescent="0.2">
      <c r="BB190" s="94"/>
      <c r="BL190" s="8">
        <v>141</v>
      </c>
      <c r="BM190" s="8">
        <v>10355080.207049675</v>
      </c>
      <c r="BN190" s="8">
        <v>8381130.9284380656</v>
      </c>
      <c r="BO190" s="8">
        <v>18736211.135487743</v>
      </c>
      <c r="BP190" s="8">
        <v>5778331.7899120497</v>
      </c>
      <c r="BQ190" s="8">
        <v>-12957879.345575694</v>
      </c>
      <c r="BR190" s="8" t="str">
        <v>Yes</v>
      </c>
    </row>
    <row r="191" spans="54:70" x14ac:dyDescent="0.2">
      <c r="BB191" s="94"/>
      <c r="BL191" s="8">
        <v>142</v>
      </c>
      <c r="BM191" s="8">
        <v>5712205.3493607566</v>
      </c>
      <c r="BN191" s="8">
        <v>0</v>
      </c>
      <c r="BO191" s="8">
        <v>5712205.3493607566</v>
      </c>
      <c r="BP191" s="8">
        <v>4432426.5928839929</v>
      </c>
      <c r="BQ191" s="8">
        <v>-1279778.7564767636</v>
      </c>
      <c r="BR191" s="8" t="str">
        <v>Yes</v>
      </c>
    </row>
    <row r="192" spans="54:70" x14ac:dyDescent="0.2">
      <c r="BB192" s="94"/>
      <c r="BL192" s="8">
        <v>143</v>
      </c>
      <c r="BM192" s="8">
        <v>4901103.7895464227</v>
      </c>
      <c r="BN192" s="8">
        <v>3736812.7906484744</v>
      </c>
      <c r="BO192" s="8">
        <v>8637916.5801948979</v>
      </c>
      <c r="BP192" s="8">
        <v>4574173.2886276273</v>
      </c>
      <c r="BQ192" s="8">
        <v>-4063743.2915672706</v>
      </c>
      <c r="BR192" s="8" t="str">
        <v>Yes</v>
      </c>
    </row>
    <row r="193" spans="54:70" x14ac:dyDescent="0.2">
      <c r="BB193" s="94"/>
      <c r="BL193" s="8">
        <v>144</v>
      </c>
      <c r="BM193" s="8">
        <v>3073044.7397388215</v>
      </c>
      <c r="BN193" s="8">
        <v>2435149.1184673826</v>
      </c>
      <c r="BO193" s="8">
        <v>5508193.8582062041</v>
      </c>
      <c r="BP193" s="8">
        <v>6473846.1681178259</v>
      </c>
      <c r="BQ193" s="8">
        <v>965652.30991162173</v>
      </c>
      <c r="BR193" s="8" t="str">
        <v>No</v>
      </c>
    </row>
    <row r="194" spans="54:70" x14ac:dyDescent="0.2">
      <c r="BB194" s="94"/>
      <c r="BL194" s="8">
        <v>145</v>
      </c>
      <c r="BM194" s="8">
        <v>3069589.2784647522</v>
      </c>
      <c r="BN194" s="8">
        <v>5173574.9588102112</v>
      </c>
      <c r="BO194" s="8">
        <v>8243164.2372749634</v>
      </c>
      <c r="BP194" s="8">
        <v>2464369.5616604025</v>
      </c>
      <c r="BQ194" s="8">
        <v>-5778794.675614561</v>
      </c>
      <c r="BR194" s="8" t="str">
        <v>Yes</v>
      </c>
    </row>
    <row r="195" spans="54:70" x14ac:dyDescent="0.2">
      <c r="BB195" s="94"/>
      <c r="BL195" s="8">
        <v>146</v>
      </c>
      <c r="BM195" s="8">
        <v>3255056.7216744842</v>
      </c>
      <c r="BN195" s="8">
        <v>2287042.0378978979</v>
      </c>
      <c r="BO195" s="8">
        <v>5542098.7595723821</v>
      </c>
      <c r="BP195" s="8">
        <v>3293041.6045860988</v>
      </c>
      <c r="BQ195" s="8">
        <v>-2249057.1549862833</v>
      </c>
      <c r="BR195" s="8" t="str">
        <v>Yes</v>
      </c>
    </row>
    <row r="196" spans="54:70" x14ac:dyDescent="0.2">
      <c r="BB196" s="94"/>
      <c r="BL196" s="8">
        <v>147</v>
      </c>
      <c r="BM196" s="8">
        <v>4640446.2256776001</v>
      </c>
      <c r="BN196" s="8">
        <v>4613191.500063749</v>
      </c>
      <c r="BO196" s="8">
        <v>9253637.7257413492</v>
      </c>
      <c r="BP196" s="8">
        <v>3128106.5361371688</v>
      </c>
      <c r="BQ196" s="8">
        <v>-6125531.1896041799</v>
      </c>
      <c r="BR196" s="8" t="str">
        <v>Yes</v>
      </c>
    </row>
    <row r="197" spans="54:70" x14ac:dyDescent="0.2">
      <c r="BB197" s="94"/>
      <c r="BL197" s="8">
        <v>148</v>
      </c>
      <c r="BM197" s="8">
        <v>4262669.0036683409</v>
      </c>
      <c r="BN197" s="8">
        <v>6800363.9951079255</v>
      </c>
      <c r="BO197" s="8">
        <v>11063032.998776266</v>
      </c>
      <c r="BP197" s="8">
        <v>4476977.7149657067</v>
      </c>
      <c r="BQ197" s="8">
        <v>-6586055.2838105597</v>
      </c>
      <c r="BR197" s="8" t="str">
        <v>Yes</v>
      </c>
    </row>
    <row r="198" spans="54:70" x14ac:dyDescent="0.2">
      <c r="BB198" s="94"/>
      <c r="BL198" s="8">
        <v>149</v>
      </c>
      <c r="BM198" s="8">
        <v>4595216.0311227478</v>
      </c>
      <c r="BN198" s="8">
        <v>0</v>
      </c>
      <c r="BO198" s="8">
        <v>4595216.0311227478</v>
      </c>
      <c r="BP198" s="8">
        <v>2327129.2441689721</v>
      </c>
      <c r="BQ198" s="8">
        <v>-2268086.7869537757</v>
      </c>
      <c r="BR198" s="8" t="str">
        <v>Yes</v>
      </c>
    </row>
    <row r="199" spans="54:70" x14ac:dyDescent="0.2">
      <c r="BB199" s="94"/>
      <c r="BL199" s="8">
        <v>150</v>
      </c>
      <c r="BM199" s="8">
        <v>4321237.037343638</v>
      </c>
      <c r="BN199" s="8">
        <v>2817421.2062380286</v>
      </c>
      <c r="BO199" s="8">
        <v>7138658.2435816666</v>
      </c>
      <c r="BP199" s="8">
        <v>6082099.5211785771</v>
      </c>
      <c r="BQ199" s="8">
        <v>-1056558.7224030895</v>
      </c>
      <c r="BR199" s="8" t="str">
        <v>Yes</v>
      </c>
    </row>
    <row r="200" spans="54:70" x14ac:dyDescent="0.2">
      <c r="BB200" s="94"/>
      <c r="BL200" s="8">
        <v>151</v>
      </c>
      <c r="BM200" s="8">
        <v>5221962.689088989</v>
      </c>
      <c r="BN200" s="8">
        <v>0</v>
      </c>
      <c r="BO200" s="8">
        <v>5221962.689088989</v>
      </c>
      <c r="BP200" s="8">
        <v>3703241.753575623</v>
      </c>
      <c r="BQ200" s="8">
        <v>-1518720.935513366</v>
      </c>
      <c r="BR200" s="8" t="str">
        <v>Yes</v>
      </c>
    </row>
    <row r="201" spans="54:70" x14ac:dyDescent="0.2">
      <c r="BB201" s="94"/>
      <c r="BL201" s="8">
        <v>152</v>
      </c>
      <c r="BM201" s="8">
        <v>4179865.0318160108</v>
      </c>
      <c r="BN201" s="8">
        <v>5063552.1679646466</v>
      </c>
      <c r="BO201" s="8">
        <v>9243417.1997806579</v>
      </c>
      <c r="BP201" s="8">
        <v>3198099.9788917815</v>
      </c>
      <c r="BQ201" s="8">
        <v>-6045317.2208888764</v>
      </c>
      <c r="BR201" s="8" t="str">
        <v>Yes</v>
      </c>
    </row>
    <row r="202" spans="54:70" x14ac:dyDescent="0.2">
      <c r="BB202" s="94"/>
      <c r="BL202" s="8">
        <v>153</v>
      </c>
      <c r="BM202" s="8">
        <v>4503095.6054214081</v>
      </c>
      <c r="BN202" s="8">
        <v>3057357.1074893526</v>
      </c>
      <c r="BO202" s="8">
        <v>7560452.7129107602</v>
      </c>
      <c r="BP202" s="8">
        <v>3440380.799183209</v>
      </c>
      <c r="BQ202" s="8">
        <v>-4120071.9137275512</v>
      </c>
      <c r="BR202" s="8" t="str">
        <v>Yes</v>
      </c>
    </row>
    <row r="203" spans="54:70" x14ac:dyDescent="0.2">
      <c r="BB203" s="94"/>
      <c r="BL203" s="8">
        <v>154</v>
      </c>
      <c r="BM203" s="8">
        <v>3478041.3422357547</v>
      </c>
      <c r="BN203" s="8">
        <v>0</v>
      </c>
      <c r="BO203" s="8">
        <v>3478041.3422357547</v>
      </c>
      <c r="BP203" s="8">
        <v>4252329.5073131183</v>
      </c>
      <c r="BQ203" s="8">
        <v>774288.16507736361</v>
      </c>
      <c r="BR203" s="8" t="str">
        <v>No</v>
      </c>
    </row>
    <row r="204" spans="54:70" x14ac:dyDescent="0.2">
      <c r="BB204" s="94"/>
      <c r="BL204" s="8">
        <v>155</v>
      </c>
      <c r="BM204" s="8">
        <v>5978939.6131946072</v>
      </c>
      <c r="BN204" s="8">
        <v>0</v>
      </c>
      <c r="BO204" s="8">
        <v>5978939.6131946072</v>
      </c>
      <c r="BP204" s="8">
        <v>3545750.2621910316</v>
      </c>
      <c r="BQ204" s="8">
        <v>-2433189.3510035756</v>
      </c>
      <c r="BR204" s="8" t="str">
        <v>Yes</v>
      </c>
    </row>
    <row r="205" spans="54:70" x14ac:dyDescent="0.2">
      <c r="BB205" s="94"/>
      <c r="BL205" s="8">
        <v>156</v>
      </c>
      <c r="BM205" s="8">
        <v>4371676.1326542217</v>
      </c>
      <c r="BN205" s="8">
        <v>3542102.3236626084</v>
      </c>
      <c r="BO205" s="8">
        <v>7913778.4563168306</v>
      </c>
      <c r="BP205" s="8">
        <v>4383424.9628118621</v>
      </c>
      <c r="BQ205" s="8">
        <v>-3530353.4935049685</v>
      </c>
      <c r="BR205" s="8" t="str">
        <v>Yes</v>
      </c>
    </row>
    <row r="206" spans="54:70" x14ac:dyDescent="0.2">
      <c r="BB206" s="94"/>
      <c r="BL206" s="8">
        <v>157</v>
      </c>
      <c r="BM206" s="8">
        <v>5025227.2587524066</v>
      </c>
      <c r="BN206" s="8">
        <v>0</v>
      </c>
      <c r="BO206" s="8">
        <v>5025227.2587524066</v>
      </c>
      <c r="BP206" s="8">
        <v>3419807.5502881464</v>
      </c>
      <c r="BQ206" s="8">
        <v>-1605419.7084642602</v>
      </c>
      <c r="BR206" s="8" t="str">
        <v>Yes</v>
      </c>
    </row>
    <row r="207" spans="54:70" x14ac:dyDescent="0.2">
      <c r="BB207" s="94"/>
      <c r="BL207" s="8">
        <v>158</v>
      </c>
      <c r="BM207" s="8">
        <v>5105599.2995832674</v>
      </c>
      <c r="BN207" s="8">
        <v>0</v>
      </c>
      <c r="BO207" s="8">
        <v>5105599.2995832674</v>
      </c>
      <c r="BP207" s="8">
        <v>6415617.6893891487</v>
      </c>
      <c r="BQ207" s="8">
        <v>1310018.3898058813</v>
      </c>
      <c r="BR207" s="8" t="str">
        <v>No</v>
      </c>
    </row>
    <row r="208" spans="54:70" x14ac:dyDescent="0.2">
      <c r="BB208" s="94"/>
      <c r="BL208" s="8">
        <v>159</v>
      </c>
      <c r="BM208" s="8">
        <v>4763362.8776295055</v>
      </c>
      <c r="BN208" s="8">
        <v>0</v>
      </c>
      <c r="BO208" s="8">
        <v>4763362.8776295055</v>
      </c>
      <c r="BP208" s="8">
        <v>3954800.5590415727</v>
      </c>
      <c r="BQ208" s="8">
        <v>-808562.31858793274</v>
      </c>
      <c r="BR208" s="8" t="str">
        <v>Yes</v>
      </c>
    </row>
    <row r="209" spans="54:70" x14ac:dyDescent="0.2">
      <c r="BB209" s="94"/>
      <c r="BL209" s="8">
        <v>160</v>
      </c>
      <c r="BM209" s="8">
        <v>6317292.2953371154</v>
      </c>
      <c r="BN209" s="8">
        <v>4420337.4696051115</v>
      </c>
      <c r="BO209" s="8">
        <v>10737629.764942227</v>
      </c>
      <c r="BP209" s="8">
        <v>5641248.1915571596</v>
      </c>
      <c r="BQ209" s="8">
        <v>-5096381.5733850673</v>
      </c>
      <c r="BR209" s="8" t="str">
        <v>Yes</v>
      </c>
    </row>
    <row r="210" spans="54:70" x14ac:dyDescent="0.2">
      <c r="BB210" s="94"/>
      <c r="BL210" s="8">
        <v>161</v>
      </c>
      <c r="BM210" s="8">
        <v>2634444.9012068482</v>
      </c>
      <c r="BN210" s="8">
        <v>1683151.3282947321</v>
      </c>
      <c r="BO210" s="8">
        <v>4317596.2295015808</v>
      </c>
      <c r="BP210" s="8">
        <v>6810536.3447796544</v>
      </c>
      <c r="BQ210" s="8">
        <v>2492940.1152780736</v>
      </c>
      <c r="BR210" s="8" t="str">
        <v>No</v>
      </c>
    </row>
    <row r="211" spans="54:70" x14ac:dyDescent="0.2">
      <c r="BB211" s="94"/>
      <c r="BL211" s="8">
        <v>162</v>
      </c>
      <c r="BM211" s="8">
        <v>2200532.976432567</v>
      </c>
      <c r="BN211" s="8">
        <v>0</v>
      </c>
      <c r="BO211" s="8">
        <v>2200532.976432567</v>
      </c>
      <c r="BP211" s="8">
        <v>3974757.4614491528</v>
      </c>
      <c r="BQ211" s="8">
        <v>1774224.4850165858</v>
      </c>
      <c r="BR211" s="8" t="str">
        <v>No</v>
      </c>
    </row>
    <row r="212" spans="54:70" x14ac:dyDescent="0.2">
      <c r="BB212" s="94"/>
      <c r="BL212" s="8">
        <v>163</v>
      </c>
      <c r="BM212" s="8">
        <v>3129567.7459554626</v>
      </c>
      <c r="BN212" s="8">
        <v>556721.46161063598</v>
      </c>
      <c r="BO212" s="8">
        <v>3686289.2075660983</v>
      </c>
      <c r="BP212" s="8">
        <v>7019424.1398380101</v>
      </c>
      <c r="BQ212" s="8">
        <v>3333134.9322719118</v>
      </c>
      <c r="BR212" s="8" t="str">
        <v>No</v>
      </c>
    </row>
    <row r="213" spans="54:70" x14ac:dyDescent="0.2">
      <c r="BB213" s="94"/>
      <c r="BL213" s="8">
        <v>164</v>
      </c>
      <c r="BM213" s="8">
        <v>6589879.8362141978</v>
      </c>
      <c r="BN213" s="8">
        <v>2474445.408411677</v>
      </c>
      <c r="BO213" s="8">
        <v>9064325.2446258739</v>
      </c>
      <c r="BP213" s="8">
        <v>5355433.2743035853</v>
      </c>
      <c r="BQ213" s="8">
        <v>-3708891.9703222886</v>
      </c>
      <c r="BR213" s="8" t="str">
        <v>Yes</v>
      </c>
    </row>
    <row r="214" spans="54:70" x14ac:dyDescent="0.2">
      <c r="BB214" s="94"/>
      <c r="BL214" s="8">
        <v>165</v>
      </c>
      <c r="BM214" s="8">
        <v>4129618.6370561877</v>
      </c>
      <c r="BN214" s="8">
        <v>0</v>
      </c>
      <c r="BO214" s="8">
        <v>4129618.6370561877</v>
      </c>
      <c r="BP214" s="8">
        <v>4401891.7960139913</v>
      </c>
      <c r="BQ214" s="8">
        <v>272273.15895780362</v>
      </c>
      <c r="BR214" s="8" t="str">
        <v>No</v>
      </c>
    </row>
    <row r="215" spans="54:70" x14ac:dyDescent="0.2">
      <c r="BB215" s="94"/>
      <c r="BL215" s="8">
        <v>166</v>
      </c>
      <c r="BM215" s="8">
        <v>6250035.0202138852</v>
      </c>
      <c r="BN215" s="8">
        <v>7921227.0461148499</v>
      </c>
      <c r="BO215" s="8">
        <v>14171262.066328734</v>
      </c>
      <c r="BP215" s="8">
        <v>4214402.7467654124</v>
      </c>
      <c r="BQ215" s="8">
        <v>-9956859.3195633218</v>
      </c>
      <c r="BR215" s="8" t="str">
        <v>Yes</v>
      </c>
    </row>
    <row r="216" spans="54:70" x14ac:dyDescent="0.2">
      <c r="BB216" s="94"/>
      <c r="BL216" s="8">
        <v>167</v>
      </c>
      <c r="BM216" s="8">
        <v>2715750.5573373893</v>
      </c>
      <c r="BN216" s="8">
        <v>3174848.6746265604</v>
      </c>
      <c r="BO216" s="8">
        <v>5890599.2319639493</v>
      </c>
      <c r="BP216" s="8">
        <v>2372947.1711684507</v>
      </c>
      <c r="BQ216" s="8">
        <v>-3517652.0607954985</v>
      </c>
      <c r="BR216" s="8" t="str">
        <v>Yes</v>
      </c>
    </row>
    <row r="217" spans="54:70" x14ac:dyDescent="0.2">
      <c r="BB217" s="94"/>
      <c r="BL217" s="8">
        <v>168</v>
      </c>
      <c r="BM217" s="8">
        <v>2486545.0460566189</v>
      </c>
      <c r="BN217" s="8">
        <v>1145679.4333599997</v>
      </c>
      <c r="BO217" s="8">
        <v>3632224.4794166186</v>
      </c>
      <c r="BP217" s="8">
        <v>4412790.0269104661</v>
      </c>
      <c r="BQ217" s="8">
        <v>780565.54749384755</v>
      </c>
      <c r="BR217" s="8" t="str">
        <v>No</v>
      </c>
    </row>
    <row r="218" spans="54:70" x14ac:dyDescent="0.2">
      <c r="BB218" s="94"/>
      <c r="BL218" s="8">
        <v>169</v>
      </c>
      <c r="BM218" s="8">
        <v>2362488.0628698152</v>
      </c>
      <c r="BN218" s="8">
        <v>0</v>
      </c>
      <c r="BO218" s="8">
        <v>2362488.0628698152</v>
      </c>
      <c r="BP218" s="8">
        <v>6201941.0788730402</v>
      </c>
      <c r="BQ218" s="8">
        <v>3839453.016003225</v>
      </c>
      <c r="BR218" s="8" t="str">
        <v>No</v>
      </c>
    </row>
    <row r="219" spans="54:70" x14ac:dyDescent="0.2">
      <c r="BB219" s="94"/>
      <c r="BL219" s="8">
        <v>170</v>
      </c>
      <c r="BM219" s="8">
        <v>3931464.5761099178</v>
      </c>
      <c r="BN219" s="8">
        <v>3396237.3045505718</v>
      </c>
      <c r="BO219" s="8">
        <v>7327701.8806604892</v>
      </c>
      <c r="BP219" s="8">
        <v>3351424.0401244443</v>
      </c>
      <c r="BQ219" s="8">
        <v>-3976277.8405360449</v>
      </c>
      <c r="BR219" s="8" t="str">
        <v>Yes</v>
      </c>
    </row>
    <row r="220" spans="54:70" x14ac:dyDescent="0.2">
      <c r="BB220" s="94"/>
      <c r="BL220" s="8">
        <v>171</v>
      </c>
      <c r="BM220" s="8">
        <v>9326274.2891579214</v>
      </c>
      <c r="BN220" s="8">
        <v>0</v>
      </c>
      <c r="BO220" s="8">
        <v>9326274.2891579214</v>
      </c>
      <c r="BP220" s="8">
        <v>6238642.9468729887</v>
      </c>
      <c r="BQ220" s="8">
        <v>-3087631.3422849327</v>
      </c>
      <c r="BR220" s="8" t="str">
        <v>Yes</v>
      </c>
    </row>
    <row r="221" spans="54:70" x14ac:dyDescent="0.2">
      <c r="BB221" s="94"/>
      <c r="BL221" s="8">
        <v>172</v>
      </c>
      <c r="BM221" s="8">
        <v>6060305.8970414493</v>
      </c>
      <c r="BN221" s="8">
        <v>0</v>
      </c>
      <c r="BO221" s="8">
        <v>6060305.8970414493</v>
      </c>
      <c r="BP221" s="8">
        <v>4550355.6441096161</v>
      </c>
      <c r="BQ221" s="8">
        <v>-1509950.2529318333</v>
      </c>
      <c r="BR221" s="8" t="str">
        <v>Yes</v>
      </c>
    </row>
    <row r="222" spans="54:70" x14ac:dyDescent="0.2">
      <c r="BB222" s="94"/>
      <c r="BL222" s="8">
        <v>173</v>
      </c>
      <c r="BM222" s="8">
        <v>5968415.7733031362</v>
      </c>
      <c r="BN222" s="8">
        <v>0</v>
      </c>
      <c r="BO222" s="8">
        <v>5968415.7733031362</v>
      </c>
      <c r="BP222" s="8">
        <v>2318285.0739516011</v>
      </c>
      <c r="BQ222" s="8">
        <v>-3650130.6993515352</v>
      </c>
      <c r="BR222" s="8" t="str">
        <v>Yes</v>
      </c>
    </row>
    <row r="223" spans="54:70" x14ac:dyDescent="0.2">
      <c r="BB223" s="94"/>
      <c r="BL223" s="8">
        <v>174</v>
      </c>
      <c r="BM223" s="8">
        <v>7035092.1047600824</v>
      </c>
      <c r="BN223" s="8">
        <v>7875554.6277665813</v>
      </c>
      <c r="BO223" s="8">
        <v>14910646.732526664</v>
      </c>
      <c r="BP223" s="8">
        <v>6163145.6719039967</v>
      </c>
      <c r="BQ223" s="8">
        <v>-8747501.060622666</v>
      </c>
      <c r="BR223" s="8" t="str">
        <v>Yes</v>
      </c>
    </row>
    <row r="224" spans="54:70" x14ac:dyDescent="0.2">
      <c r="BB224" s="94"/>
      <c r="BL224" s="8">
        <v>175</v>
      </c>
      <c r="BM224" s="8">
        <v>3813535.2131657247</v>
      </c>
      <c r="BN224" s="8">
        <v>0</v>
      </c>
      <c r="BO224" s="8">
        <v>3813535.2131657247</v>
      </c>
      <c r="BP224" s="8">
        <v>3195285.5167648769</v>
      </c>
      <c r="BQ224" s="8">
        <v>-618249.69640084775</v>
      </c>
      <c r="BR224" s="8" t="str">
        <v>Yes</v>
      </c>
    </row>
    <row r="225" spans="54:70" x14ac:dyDescent="0.2">
      <c r="BB225" s="94"/>
      <c r="BL225" s="8">
        <v>176</v>
      </c>
      <c r="BM225" s="8">
        <v>5490701.9373903275</v>
      </c>
      <c r="BN225" s="8">
        <v>4148797.1227301299</v>
      </c>
      <c r="BO225" s="8">
        <v>9639499.0601204578</v>
      </c>
      <c r="BP225" s="8">
        <v>3156796.6249023578</v>
      </c>
      <c r="BQ225" s="8">
        <v>-6482702.4352180995</v>
      </c>
      <c r="BR225" s="8" t="str">
        <v>Yes</v>
      </c>
    </row>
    <row r="226" spans="54:70" x14ac:dyDescent="0.2">
      <c r="BB226" s="94"/>
      <c r="BL226" s="8">
        <v>177</v>
      </c>
      <c r="BM226" s="8">
        <v>5822866.9223280074</v>
      </c>
      <c r="BN226" s="8">
        <v>0</v>
      </c>
      <c r="BO226" s="8">
        <v>5822866.9223280074</v>
      </c>
      <c r="BP226" s="8">
        <v>2352796.5705618998</v>
      </c>
      <c r="BQ226" s="8">
        <v>-3470070.3517661076</v>
      </c>
      <c r="BR226" s="8" t="str">
        <v>Yes</v>
      </c>
    </row>
    <row r="227" spans="54:70" x14ac:dyDescent="0.2">
      <c r="BB227" s="94"/>
      <c r="BL227" s="8">
        <v>178</v>
      </c>
      <c r="BM227" s="8">
        <v>4085333.7430143934</v>
      </c>
      <c r="BN227" s="8">
        <v>3929959.4055124936</v>
      </c>
      <c r="BO227" s="8">
        <v>8015293.1485268865</v>
      </c>
      <c r="BP227" s="8">
        <v>2259874.6483904542</v>
      </c>
      <c r="BQ227" s="8">
        <v>-5755418.5001364322</v>
      </c>
      <c r="BR227" s="8" t="str">
        <v>Yes</v>
      </c>
    </row>
    <row r="228" spans="54:70" x14ac:dyDescent="0.2">
      <c r="BB228" s="94"/>
      <c r="BL228" s="8">
        <v>179</v>
      </c>
      <c r="BM228" s="8">
        <v>5187159.6544141583</v>
      </c>
      <c r="BN228" s="8">
        <v>0</v>
      </c>
      <c r="BO228" s="8">
        <v>5187159.6544141583</v>
      </c>
      <c r="BP228" s="8">
        <v>3211776.7939175754</v>
      </c>
      <c r="BQ228" s="8">
        <v>-1975382.8604965829</v>
      </c>
      <c r="BR228" s="8" t="str">
        <v>Yes</v>
      </c>
    </row>
    <row r="229" spans="54:70" x14ac:dyDescent="0.2">
      <c r="BB229" s="94"/>
      <c r="BL229" s="8">
        <v>180</v>
      </c>
      <c r="BM229" s="8">
        <v>7365834.6160616279</v>
      </c>
      <c r="BN229" s="8">
        <v>4640031.5079051983</v>
      </c>
      <c r="BO229" s="8">
        <v>12005866.123966826</v>
      </c>
      <c r="BP229" s="8">
        <v>3542477.6920035467</v>
      </c>
      <c r="BQ229" s="8">
        <v>-8463388.4319632798</v>
      </c>
      <c r="BR229" s="8" t="str">
        <v>Yes</v>
      </c>
    </row>
    <row r="230" spans="54:70" x14ac:dyDescent="0.2">
      <c r="BB230" s="94"/>
      <c r="BL230" s="8">
        <v>181</v>
      </c>
      <c r="BM230" s="8">
        <v>3019845.3990102997</v>
      </c>
      <c r="BN230" s="8">
        <v>0</v>
      </c>
      <c r="BO230" s="8">
        <v>3019845.3990102997</v>
      </c>
      <c r="BP230" s="8">
        <v>6614271.4381120745</v>
      </c>
      <c r="BQ230" s="8">
        <v>3594426.0391017748</v>
      </c>
      <c r="BR230" s="8" t="str">
        <v>No</v>
      </c>
    </row>
    <row r="231" spans="54:70" x14ac:dyDescent="0.2">
      <c r="BB231" s="94"/>
      <c r="BL231" s="8">
        <v>182</v>
      </c>
      <c r="BM231" s="8">
        <v>7862094.771722733</v>
      </c>
      <c r="BN231" s="8">
        <v>0</v>
      </c>
      <c r="BO231" s="8">
        <v>7862094.771722733</v>
      </c>
      <c r="BP231" s="8">
        <v>4723565.6139888251</v>
      </c>
      <c r="BQ231" s="8">
        <v>-3138529.1577339079</v>
      </c>
      <c r="BR231" s="8" t="str">
        <v>Yes</v>
      </c>
    </row>
    <row r="232" spans="54:70" x14ac:dyDescent="0.2">
      <c r="BB232" s="94"/>
      <c r="BL232" s="8">
        <v>183</v>
      </c>
      <c r="BM232" s="8">
        <v>2607177.8283227496</v>
      </c>
      <c r="BN232" s="8">
        <v>1665899.2695065206</v>
      </c>
      <c r="BO232" s="8">
        <v>4273077.0978292702</v>
      </c>
      <c r="BP232" s="8">
        <v>5675699.8317055898</v>
      </c>
      <c r="BQ232" s="8">
        <v>1402622.7338763196</v>
      </c>
      <c r="BR232" s="8" t="str">
        <v>No</v>
      </c>
    </row>
    <row r="233" spans="54:70" x14ac:dyDescent="0.2">
      <c r="BB233" s="94"/>
      <c r="BL233" s="8">
        <v>184</v>
      </c>
      <c r="BM233" s="8">
        <v>4920467.7511591502</v>
      </c>
      <c r="BN233" s="8">
        <v>0</v>
      </c>
      <c r="BO233" s="8">
        <v>4920467.7511591502</v>
      </c>
      <c r="BP233" s="8">
        <v>5791956.2427632818</v>
      </c>
      <c r="BQ233" s="8">
        <v>871488.49160413165</v>
      </c>
      <c r="BR233" s="8" t="str">
        <v>No</v>
      </c>
    </row>
    <row r="234" spans="54:70" x14ac:dyDescent="0.2">
      <c r="BB234" s="94"/>
      <c r="BL234" s="8">
        <v>185</v>
      </c>
      <c r="BM234" s="8">
        <v>7923245.9495878201</v>
      </c>
      <c r="BN234" s="8">
        <v>8293118.9348099716</v>
      </c>
      <c r="BO234" s="8">
        <v>16216364.884397792</v>
      </c>
      <c r="BP234" s="8">
        <v>5927517.009073684</v>
      </c>
      <c r="BQ234" s="8">
        <v>-10288847.875324108</v>
      </c>
      <c r="BR234" s="8" t="str">
        <v>Yes</v>
      </c>
    </row>
    <row r="235" spans="54:70" x14ac:dyDescent="0.2">
      <c r="BB235" s="94"/>
      <c r="BL235" s="8">
        <v>186</v>
      </c>
      <c r="BM235" s="8">
        <v>5062486.9655212751</v>
      </c>
      <c r="BN235" s="8">
        <v>2654607.1548712263</v>
      </c>
      <c r="BO235" s="8">
        <v>7717094.1203925014</v>
      </c>
      <c r="BP235" s="8">
        <v>3324799.9619112471</v>
      </c>
      <c r="BQ235" s="8">
        <v>-4392294.1584812542</v>
      </c>
      <c r="BR235" s="8" t="str">
        <v>Yes</v>
      </c>
    </row>
    <row r="236" spans="54:70" x14ac:dyDescent="0.2">
      <c r="BB236" s="94"/>
      <c r="BL236" s="8">
        <v>187</v>
      </c>
      <c r="BM236" s="8">
        <v>5742567.7548908209</v>
      </c>
      <c r="BN236" s="8">
        <v>0</v>
      </c>
      <c r="BO236" s="8">
        <v>5742567.7548908209</v>
      </c>
      <c r="BP236" s="8">
        <v>6286147.9490684206</v>
      </c>
      <c r="BQ236" s="8">
        <v>543580.19417759962</v>
      </c>
      <c r="BR236" s="8" t="str">
        <v>No</v>
      </c>
    </row>
    <row r="237" spans="54:70" x14ac:dyDescent="0.2">
      <c r="BB237" s="94"/>
      <c r="BL237" s="8">
        <v>188</v>
      </c>
      <c r="BM237" s="8">
        <v>2123113.5971871545</v>
      </c>
      <c r="BN237" s="8">
        <v>0</v>
      </c>
      <c r="BO237" s="8">
        <v>2123113.5971871545</v>
      </c>
      <c r="BP237" s="8">
        <v>3323491.5605100133</v>
      </c>
      <c r="BQ237" s="8">
        <v>1200377.9633228588</v>
      </c>
      <c r="BR237" s="8" t="str">
        <v>No</v>
      </c>
    </row>
    <row r="238" spans="54:70" x14ac:dyDescent="0.2">
      <c r="BB238" s="94"/>
      <c r="BL238" s="8">
        <v>189</v>
      </c>
      <c r="BM238" s="8">
        <v>2196599.2322603925</v>
      </c>
      <c r="BN238" s="8">
        <v>1964662.6378192129</v>
      </c>
      <c r="BO238" s="8">
        <v>4161261.8700796054</v>
      </c>
      <c r="BP238" s="8">
        <v>2455864.3580179368</v>
      </c>
      <c r="BQ238" s="8">
        <v>-1705397.5120616686</v>
      </c>
      <c r="BR238" s="8" t="str">
        <v>Yes</v>
      </c>
    </row>
    <row r="239" spans="54:70" x14ac:dyDescent="0.2">
      <c r="BB239" s="94"/>
      <c r="BL239" s="8">
        <v>190</v>
      </c>
      <c r="BM239" s="8">
        <v>2417079.5750378165</v>
      </c>
      <c r="BN239" s="8">
        <v>1654982.5234187171</v>
      </c>
      <c r="BO239" s="8">
        <v>4072062.0984565336</v>
      </c>
      <c r="BP239" s="8">
        <v>4375228.4439307656</v>
      </c>
      <c r="BQ239" s="8">
        <v>303166.34547423199</v>
      </c>
      <c r="BR239" s="8" t="str">
        <v>No</v>
      </c>
    </row>
    <row r="240" spans="54:70" x14ac:dyDescent="0.2">
      <c r="BB240" s="94"/>
      <c r="BL240" s="8">
        <v>191</v>
      </c>
      <c r="BM240" s="8">
        <v>1947469.6194001394</v>
      </c>
      <c r="BN240" s="8">
        <v>0</v>
      </c>
      <c r="BO240" s="8">
        <v>1947469.6194001394</v>
      </c>
      <c r="BP240" s="8">
        <v>4170923.8994414387</v>
      </c>
      <c r="BQ240" s="8">
        <v>2223454.2800412993</v>
      </c>
      <c r="BR240" s="8" t="str">
        <v>No</v>
      </c>
    </row>
    <row r="241" spans="54:70" x14ac:dyDescent="0.2">
      <c r="BB241" s="94"/>
      <c r="BL241" s="8">
        <v>192</v>
      </c>
      <c r="BM241" s="8">
        <v>3441373.9239644017</v>
      </c>
      <c r="BN241" s="8">
        <v>2293958.8974477067</v>
      </c>
      <c r="BO241" s="8">
        <v>5735332.8214121088</v>
      </c>
      <c r="BP241" s="8">
        <v>3407516.7900809064</v>
      </c>
      <c r="BQ241" s="8">
        <v>-2327816.0313312025</v>
      </c>
      <c r="BR241" s="8" t="str">
        <v>Yes</v>
      </c>
    </row>
    <row r="242" spans="54:70" x14ac:dyDescent="0.2">
      <c r="BB242" s="94"/>
      <c r="BL242" s="8">
        <v>193</v>
      </c>
      <c r="BM242" s="8">
        <v>2092460.1893041858</v>
      </c>
      <c r="BN242" s="8">
        <v>-352799.66705589712</v>
      </c>
      <c r="BO242" s="8">
        <v>1739660.5222482886</v>
      </c>
      <c r="BP242" s="8">
        <v>6408911.3074467294</v>
      </c>
      <c r="BQ242" s="8">
        <v>4669250.7851984408</v>
      </c>
      <c r="BR242" s="8" t="str">
        <v>No</v>
      </c>
    </row>
    <row r="243" spans="54:70" x14ac:dyDescent="0.2">
      <c r="BB243" s="94"/>
      <c r="BL243" s="8">
        <v>194</v>
      </c>
      <c r="BM243" s="8">
        <v>6663726.1679491624</v>
      </c>
      <c r="BN243" s="8">
        <v>0</v>
      </c>
      <c r="BO243" s="8">
        <v>6663726.1679491624</v>
      </c>
      <c r="BP243" s="8">
        <v>4327849.715715521</v>
      </c>
      <c r="BQ243" s="8">
        <v>-2335876.4522336414</v>
      </c>
      <c r="BR243" s="8" t="str">
        <v>Yes</v>
      </c>
    </row>
    <row r="244" spans="54:70" x14ac:dyDescent="0.2">
      <c r="BB244" s="94"/>
      <c r="BL244" s="8">
        <v>195</v>
      </c>
      <c r="BM244" s="8">
        <v>5068435.8075978979</v>
      </c>
      <c r="BN244" s="8">
        <v>0</v>
      </c>
      <c r="BO244" s="8">
        <v>5068435.8075978979</v>
      </c>
      <c r="BP244" s="8">
        <v>6756990.9422421996</v>
      </c>
      <c r="BQ244" s="8">
        <v>1688555.1346443016</v>
      </c>
      <c r="BR244" s="8" t="str">
        <v>No</v>
      </c>
    </row>
    <row r="245" spans="54:70" x14ac:dyDescent="0.2">
      <c r="BB245" s="94"/>
      <c r="BL245" s="8">
        <v>196</v>
      </c>
      <c r="BM245" s="8">
        <v>3591475.2730563292</v>
      </c>
      <c r="BN245" s="8">
        <v>3455526.2707239608</v>
      </c>
      <c r="BO245" s="8">
        <v>7047001.5437802896</v>
      </c>
      <c r="BP245" s="8">
        <v>4460180.4275059225</v>
      </c>
      <c r="BQ245" s="8">
        <v>-2586821.1162743671</v>
      </c>
      <c r="BR245" s="8" t="str">
        <v>Yes</v>
      </c>
    </row>
    <row r="246" spans="54:70" x14ac:dyDescent="0.2">
      <c r="BB246" s="94"/>
      <c r="BL246" s="8">
        <v>197</v>
      </c>
      <c r="BM246" s="8">
        <v>1519503.7088461476</v>
      </c>
      <c r="BN246" s="8">
        <v>-136361.67380546921</v>
      </c>
      <c r="BO246" s="8">
        <v>1383142.0350406785</v>
      </c>
      <c r="BP246" s="8">
        <v>6091798.3467840748</v>
      </c>
      <c r="BQ246" s="8">
        <v>4708656.3117433963</v>
      </c>
      <c r="BR246" s="8" t="str">
        <v>No</v>
      </c>
    </row>
    <row r="247" spans="54:70" x14ac:dyDescent="0.2">
      <c r="BB247" s="94"/>
      <c r="BL247" s="8">
        <v>198</v>
      </c>
      <c r="BM247" s="8">
        <v>1162261.1918348861</v>
      </c>
      <c r="BN247" s="8">
        <v>0</v>
      </c>
      <c r="BO247" s="8">
        <v>1162261.1918348861</v>
      </c>
      <c r="BP247" s="8">
        <v>2112877.4669483718</v>
      </c>
      <c r="BQ247" s="8">
        <v>950616.27511348575</v>
      </c>
      <c r="BR247" s="8" t="str">
        <v>No</v>
      </c>
    </row>
    <row r="248" spans="54:70" x14ac:dyDescent="0.2">
      <c r="BB248" s="94"/>
      <c r="BL248" s="8">
        <v>199</v>
      </c>
      <c r="BM248" s="8">
        <v>4463969.032487832</v>
      </c>
      <c r="BN248" s="8">
        <v>0</v>
      </c>
      <c r="BO248" s="8">
        <v>4463969.032487832</v>
      </c>
      <c r="BP248" s="8">
        <v>4282382.7088737153</v>
      </c>
      <c r="BQ248" s="8">
        <v>-181586.32361411676</v>
      </c>
      <c r="BR248" s="8" t="str">
        <v>Yes</v>
      </c>
    </row>
    <row r="249" spans="54:70" x14ac:dyDescent="0.2">
      <c r="BB249" s="94"/>
      <c r="BL249" s="8">
        <v>200</v>
      </c>
      <c r="BM249" s="8">
        <v>4121964.1875144504</v>
      </c>
      <c r="BN249" s="8">
        <v>0</v>
      </c>
      <c r="BO249" s="8">
        <v>4121964.1875144504</v>
      </c>
      <c r="BP249" s="8">
        <v>6110032.0796838179</v>
      </c>
      <c r="BQ249" s="8">
        <v>1988067.8921693675</v>
      </c>
      <c r="BR249" s="8" t="str">
        <v>No</v>
      </c>
    </row>
    <row r="250" spans="54:70" x14ac:dyDescent="0.2">
      <c r="BB250" s="94"/>
      <c r="BL250" s="8">
        <v>201</v>
      </c>
      <c r="BM250" s="8">
        <v>5722628.2269514371</v>
      </c>
      <c r="BN250" s="8">
        <v>0</v>
      </c>
      <c r="BO250" s="8">
        <v>5722628.2269514371</v>
      </c>
      <c r="BP250" s="8">
        <v>4434872.8514266713</v>
      </c>
      <c r="BQ250" s="8">
        <v>-1287755.3755247658</v>
      </c>
      <c r="BR250" s="8" t="str">
        <v>Yes</v>
      </c>
    </row>
    <row r="251" spans="54:70" x14ac:dyDescent="0.2">
      <c r="BB251" s="94"/>
      <c r="BL251" s="8">
        <v>202</v>
      </c>
      <c r="BM251" s="8">
        <v>6629144.566361079</v>
      </c>
      <c r="BN251" s="8">
        <v>6295150.3086288637</v>
      </c>
      <c r="BO251" s="8">
        <v>12924294.874989942</v>
      </c>
      <c r="BP251" s="8">
        <v>3054324.7608133657</v>
      </c>
      <c r="BQ251" s="8">
        <v>-9869970.1141765751</v>
      </c>
      <c r="BR251" s="8" t="str">
        <v>Yes</v>
      </c>
    </row>
    <row r="252" spans="54:70" x14ac:dyDescent="0.2">
      <c r="BB252" s="94"/>
      <c r="BL252" s="8">
        <v>203</v>
      </c>
      <c r="BM252" s="8">
        <v>4431507.7905832566</v>
      </c>
      <c r="BN252" s="8">
        <v>3290437.3841707152</v>
      </c>
      <c r="BO252" s="8">
        <v>7721945.1747539714</v>
      </c>
      <c r="BP252" s="8">
        <v>2024043.7993099592</v>
      </c>
      <c r="BQ252" s="8">
        <v>-5697901.3754440118</v>
      </c>
      <c r="BR252" s="8" t="str">
        <v>Yes</v>
      </c>
    </row>
    <row r="253" spans="54:70" x14ac:dyDescent="0.2">
      <c r="BB253" s="94"/>
      <c r="BL253" s="8">
        <v>204</v>
      </c>
      <c r="BM253" s="8">
        <v>2836663.6278491169</v>
      </c>
      <c r="BN253" s="8">
        <v>0</v>
      </c>
      <c r="BO253" s="8">
        <v>2836663.6278491169</v>
      </c>
      <c r="BP253" s="8">
        <v>2263912.514062338</v>
      </c>
      <c r="BQ253" s="8">
        <v>-572751.11378677888</v>
      </c>
      <c r="BR253" s="8" t="str">
        <v>Yes</v>
      </c>
    </row>
    <row r="254" spans="54:70" x14ac:dyDescent="0.2">
      <c r="BB254" s="94"/>
      <c r="BL254" s="8">
        <v>205</v>
      </c>
      <c r="BM254" s="8">
        <v>4538331.2902184986</v>
      </c>
      <c r="BN254" s="8">
        <v>0</v>
      </c>
      <c r="BO254" s="8">
        <v>4538331.2902184986</v>
      </c>
      <c r="BP254" s="8">
        <v>2256078.079877764</v>
      </c>
      <c r="BQ254" s="8">
        <v>-2282253.2103407346</v>
      </c>
      <c r="BR254" s="8" t="str">
        <v>Yes</v>
      </c>
    </row>
    <row r="255" spans="54:70" x14ac:dyDescent="0.2">
      <c r="BB255" s="94"/>
      <c r="BL255" s="8">
        <v>206</v>
      </c>
      <c r="BM255" s="8">
        <v>3263289.1694177715</v>
      </c>
      <c r="BN255" s="8">
        <v>3499126.7063332237</v>
      </c>
      <c r="BO255" s="8">
        <v>6762415.8757509952</v>
      </c>
      <c r="BP255" s="8">
        <v>3400339.6380874235</v>
      </c>
      <c r="BQ255" s="8">
        <v>-3362076.2376635717</v>
      </c>
      <c r="BR255" s="8" t="str">
        <v>Yes</v>
      </c>
    </row>
    <row r="256" spans="54:70" x14ac:dyDescent="0.2">
      <c r="BB256" s="94"/>
      <c r="BL256" s="8">
        <v>207</v>
      </c>
      <c r="BM256" s="8">
        <v>13202576.027749045</v>
      </c>
      <c r="BN256" s="8">
        <v>0</v>
      </c>
      <c r="BO256" s="8">
        <v>13202576.027749045</v>
      </c>
      <c r="BP256" s="8">
        <v>6278279.2551489361</v>
      </c>
      <c r="BQ256" s="8">
        <v>-6924296.7726001088</v>
      </c>
      <c r="BR256" s="8" t="str">
        <v>Yes</v>
      </c>
    </row>
    <row r="257" spans="54:70" x14ac:dyDescent="0.2">
      <c r="BB257" s="94"/>
      <c r="BL257" s="8">
        <v>208</v>
      </c>
      <c r="BM257" s="8">
        <v>4678968.8230780689</v>
      </c>
      <c r="BN257" s="8">
        <v>1469958.2527040672</v>
      </c>
      <c r="BO257" s="8">
        <v>6148927.0757821361</v>
      </c>
      <c r="BP257" s="8">
        <v>6713082.8905867543</v>
      </c>
      <c r="BQ257" s="8">
        <v>564155.81480461825</v>
      </c>
      <c r="BR257" s="8" t="str">
        <v>No</v>
      </c>
    </row>
    <row r="258" spans="54:70" x14ac:dyDescent="0.2">
      <c r="BB258" s="94"/>
      <c r="BL258" s="8">
        <v>209</v>
      </c>
      <c r="BM258" s="8">
        <v>4718796.4862169456</v>
      </c>
      <c r="BN258" s="8">
        <v>2457930.9571391721</v>
      </c>
      <c r="BO258" s="8">
        <v>7176727.4433561172</v>
      </c>
      <c r="BP258" s="8">
        <v>6208362.8878407553</v>
      </c>
      <c r="BQ258" s="8">
        <v>-968364.55551536195</v>
      </c>
      <c r="BR258" s="8" t="str">
        <v>Yes</v>
      </c>
    </row>
    <row r="259" spans="54:70" x14ac:dyDescent="0.2">
      <c r="BB259" s="94"/>
      <c r="BL259" s="8">
        <v>210</v>
      </c>
      <c r="BM259" s="8">
        <v>6102220.7991432399</v>
      </c>
      <c r="BN259" s="8">
        <v>5149557.2163910083</v>
      </c>
      <c r="BO259" s="8">
        <v>11251778.015534248</v>
      </c>
      <c r="BP259" s="8">
        <v>4072434.3551146807</v>
      </c>
      <c r="BQ259" s="8">
        <v>-7179343.6604195675</v>
      </c>
      <c r="BR259" s="8" t="str">
        <v>Yes</v>
      </c>
    </row>
    <row r="260" spans="54:70" x14ac:dyDescent="0.2">
      <c r="BB260" s="94"/>
      <c r="BL260" s="8">
        <v>211</v>
      </c>
      <c r="BM260" s="8">
        <v>3970245.7504392136</v>
      </c>
      <c r="BN260" s="8">
        <v>0</v>
      </c>
      <c r="BO260" s="8">
        <v>3970245.7504392136</v>
      </c>
      <c r="BP260" s="8">
        <v>6012180.4317078972</v>
      </c>
      <c r="BQ260" s="8">
        <v>2041934.6812686836</v>
      </c>
      <c r="BR260" s="8" t="str">
        <v>No</v>
      </c>
    </row>
    <row r="261" spans="54:70" x14ac:dyDescent="0.2">
      <c r="BB261" s="94"/>
      <c r="BL261" s="8">
        <v>212</v>
      </c>
      <c r="BM261" s="8">
        <v>3667588.7988213608</v>
      </c>
      <c r="BN261" s="8">
        <v>0</v>
      </c>
      <c r="BO261" s="8">
        <v>3667588.7988213608</v>
      </c>
      <c r="BP261" s="8">
        <v>6473225.99958474</v>
      </c>
      <c r="BQ261" s="8">
        <v>2805637.2007633792</v>
      </c>
      <c r="BR261" s="8" t="str">
        <v>No</v>
      </c>
    </row>
    <row r="262" spans="54:70" x14ac:dyDescent="0.2">
      <c r="BB262" s="94"/>
      <c r="BL262" s="8">
        <v>213</v>
      </c>
      <c r="BM262" s="8">
        <v>4042998.4241375346</v>
      </c>
      <c r="BN262" s="8">
        <v>2935329.8311755336</v>
      </c>
      <c r="BO262" s="8">
        <v>6978328.2553130686</v>
      </c>
      <c r="BP262" s="8">
        <v>6766195.1084460216</v>
      </c>
      <c r="BQ262" s="8">
        <v>-212133.14686704706</v>
      </c>
      <c r="BR262" s="8" t="str">
        <v>Yes</v>
      </c>
    </row>
    <row r="263" spans="54:70" x14ac:dyDescent="0.2">
      <c r="BB263" s="94"/>
      <c r="BL263" s="8">
        <v>214</v>
      </c>
      <c r="BM263" s="8">
        <v>3340450.9744126708</v>
      </c>
      <c r="BN263" s="8">
        <v>3157106.9286812977</v>
      </c>
      <c r="BO263" s="8">
        <v>6497557.9030939685</v>
      </c>
      <c r="BP263" s="8">
        <v>3344081.5581656038</v>
      </c>
      <c r="BQ263" s="8">
        <v>-3153476.3449283647</v>
      </c>
      <c r="BR263" s="8" t="str">
        <v>Yes</v>
      </c>
    </row>
    <row r="264" spans="54:70" x14ac:dyDescent="0.2">
      <c r="BB264" s="94"/>
      <c r="BL264" s="8">
        <v>215</v>
      </c>
      <c r="BM264" s="8">
        <v>2990672.1735037747</v>
      </c>
      <c r="BN264" s="8">
        <v>0</v>
      </c>
      <c r="BO264" s="8">
        <v>2990672.1735037747</v>
      </c>
      <c r="BP264" s="8">
        <v>2267906.487340406</v>
      </c>
      <c r="BQ264" s="8">
        <v>-722765.68616336863</v>
      </c>
      <c r="BR264" s="8" t="str">
        <v>Yes</v>
      </c>
    </row>
    <row r="265" spans="54:70" x14ac:dyDescent="0.2">
      <c r="BB265" s="94"/>
      <c r="BL265" s="8">
        <v>216</v>
      </c>
      <c r="BM265" s="8">
        <v>7619496.6753986552</v>
      </c>
      <c r="BN265" s="8">
        <v>0</v>
      </c>
      <c r="BO265" s="8">
        <v>7619496.6753986552</v>
      </c>
      <c r="BP265" s="8">
        <v>3300611.2763759946</v>
      </c>
      <c r="BQ265" s="8">
        <v>-4318885.3990226611</v>
      </c>
      <c r="BR265" s="8" t="str">
        <v>Yes</v>
      </c>
    </row>
    <row r="266" spans="54:70" x14ac:dyDescent="0.2">
      <c r="BB266" s="94"/>
      <c r="BL266" s="8">
        <v>217</v>
      </c>
      <c r="BM266" s="8">
        <v>3529588.5547605404</v>
      </c>
      <c r="BN266" s="8">
        <v>0</v>
      </c>
      <c r="BO266" s="8">
        <v>3529588.5547605404</v>
      </c>
      <c r="BP266" s="8">
        <v>4195706.9074467896</v>
      </c>
      <c r="BQ266" s="8">
        <v>666118.35268624919</v>
      </c>
      <c r="BR266" s="8" t="str">
        <v>No</v>
      </c>
    </row>
    <row r="267" spans="54:70" x14ac:dyDescent="0.2">
      <c r="BB267" s="94"/>
      <c r="BL267" s="8">
        <v>218</v>
      </c>
      <c r="BM267" s="8">
        <v>5942960.7469424959</v>
      </c>
      <c r="BN267" s="8">
        <v>2675504.0366026582</v>
      </c>
      <c r="BO267" s="8">
        <v>8618464.7835451551</v>
      </c>
      <c r="BP267" s="8">
        <v>4384273.8969426202</v>
      </c>
      <c r="BQ267" s="8">
        <v>-4234190.8866025349</v>
      </c>
      <c r="BR267" s="8" t="str">
        <v>Yes</v>
      </c>
    </row>
    <row r="268" spans="54:70" x14ac:dyDescent="0.2">
      <c r="BB268" s="94"/>
      <c r="BL268" s="8">
        <v>219</v>
      </c>
      <c r="BM268" s="8">
        <v>6186164.3886379348</v>
      </c>
      <c r="BN268" s="8">
        <v>0</v>
      </c>
      <c r="BO268" s="8">
        <v>6186164.3886379348</v>
      </c>
      <c r="BP268" s="8">
        <v>6410289.223517525</v>
      </c>
      <c r="BQ268" s="8">
        <v>224124.8348795902</v>
      </c>
      <c r="BR268" s="8" t="str">
        <v>No</v>
      </c>
    </row>
    <row r="269" spans="54:70" x14ac:dyDescent="0.2">
      <c r="BB269" s="94"/>
      <c r="BL269" s="8">
        <v>220</v>
      </c>
      <c r="BM269" s="8">
        <v>3329465.822126044</v>
      </c>
      <c r="BN269" s="8">
        <v>0</v>
      </c>
      <c r="BO269" s="8">
        <v>3329465.822126044</v>
      </c>
      <c r="BP269" s="8">
        <v>3930464.8099512565</v>
      </c>
      <c r="BQ269" s="8">
        <v>600998.98782521253</v>
      </c>
      <c r="BR269" s="8" t="str">
        <v>No</v>
      </c>
    </row>
    <row r="270" spans="54:70" x14ac:dyDescent="0.2">
      <c r="BB270" s="94"/>
      <c r="BL270" s="8">
        <v>221</v>
      </c>
      <c r="BM270" s="8">
        <v>3394725.6541039902</v>
      </c>
      <c r="BN270" s="8">
        <v>2158083.819642778</v>
      </c>
      <c r="BO270" s="8">
        <v>5552809.4737467682</v>
      </c>
      <c r="BP270" s="8">
        <v>4960696.789060086</v>
      </c>
      <c r="BQ270" s="8">
        <v>-592112.68468668219</v>
      </c>
      <c r="BR270" s="8" t="str">
        <v>Yes</v>
      </c>
    </row>
    <row r="271" spans="54:70" x14ac:dyDescent="0.2">
      <c r="BB271" s="94"/>
      <c r="BL271" s="8">
        <v>222</v>
      </c>
      <c r="BM271" s="8">
        <v>4449425.08973689</v>
      </c>
      <c r="BN271" s="8">
        <v>0</v>
      </c>
      <c r="BO271" s="8">
        <v>4449425.08973689</v>
      </c>
      <c r="BP271" s="8">
        <v>3544126.8199858419</v>
      </c>
      <c r="BQ271" s="8">
        <v>-905298.26975104818</v>
      </c>
      <c r="BR271" s="8" t="str">
        <v>Yes</v>
      </c>
    </row>
    <row r="272" spans="54:70" x14ac:dyDescent="0.2">
      <c r="BB272" s="94"/>
      <c r="BL272" s="8">
        <v>223</v>
      </c>
      <c r="BM272" s="8">
        <v>7913073.9146163296</v>
      </c>
      <c r="BN272" s="8">
        <v>0</v>
      </c>
      <c r="BO272" s="8">
        <v>7913073.9146163296</v>
      </c>
      <c r="BP272" s="8">
        <v>4185466.6196209989</v>
      </c>
      <c r="BQ272" s="8">
        <v>-3727607.2949953307</v>
      </c>
      <c r="BR272" s="8" t="str">
        <v>Yes</v>
      </c>
    </row>
    <row r="273" spans="54:70" x14ac:dyDescent="0.2">
      <c r="BB273" s="94"/>
      <c r="BL273" s="8">
        <v>224</v>
      </c>
      <c r="BM273" s="8">
        <v>2666380.9205786716</v>
      </c>
      <c r="BN273" s="8">
        <v>0</v>
      </c>
      <c r="BO273" s="8">
        <v>2666380.9205786716</v>
      </c>
      <c r="BP273" s="8">
        <v>2170053.5777521925</v>
      </c>
      <c r="BQ273" s="8">
        <v>-496327.34282647911</v>
      </c>
      <c r="BR273" s="8" t="str">
        <v>Yes</v>
      </c>
    </row>
    <row r="274" spans="54:70" x14ac:dyDescent="0.2">
      <c r="BB274" s="94"/>
      <c r="BL274" s="8">
        <v>225</v>
      </c>
      <c r="BM274" s="8">
        <v>4442142.1365587283</v>
      </c>
      <c r="BN274" s="8">
        <v>0</v>
      </c>
      <c r="BO274" s="8">
        <v>4442142.1365587283</v>
      </c>
      <c r="BP274" s="8">
        <v>3346290.1949374392</v>
      </c>
      <c r="BQ274" s="8">
        <v>-1095851.9416212891</v>
      </c>
      <c r="BR274" s="8" t="str">
        <v>Yes</v>
      </c>
    </row>
    <row r="275" spans="54:70" x14ac:dyDescent="0.2">
      <c r="BB275" s="94"/>
      <c r="BL275" s="8">
        <v>226</v>
      </c>
      <c r="BM275" s="8">
        <v>3614983.9820396691</v>
      </c>
      <c r="BN275" s="8">
        <v>0</v>
      </c>
      <c r="BO275" s="8">
        <v>3614983.9820396691</v>
      </c>
      <c r="BP275" s="8">
        <v>3143428.2698880802</v>
      </c>
      <c r="BQ275" s="8">
        <v>-471555.71215158887</v>
      </c>
      <c r="BR275" s="8" t="str">
        <v>Yes</v>
      </c>
    </row>
    <row r="276" spans="54:70" x14ac:dyDescent="0.2">
      <c r="BB276" s="94"/>
      <c r="BL276" s="8">
        <v>227</v>
      </c>
      <c r="BM276" s="8">
        <v>2063333.8238454056</v>
      </c>
      <c r="BN276" s="8">
        <v>1353545.658657142</v>
      </c>
      <c r="BO276" s="8">
        <v>3416879.4825025476</v>
      </c>
      <c r="BP276" s="8">
        <v>4364428.2400027998</v>
      </c>
      <c r="BQ276" s="8">
        <v>947548.75750025222</v>
      </c>
      <c r="BR276" s="8" t="str">
        <v>No</v>
      </c>
    </row>
    <row r="277" spans="54:70" x14ac:dyDescent="0.2">
      <c r="BB277" s="94"/>
      <c r="BL277" s="8">
        <v>228</v>
      </c>
      <c r="BM277" s="8">
        <v>3666298.6574895894</v>
      </c>
      <c r="BN277" s="8">
        <v>1331626.6447339808</v>
      </c>
      <c r="BO277" s="8">
        <v>4997925.3022235706</v>
      </c>
      <c r="BP277" s="8">
        <v>4338256.0206220737</v>
      </c>
      <c r="BQ277" s="8">
        <v>-659669.28160149697</v>
      </c>
      <c r="BR277" s="8" t="str">
        <v>Yes</v>
      </c>
    </row>
    <row r="278" spans="54:70" x14ac:dyDescent="0.2">
      <c r="BB278" s="94"/>
      <c r="BL278" s="8">
        <v>229</v>
      </c>
      <c r="BM278" s="8">
        <v>2839323.6213281783</v>
      </c>
      <c r="BN278" s="8">
        <v>0</v>
      </c>
      <c r="BO278" s="8">
        <v>2839323.6213281783</v>
      </c>
      <c r="BP278" s="8">
        <v>5735472.295939751</v>
      </c>
      <c r="BQ278" s="8">
        <v>2896148.6746115726</v>
      </c>
      <c r="BR278" s="8" t="str">
        <v>No</v>
      </c>
    </row>
    <row r="279" spans="54:70" x14ac:dyDescent="0.2">
      <c r="BB279" s="94"/>
      <c r="BL279" s="8">
        <v>230</v>
      </c>
      <c r="BM279" s="8">
        <v>5595023.1660493882</v>
      </c>
      <c r="BN279" s="8">
        <v>5436758.4334717579</v>
      </c>
      <c r="BO279" s="8">
        <v>11031781.599521145</v>
      </c>
      <c r="BP279" s="8">
        <v>4643311.7803341281</v>
      </c>
      <c r="BQ279" s="8">
        <v>-6388469.8191870172</v>
      </c>
      <c r="BR279" s="8" t="str">
        <v>Yes</v>
      </c>
    </row>
    <row r="280" spans="54:70" x14ac:dyDescent="0.2">
      <c r="BB280" s="94"/>
      <c r="BL280" s="8">
        <v>231</v>
      </c>
      <c r="BM280" s="8">
        <v>5608790.4916422656</v>
      </c>
      <c r="BN280" s="8">
        <v>4343238.2848571613</v>
      </c>
      <c r="BO280" s="8">
        <v>9952028.7764994279</v>
      </c>
      <c r="BP280" s="8">
        <v>3470857.1203927565</v>
      </c>
      <c r="BQ280" s="8">
        <v>-6481171.6561066713</v>
      </c>
      <c r="BR280" s="8" t="str">
        <v>Yes</v>
      </c>
    </row>
    <row r="281" spans="54:70" x14ac:dyDescent="0.2">
      <c r="BB281" s="94"/>
      <c r="BL281" s="8">
        <v>232</v>
      </c>
      <c r="BM281" s="8">
        <v>18609462.156157047</v>
      </c>
      <c r="BN281" s="8">
        <v>19041551.600999251</v>
      </c>
      <c r="BO281" s="8">
        <v>37651013.757156298</v>
      </c>
      <c r="BP281" s="8">
        <v>2225519.4089132827</v>
      </c>
      <c r="BQ281" s="8">
        <v>-35425494.348243013</v>
      </c>
      <c r="BR281" s="8" t="str">
        <v>Yes</v>
      </c>
    </row>
    <row r="282" spans="54:70" x14ac:dyDescent="0.2">
      <c r="BB282" s="94"/>
      <c r="BL282" s="8">
        <v>233</v>
      </c>
      <c r="BM282" s="8">
        <v>3181544.8495523636</v>
      </c>
      <c r="BN282" s="8">
        <v>0</v>
      </c>
      <c r="BO282" s="8">
        <v>3181544.8495523636</v>
      </c>
      <c r="BP282" s="8">
        <v>3334242.3827037192</v>
      </c>
      <c r="BQ282" s="8">
        <v>152697.53315135557</v>
      </c>
      <c r="BR282" s="8" t="str">
        <v>No</v>
      </c>
    </row>
    <row r="283" spans="54:70" x14ac:dyDescent="0.2">
      <c r="BB283" s="94"/>
      <c r="BL283" s="8">
        <v>234</v>
      </c>
      <c r="BM283" s="8">
        <v>12044581.627315462</v>
      </c>
      <c r="BN283" s="8">
        <v>0</v>
      </c>
      <c r="BO283" s="8">
        <v>12044581.627315462</v>
      </c>
      <c r="BP283" s="8">
        <v>2408951.2164867967</v>
      </c>
      <c r="BQ283" s="8">
        <v>-9635630.4108286649</v>
      </c>
      <c r="BR283" s="8" t="str">
        <v>Yes</v>
      </c>
    </row>
    <row r="284" spans="54:70" x14ac:dyDescent="0.2">
      <c r="BB284" s="94"/>
      <c r="BL284" s="8">
        <v>235</v>
      </c>
      <c r="BM284" s="8">
        <v>9548899.6677006241</v>
      </c>
      <c r="BN284" s="8">
        <v>0</v>
      </c>
      <c r="BO284" s="8">
        <v>9548899.6677006241</v>
      </c>
      <c r="BP284" s="8">
        <v>5771857.4969201796</v>
      </c>
      <c r="BQ284" s="8">
        <v>-3777042.1707804445</v>
      </c>
      <c r="BR284" s="8" t="str">
        <v>Yes</v>
      </c>
    </row>
    <row r="285" spans="54:70" x14ac:dyDescent="0.2">
      <c r="BB285" s="94"/>
      <c r="BL285" s="8">
        <v>236</v>
      </c>
      <c r="BM285" s="8">
        <v>1823532.4142377041</v>
      </c>
      <c r="BN285" s="8">
        <v>802562.50950535049</v>
      </c>
      <c r="BO285" s="8">
        <v>2626094.9237430547</v>
      </c>
      <c r="BP285" s="8">
        <v>6414518.1210378408</v>
      </c>
      <c r="BQ285" s="8">
        <v>3788423.1972947861</v>
      </c>
      <c r="BR285" s="8" t="str">
        <v>No</v>
      </c>
    </row>
    <row r="286" spans="54:70" x14ac:dyDescent="0.2">
      <c r="BB286" s="94"/>
      <c r="BL286" s="8">
        <v>237</v>
      </c>
      <c r="BM286" s="8">
        <v>4268992.3810085729</v>
      </c>
      <c r="BN286" s="8">
        <v>0</v>
      </c>
      <c r="BO286" s="8">
        <v>4268992.3810085729</v>
      </c>
      <c r="BP286" s="8">
        <v>2321337.6581089753</v>
      </c>
      <c r="BQ286" s="8">
        <v>-1947654.7228995976</v>
      </c>
      <c r="BR286" s="8" t="str">
        <v>Yes</v>
      </c>
    </row>
    <row r="287" spans="54:70" x14ac:dyDescent="0.2">
      <c r="BB287" s="94"/>
      <c r="BL287" s="8">
        <v>238</v>
      </c>
      <c r="BM287" s="8">
        <v>4618493.6183483545</v>
      </c>
      <c r="BN287" s="8">
        <v>0</v>
      </c>
      <c r="BO287" s="8">
        <v>4618493.6183483545</v>
      </c>
      <c r="BP287" s="8">
        <v>2954887.7796712439</v>
      </c>
      <c r="BQ287" s="8">
        <v>-1663605.8386771106</v>
      </c>
      <c r="BR287" s="8" t="str">
        <v>Yes</v>
      </c>
    </row>
    <row r="288" spans="54:70" x14ac:dyDescent="0.2">
      <c r="BB288" s="94"/>
      <c r="BL288" s="8">
        <v>239</v>
      </c>
      <c r="BM288" s="8">
        <v>3605398.367110529</v>
      </c>
      <c r="BN288" s="8">
        <v>0</v>
      </c>
      <c r="BO288" s="8">
        <v>3605398.367110529</v>
      </c>
      <c r="BP288" s="8">
        <v>2261150.5615151813</v>
      </c>
      <c r="BQ288" s="8">
        <v>-1344247.8055953477</v>
      </c>
      <c r="BR288" s="8" t="str">
        <v>Yes</v>
      </c>
    </row>
    <row r="289" spans="54:70" x14ac:dyDescent="0.2">
      <c r="BB289" s="94"/>
      <c r="BL289" s="8">
        <v>240</v>
      </c>
      <c r="BM289" s="8">
        <v>3380668.6992504392</v>
      </c>
      <c r="BN289" s="8">
        <v>0</v>
      </c>
      <c r="BO289" s="8">
        <v>3380668.6992504392</v>
      </c>
      <c r="BP289" s="8">
        <v>6654592.5077597974</v>
      </c>
      <c r="BQ289" s="8">
        <v>3273923.8085093582</v>
      </c>
      <c r="BR289" s="8" t="str">
        <v>No</v>
      </c>
    </row>
    <row r="290" spans="54:70" x14ac:dyDescent="0.2">
      <c r="BB290" s="94"/>
      <c r="BL290" s="8">
        <v>241</v>
      </c>
      <c r="BM290" s="8">
        <v>2861619.258795755</v>
      </c>
      <c r="BN290" s="8">
        <v>0</v>
      </c>
      <c r="BO290" s="8">
        <v>2861619.258795755</v>
      </c>
      <c r="BP290" s="8">
        <v>6264133.0651439084</v>
      </c>
      <c r="BQ290" s="8">
        <v>3402513.8063481534</v>
      </c>
      <c r="BR290" s="8" t="str">
        <v>No</v>
      </c>
    </row>
    <row r="291" spans="54:70" x14ac:dyDescent="0.2">
      <c r="BB291" s="94"/>
      <c r="BL291" s="8">
        <v>242</v>
      </c>
      <c r="BM291" s="8">
        <v>1968247.1593091404</v>
      </c>
      <c r="BN291" s="8">
        <v>0</v>
      </c>
      <c r="BO291" s="8">
        <v>1968247.1593091404</v>
      </c>
      <c r="BP291" s="8">
        <v>4440079.8171667578</v>
      </c>
      <c r="BQ291" s="8">
        <v>2471832.6578576174</v>
      </c>
      <c r="BR291" s="8" t="str">
        <v>No</v>
      </c>
    </row>
    <row r="292" spans="54:70" x14ac:dyDescent="0.2">
      <c r="BB292" s="94"/>
      <c r="BL292" s="8">
        <v>243</v>
      </c>
      <c r="BM292" s="8">
        <v>3619121.0479960414</v>
      </c>
      <c r="BN292" s="8">
        <v>0</v>
      </c>
      <c r="BO292" s="8">
        <v>3619121.0479960414</v>
      </c>
      <c r="BP292" s="8">
        <v>2270115.471237008</v>
      </c>
      <c r="BQ292" s="8">
        <v>-1349005.5767590334</v>
      </c>
      <c r="BR292" s="8" t="str">
        <v>Yes</v>
      </c>
    </row>
    <row r="293" spans="54:70" x14ac:dyDescent="0.2">
      <c r="BB293" s="94"/>
      <c r="BL293" s="8">
        <v>244</v>
      </c>
      <c r="BM293" s="8">
        <v>2075680.8170454719</v>
      </c>
      <c r="BN293" s="8">
        <v>0</v>
      </c>
      <c r="BO293" s="8">
        <v>2075680.8170454719</v>
      </c>
      <c r="BP293" s="8">
        <v>3357614.8365359842</v>
      </c>
      <c r="BQ293" s="8">
        <v>1281934.0194905123</v>
      </c>
      <c r="BR293" s="8" t="str">
        <v>No</v>
      </c>
    </row>
    <row r="294" spans="54:70" x14ac:dyDescent="0.2">
      <c r="BB294" s="94"/>
      <c r="BL294" s="8">
        <v>245</v>
      </c>
      <c r="BM294" s="8">
        <v>4970925.2236616025</v>
      </c>
      <c r="BN294" s="8">
        <v>0</v>
      </c>
      <c r="BO294" s="8">
        <v>4970925.2236616025</v>
      </c>
      <c r="BP294" s="8">
        <v>2331483.9540830115</v>
      </c>
      <c r="BQ294" s="8">
        <v>-2639441.269578591</v>
      </c>
      <c r="BR294" s="8" t="str">
        <v>Yes</v>
      </c>
    </row>
    <row r="295" spans="54:70" x14ac:dyDescent="0.2">
      <c r="BB295" s="94"/>
      <c r="BL295" s="8">
        <v>246</v>
      </c>
      <c r="BM295" s="8">
        <v>3940864.7190839336</v>
      </c>
      <c r="BN295" s="8">
        <v>0</v>
      </c>
      <c r="BO295" s="8">
        <v>3940864.7190839336</v>
      </c>
      <c r="BP295" s="8">
        <v>3401325.1121206675</v>
      </c>
      <c r="BQ295" s="8">
        <v>-539539.60696326615</v>
      </c>
      <c r="BR295" s="8" t="str">
        <v>Yes</v>
      </c>
    </row>
    <row r="296" spans="54:70" x14ac:dyDescent="0.2">
      <c r="BB296" s="94"/>
      <c r="BL296" s="8">
        <v>247</v>
      </c>
      <c r="BM296" s="8">
        <v>10682179.570535691</v>
      </c>
      <c r="BN296" s="8">
        <v>10036978.620148711</v>
      </c>
      <c r="BO296" s="8">
        <v>20719158.1906844</v>
      </c>
      <c r="BP296" s="8">
        <v>6342372.692445091</v>
      </c>
      <c r="BQ296" s="8">
        <v>-14376785.498239309</v>
      </c>
      <c r="BR296" s="8" t="str">
        <v>Yes</v>
      </c>
    </row>
    <row r="297" spans="54:70" x14ac:dyDescent="0.2">
      <c r="BB297" s="94"/>
      <c r="BL297" s="8">
        <v>248</v>
      </c>
      <c r="BM297" s="8">
        <v>4812624.5461744703</v>
      </c>
      <c r="BN297" s="8">
        <v>0</v>
      </c>
      <c r="BO297" s="8">
        <v>4812624.5461744703</v>
      </c>
      <c r="BP297" s="8">
        <v>6513576.2689942494</v>
      </c>
      <c r="BQ297" s="8">
        <v>1700951.7228197791</v>
      </c>
      <c r="BR297" s="8" t="str">
        <v>No</v>
      </c>
    </row>
    <row r="298" spans="54:70" x14ac:dyDescent="0.2">
      <c r="BB298" s="94"/>
      <c r="BL298" s="8">
        <v>249</v>
      </c>
      <c r="BM298" s="8">
        <v>4437211.311414497</v>
      </c>
      <c r="BN298" s="8">
        <v>3699958.5717108375</v>
      </c>
      <c r="BO298" s="8">
        <v>8137169.883125335</v>
      </c>
      <c r="BP298" s="8">
        <v>4258559.3690364445</v>
      </c>
      <c r="BQ298" s="8">
        <v>-3878610.5140888905</v>
      </c>
      <c r="BR298" s="8" t="str">
        <v>Yes</v>
      </c>
    </row>
    <row r="299" spans="54:70" x14ac:dyDescent="0.2">
      <c r="BB299" s="94"/>
      <c r="BL299" s="8">
        <v>250</v>
      </c>
      <c r="BM299" s="8">
        <v>3209446.3052971358</v>
      </c>
      <c r="BN299" s="8">
        <v>1077416.5516834385</v>
      </c>
      <c r="BO299" s="8">
        <v>4286862.8569805743</v>
      </c>
      <c r="BP299" s="8">
        <v>6147639.9336354248</v>
      </c>
      <c r="BQ299" s="8">
        <v>1860777.0766548505</v>
      </c>
      <c r="BR299" s="8" t="str">
        <v>No</v>
      </c>
    </row>
    <row r="300" spans="54:70" x14ac:dyDescent="0.2">
      <c r="BB300" s="94"/>
      <c r="BL300" s="8">
        <v>251</v>
      </c>
      <c r="BM300" s="8">
        <v>6600327.4498271467</v>
      </c>
      <c r="BN300" s="8">
        <v>6611278.4805728728</v>
      </c>
      <c r="BO300" s="8">
        <v>13211605.93040002</v>
      </c>
      <c r="BP300" s="8">
        <v>6618824.4013886731</v>
      </c>
      <c r="BQ300" s="8">
        <v>-6592781.5290113464</v>
      </c>
      <c r="BR300" s="8" t="str">
        <v>Yes</v>
      </c>
    </row>
    <row r="301" spans="54:70" x14ac:dyDescent="0.2">
      <c r="BB301" s="94"/>
      <c r="BL301" s="8">
        <v>252</v>
      </c>
      <c r="BM301" s="8">
        <v>4673684.4825422475</v>
      </c>
      <c r="BN301" s="8">
        <v>2938427.769789903</v>
      </c>
      <c r="BO301" s="8">
        <v>7612112.2523321509</v>
      </c>
      <c r="BP301" s="8">
        <v>3401633.5439799298</v>
      </c>
      <c r="BQ301" s="8">
        <v>-4210478.7083522212</v>
      </c>
      <c r="BR301" s="8" t="str">
        <v>Yes</v>
      </c>
    </row>
    <row r="302" spans="54:70" x14ac:dyDescent="0.2">
      <c r="BB302" s="94"/>
      <c r="BL302" s="8">
        <v>253</v>
      </c>
      <c r="BM302" s="8">
        <v>8168893.2722008526</v>
      </c>
      <c r="BN302" s="8">
        <v>5826596.5713535529</v>
      </c>
      <c r="BO302" s="8">
        <v>13995489.843554405</v>
      </c>
      <c r="BP302" s="8">
        <v>6773166.4355825055</v>
      </c>
      <c r="BQ302" s="8">
        <v>-7222323.4079719</v>
      </c>
      <c r="BR302" s="8" t="str">
        <v>Yes</v>
      </c>
    </row>
    <row r="303" spans="54:70" x14ac:dyDescent="0.2">
      <c r="BB303" s="94"/>
      <c r="BL303" s="8">
        <v>254</v>
      </c>
      <c r="BM303" s="8">
        <v>3257459.0390081769</v>
      </c>
      <c r="BN303" s="8">
        <v>0</v>
      </c>
      <c r="BO303" s="8">
        <v>3257459.0390081769</v>
      </c>
      <c r="BP303" s="8">
        <v>6843531.9354806859</v>
      </c>
      <c r="BQ303" s="8">
        <v>3586072.896472509</v>
      </c>
      <c r="BR303" s="8" t="str">
        <v>No</v>
      </c>
    </row>
    <row r="304" spans="54:70" x14ac:dyDescent="0.2">
      <c r="BB304" s="94"/>
      <c r="BL304" s="8">
        <v>255</v>
      </c>
      <c r="BM304" s="8">
        <v>3748077.5497134323</v>
      </c>
      <c r="BN304" s="8">
        <v>4791139.8148515625</v>
      </c>
      <c r="BO304" s="8">
        <v>8539217.3645649944</v>
      </c>
      <c r="BP304" s="8">
        <v>2345288.9872519132</v>
      </c>
      <c r="BQ304" s="8">
        <v>-6193928.3773130812</v>
      </c>
      <c r="BR304" s="8" t="str">
        <v>Yes</v>
      </c>
    </row>
    <row r="305" spans="54:70" x14ac:dyDescent="0.2">
      <c r="BB305" s="94"/>
      <c r="BL305" s="8">
        <v>256</v>
      </c>
      <c r="BM305" s="8">
        <v>5123795.4006805457</v>
      </c>
      <c r="BN305" s="8">
        <v>4415933.6999946302</v>
      </c>
      <c r="BO305" s="8">
        <v>9539729.1006751768</v>
      </c>
      <c r="BP305" s="8">
        <v>2207045.8470510128</v>
      </c>
      <c r="BQ305" s="8">
        <v>-7332683.2536241636</v>
      </c>
      <c r="BR305" s="8" t="str">
        <v>Yes</v>
      </c>
    </row>
    <row r="306" spans="54:70" x14ac:dyDescent="0.2">
      <c r="BB306" s="94"/>
      <c r="BL306" s="8">
        <v>257</v>
      </c>
      <c r="BM306" s="8">
        <v>4358505.470994249</v>
      </c>
      <c r="BN306" s="8">
        <v>2206110.3116638814</v>
      </c>
      <c r="BO306" s="8">
        <v>6564615.7826581299</v>
      </c>
      <c r="BP306" s="8">
        <v>6589330.0999274394</v>
      </c>
      <c r="BQ306" s="8">
        <v>24714.317269309424</v>
      </c>
      <c r="BR306" s="8" t="str">
        <v>No</v>
      </c>
    </row>
    <row r="307" spans="54:70" x14ac:dyDescent="0.2">
      <c r="BB307" s="94"/>
      <c r="BL307" s="8">
        <v>258</v>
      </c>
      <c r="BM307" s="8">
        <v>6409159.6722024567</v>
      </c>
      <c r="BN307" s="8">
        <v>5770122.635549969</v>
      </c>
      <c r="BO307" s="8">
        <v>12179282.307752427</v>
      </c>
      <c r="BP307" s="8">
        <v>4099847.6180066578</v>
      </c>
      <c r="BQ307" s="8">
        <v>-8079434.6897457689</v>
      </c>
      <c r="BR307" s="8" t="str">
        <v>Yes</v>
      </c>
    </row>
    <row r="308" spans="54:70" x14ac:dyDescent="0.2">
      <c r="BB308" s="94"/>
      <c r="BL308" s="8">
        <v>259</v>
      </c>
      <c r="BM308" s="8">
        <v>6583223.5437355489</v>
      </c>
      <c r="BN308" s="8">
        <v>5814966.7790938113</v>
      </c>
      <c r="BO308" s="8">
        <v>12398190.32282936</v>
      </c>
      <c r="BP308" s="8">
        <v>4189791.7104983232</v>
      </c>
      <c r="BQ308" s="8">
        <v>-8208398.6123310365</v>
      </c>
      <c r="BR308" s="8" t="str">
        <v>Yes</v>
      </c>
    </row>
    <row r="309" spans="54:70" x14ac:dyDescent="0.2">
      <c r="BB309" s="94"/>
      <c r="BL309" s="8">
        <v>260</v>
      </c>
      <c r="BM309" s="8">
        <v>10029230.782072954</v>
      </c>
      <c r="BN309" s="8">
        <v>0</v>
      </c>
      <c r="BO309" s="8">
        <v>10029230.782072954</v>
      </c>
      <c r="BP309" s="8">
        <v>4165549.0023536123</v>
      </c>
      <c r="BQ309" s="8">
        <v>-5863681.7797193415</v>
      </c>
      <c r="BR309" s="8" t="str">
        <v>Yes</v>
      </c>
    </row>
    <row r="310" spans="54:70" x14ac:dyDescent="0.2">
      <c r="BB310" s="94"/>
      <c r="BL310" s="8">
        <v>261</v>
      </c>
      <c r="BM310" s="8">
        <v>3165807.9954466866</v>
      </c>
      <c r="BN310" s="8">
        <v>0</v>
      </c>
      <c r="BO310" s="8">
        <v>3165807.9954466866</v>
      </c>
      <c r="BP310" s="8">
        <v>4379910.0359275322</v>
      </c>
      <c r="BQ310" s="8">
        <v>1214102.0404808456</v>
      </c>
      <c r="BR310" s="8" t="str">
        <v>No</v>
      </c>
    </row>
    <row r="311" spans="54:70" x14ac:dyDescent="0.2">
      <c r="BB311" s="94"/>
      <c r="BL311" s="8">
        <v>262</v>
      </c>
      <c r="BM311" s="8">
        <v>1488164.987419951</v>
      </c>
      <c r="BN311" s="8">
        <v>0</v>
      </c>
      <c r="BO311" s="8">
        <v>1488164.987419951</v>
      </c>
      <c r="BP311" s="8">
        <v>2460608.0593821444</v>
      </c>
      <c r="BQ311" s="8">
        <v>972443.07196219335</v>
      </c>
      <c r="BR311" s="8" t="str">
        <v>No</v>
      </c>
    </row>
    <row r="312" spans="54:70" x14ac:dyDescent="0.2">
      <c r="BB312" s="94"/>
      <c r="BL312" s="8">
        <v>263</v>
      </c>
      <c r="BM312" s="8">
        <v>2600530.0012701047</v>
      </c>
      <c r="BN312" s="8">
        <v>3128442.1965514119</v>
      </c>
      <c r="BO312" s="8">
        <v>5728972.1978215165</v>
      </c>
      <c r="BP312" s="8">
        <v>4343466.5158003531</v>
      </c>
      <c r="BQ312" s="8">
        <v>-1385505.6820211634</v>
      </c>
      <c r="BR312" s="8" t="str">
        <v>Yes</v>
      </c>
    </row>
    <row r="313" spans="54:70" x14ac:dyDescent="0.2">
      <c r="BB313" s="94"/>
      <c r="BL313" s="8">
        <v>264</v>
      </c>
      <c r="BM313" s="8">
        <v>4843735.7646070514</v>
      </c>
      <c r="BN313" s="8">
        <v>3758691.500316509</v>
      </c>
      <c r="BO313" s="8">
        <v>8602427.2649235614</v>
      </c>
      <c r="BP313" s="8">
        <v>6629599.2555258274</v>
      </c>
      <c r="BQ313" s="8">
        <v>-1972828.009397734</v>
      </c>
      <c r="BR313" s="8" t="str">
        <v>Yes</v>
      </c>
    </row>
    <row r="314" spans="54:70" x14ac:dyDescent="0.2">
      <c r="BB314" s="94"/>
      <c r="BL314" s="8">
        <v>265</v>
      </c>
      <c r="BM314" s="8">
        <v>2559693.1148948623</v>
      </c>
      <c r="BN314" s="8">
        <v>2562146.247678353</v>
      </c>
      <c r="BO314" s="8">
        <v>5121839.3625732157</v>
      </c>
      <c r="BP314" s="8">
        <v>3365605.0098097553</v>
      </c>
      <c r="BQ314" s="8">
        <v>-1756234.3527634605</v>
      </c>
      <c r="BR314" s="8" t="str">
        <v>Yes</v>
      </c>
    </row>
    <row r="315" spans="54:70" x14ac:dyDescent="0.2">
      <c r="BB315" s="94"/>
      <c r="BL315" s="8">
        <v>266</v>
      </c>
      <c r="BM315" s="8">
        <v>7073909.8800228294</v>
      </c>
      <c r="BN315" s="8">
        <v>0</v>
      </c>
      <c r="BO315" s="8">
        <v>7073909.8800228294</v>
      </c>
      <c r="BP315" s="8">
        <v>3531578.2877060282</v>
      </c>
      <c r="BQ315" s="8">
        <v>-3542331.5923168012</v>
      </c>
      <c r="BR315" s="8" t="str">
        <v>Yes</v>
      </c>
    </row>
    <row r="316" spans="54:70" x14ac:dyDescent="0.2">
      <c r="BB316" s="94"/>
      <c r="BL316" s="8">
        <v>267</v>
      </c>
      <c r="BM316" s="8">
        <v>2404419.3932372783</v>
      </c>
      <c r="BN316" s="8">
        <v>1974735.9727216843</v>
      </c>
      <c r="BO316" s="8">
        <v>4379155.3659589626</v>
      </c>
      <c r="BP316" s="8">
        <v>3531589.6165579031</v>
      </c>
      <c r="BQ316" s="8">
        <v>-847565.74940105947</v>
      </c>
      <c r="BR316" s="8" t="str">
        <v>Yes</v>
      </c>
    </row>
    <row r="317" spans="54:70" x14ac:dyDescent="0.2">
      <c r="BB317" s="94"/>
      <c r="BL317" s="8">
        <v>268</v>
      </c>
      <c r="BM317" s="8">
        <v>4452198.5521373367</v>
      </c>
      <c r="BN317" s="8">
        <v>2498005.0338818422</v>
      </c>
      <c r="BO317" s="8">
        <v>6950203.5860191789</v>
      </c>
      <c r="BP317" s="8">
        <v>6074057.5706751235</v>
      </c>
      <c r="BQ317" s="8">
        <v>-876146.01534405537</v>
      </c>
      <c r="BR317" s="8" t="str">
        <v>Yes</v>
      </c>
    </row>
    <row r="318" spans="54:70" x14ac:dyDescent="0.2">
      <c r="BB318" s="94"/>
      <c r="BL318" s="8">
        <v>269</v>
      </c>
      <c r="BM318" s="8">
        <v>3601230.1925378768</v>
      </c>
      <c r="BN318" s="8">
        <v>2114221.2376601226</v>
      </c>
      <c r="BO318" s="8">
        <v>5715451.4301979989</v>
      </c>
      <c r="BP318" s="8">
        <v>3148382.8729228103</v>
      </c>
      <c r="BQ318" s="8">
        <v>-2567068.5572751886</v>
      </c>
      <c r="BR318" s="8" t="str">
        <v>Yes</v>
      </c>
    </row>
    <row r="319" spans="54:70" x14ac:dyDescent="0.2">
      <c r="BB319" s="94"/>
      <c r="BL319" s="8">
        <v>270</v>
      </c>
      <c r="BM319" s="8">
        <v>5567942.67775774</v>
      </c>
      <c r="BN319" s="8">
        <v>5029914.4249711139</v>
      </c>
      <c r="BO319" s="8">
        <v>10597857.102728855</v>
      </c>
      <c r="BP319" s="8">
        <v>3314881.1973024872</v>
      </c>
      <c r="BQ319" s="8">
        <v>-7282975.9054263681</v>
      </c>
      <c r="BR319" s="8" t="str">
        <v>Yes</v>
      </c>
    </row>
    <row r="320" spans="54:70" x14ac:dyDescent="0.2">
      <c r="BB320" s="94"/>
      <c r="BL320" s="8">
        <v>271</v>
      </c>
      <c r="BM320" s="8">
        <v>2901271.9932557791</v>
      </c>
      <c r="BN320" s="8">
        <v>0</v>
      </c>
      <c r="BO320" s="8">
        <v>2901271.9932557791</v>
      </c>
      <c r="BP320" s="8">
        <v>3400597.0504217437</v>
      </c>
      <c r="BQ320" s="8">
        <v>499325.05716596451</v>
      </c>
      <c r="BR320" s="8" t="str">
        <v>No</v>
      </c>
    </row>
    <row r="321" spans="54:70" x14ac:dyDescent="0.2">
      <c r="BB321" s="94"/>
      <c r="BL321" s="8">
        <v>272</v>
      </c>
      <c r="BM321" s="8">
        <v>4730126.4296731781</v>
      </c>
      <c r="BN321" s="8">
        <v>0</v>
      </c>
      <c r="BO321" s="8">
        <v>4730126.4296731781</v>
      </c>
      <c r="BP321" s="8">
        <v>3195837.6072578137</v>
      </c>
      <c r="BQ321" s="8">
        <v>-1534288.8224153644</v>
      </c>
      <c r="BR321" s="8" t="str">
        <v>Yes</v>
      </c>
    </row>
    <row r="322" spans="54:70" x14ac:dyDescent="0.2">
      <c r="BB322" s="94"/>
      <c r="BL322" s="8">
        <v>273</v>
      </c>
      <c r="BM322" s="8">
        <v>9306760.0184579808</v>
      </c>
      <c r="BN322" s="8">
        <v>7099568.00416975</v>
      </c>
      <c r="BO322" s="8">
        <v>16406328.02262773</v>
      </c>
      <c r="BP322" s="8">
        <v>2119366.4690581574</v>
      </c>
      <c r="BQ322" s="8">
        <v>-14286961.553569572</v>
      </c>
      <c r="BR322" s="8" t="str">
        <v>Yes</v>
      </c>
    </row>
    <row r="323" spans="54:70" x14ac:dyDescent="0.2">
      <c r="BB323" s="94"/>
      <c r="BL323" s="8">
        <v>274</v>
      </c>
      <c r="BM323" s="8">
        <v>2029155.1227538586</v>
      </c>
      <c r="BN323" s="8">
        <v>0</v>
      </c>
      <c r="BO323" s="8">
        <v>2029155.1227538586</v>
      </c>
      <c r="BP323" s="8">
        <v>3204644.8904576437</v>
      </c>
      <c r="BQ323" s="8">
        <v>1175489.7677037851</v>
      </c>
      <c r="BR323" s="8" t="str">
        <v>No</v>
      </c>
    </row>
    <row r="324" spans="54:70" x14ac:dyDescent="0.2">
      <c r="BB324" s="94"/>
      <c r="BL324" s="8">
        <v>275</v>
      </c>
      <c r="BM324" s="8">
        <v>4215412.6075956216</v>
      </c>
      <c r="BN324" s="8">
        <v>3738996.1188428388</v>
      </c>
      <c r="BO324" s="8">
        <v>7954408.7264384609</v>
      </c>
      <c r="BP324" s="8">
        <v>6441953.8739478681</v>
      </c>
      <c r="BQ324" s="8">
        <v>-1512454.8524905927</v>
      </c>
      <c r="BR324" s="8" t="str">
        <v>Yes</v>
      </c>
    </row>
    <row r="325" spans="54:70" x14ac:dyDescent="0.2">
      <c r="BB325" s="94"/>
      <c r="BL325" s="8">
        <v>276</v>
      </c>
      <c r="BM325" s="8">
        <v>4897246.7646810096</v>
      </c>
      <c r="BN325" s="8">
        <v>4744446.2066891557</v>
      </c>
      <c r="BO325" s="8">
        <v>9641692.9713701643</v>
      </c>
      <c r="BP325" s="8">
        <v>6658379.3180607054</v>
      </c>
      <c r="BQ325" s="8">
        <v>-2983313.6533094589</v>
      </c>
      <c r="BR325" s="8" t="str">
        <v>Yes</v>
      </c>
    </row>
    <row r="326" spans="54:70" x14ac:dyDescent="0.2">
      <c r="BB326" s="94"/>
      <c r="BL326" s="8">
        <v>277</v>
      </c>
      <c r="BM326" s="8">
        <v>5230364.7784585375</v>
      </c>
      <c r="BN326" s="8">
        <v>5389100.1748716915</v>
      </c>
      <c r="BO326" s="8">
        <v>10619464.95333023</v>
      </c>
      <c r="BP326" s="8">
        <v>4772905.3372960696</v>
      </c>
      <c r="BQ326" s="8">
        <v>-5846559.6160341604</v>
      </c>
      <c r="BR326" s="8" t="str">
        <v>Yes</v>
      </c>
    </row>
    <row r="327" spans="54:70" x14ac:dyDescent="0.2">
      <c r="BB327" s="94"/>
      <c r="BL327" s="8">
        <v>278</v>
      </c>
      <c r="BM327" s="8">
        <v>11626681.361183099</v>
      </c>
      <c r="BN327" s="8">
        <v>0</v>
      </c>
      <c r="BO327" s="8">
        <v>11626681.361183099</v>
      </c>
      <c r="BP327" s="8">
        <v>4364513.6681399811</v>
      </c>
      <c r="BQ327" s="8">
        <v>-7262167.6930431183</v>
      </c>
      <c r="BR327" s="8" t="str">
        <v>Yes</v>
      </c>
    </row>
    <row r="328" spans="54:70" x14ac:dyDescent="0.2">
      <c r="BB328" s="94"/>
      <c r="BL328" s="8">
        <v>279</v>
      </c>
      <c r="BM328" s="8">
        <v>8919896.5086705629</v>
      </c>
      <c r="BN328" s="8">
        <v>9354115.7154822405</v>
      </c>
      <c r="BO328" s="8">
        <v>18274012.224152803</v>
      </c>
      <c r="BP328" s="8">
        <v>6535969.5222701216</v>
      </c>
      <c r="BQ328" s="8">
        <v>-11738042.701882683</v>
      </c>
      <c r="BR328" s="8" t="str">
        <v>Yes</v>
      </c>
    </row>
    <row r="329" spans="54:70" x14ac:dyDescent="0.2">
      <c r="BB329" s="94"/>
      <c r="BL329" s="8">
        <v>280</v>
      </c>
      <c r="BM329" s="8">
        <v>2333459.1252712971</v>
      </c>
      <c r="BN329" s="8">
        <v>0</v>
      </c>
      <c r="BO329" s="8">
        <v>2333459.1252712971</v>
      </c>
      <c r="BP329" s="8">
        <v>2308544.4565407308</v>
      </c>
      <c r="BQ329" s="8">
        <v>-24914.668730566278</v>
      </c>
      <c r="BR329" s="8" t="str">
        <v>Yes</v>
      </c>
    </row>
    <row r="330" spans="54:70" x14ac:dyDescent="0.2">
      <c r="BB330" s="94"/>
      <c r="BL330" s="8">
        <v>281</v>
      </c>
      <c r="BM330" s="8">
        <v>2473351.7200991181</v>
      </c>
      <c r="BN330" s="8">
        <v>0</v>
      </c>
      <c r="BO330" s="8">
        <v>2473351.7200991181</v>
      </c>
      <c r="BP330" s="8">
        <v>2246898.2459276142</v>
      </c>
      <c r="BQ330" s="8">
        <v>-226453.47417150391</v>
      </c>
      <c r="BR330" s="8" t="str">
        <v>Yes</v>
      </c>
    </row>
    <row r="331" spans="54:70" x14ac:dyDescent="0.2">
      <c r="BB331" s="94"/>
      <c r="BL331" s="8">
        <v>282</v>
      </c>
      <c r="BM331" s="8">
        <v>1289357.0048353539</v>
      </c>
      <c r="BN331" s="8">
        <v>0</v>
      </c>
      <c r="BO331" s="8">
        <v>1289357.0048353539</v>
      </c>
      <c r="BP331" s="8">
        <v>2211369.6622231039</v>
      </c>
      <c r="BQ331" s="8">
        <v>922012.65738774999</v>
      </c>
      <c r="BR331" s="8" t="str">
        <v>No</v>
      </c>
    </row>
    <row r="332" spans="54:70" x14ac:dyDescent="0.2">
      <c r="BB332" s="94"/>
      <c r="BL332" s="8">
        <v>283</v>
      </c>
      <c r="BM332" s="8">
        <v>6995962.0148485042</v>
      </c>
      <c r="BN332" s="8">
        <v>3396339.5964591857</v>
      </c>
      <c r="BO332" s="8">
        <v>10392301.61130769</v>
      </c>
      <c r="BP332" s="8">
        <v>3543175.645532045</v>
      </c>
      <c r="BQ332" s="8">
        <v>-6849125.9657756444</v>
      </c>
      <c r="BR332" s="8" t="str">
        <v>Yes</v>
      </c>
    </row>
    <row r="333" spans="54:70" x14ac:dyDescent="0.2">
      <c r="BB333" s="94"/>
      <c r="BL333" s="8">
        <v>284</v>
      </c>
      <c r="BM333" s="8">
        <v>3195556.0116856629</v>
      </c>
      <c r="BN333" s="8">
        <v>0</v>
      </c>
      <c r="BO333" s="8">
        <v>3195556.0116856629</v>
      </c>
      <c r="BP333" s="8">
        <v>4129577.5192799526</v>
      </c>
      <c r="BQ333" s="8">
        <v>934021.50759428972</v>
      </c>
      <c r="BR333" s="8" t="str">
        <v>No</v>
      </c>
    </row>
    <row r="334" spans="54:70" x14ac:dyDescent="0.2">
      <c r="BB334" s="94"/>
      <c r="BL334" s="8">
        <v>285</v>
      </c>
      <c r="BM334" s="8">
        <v>7528929.6729367627</v>
      </c>
      <c r="BN334" s="8">
        <v>6305063.8465990378</v>
      </c>
      <c r="BO334" s="8">
        <v>13833993.5195358</v>
      </c>
      <c r="BP334" s="8">
        <v>6481622.9830876943</v>
      </c>
      <c r="BQ334" s="8">
        <v>-7352370.5364481062</v>
      </c>
      <c r="BR334" s="8" t="str">
        <v>Yes</v>
      </c>
    </row>
    <row r="335" spans="54:70" x14ac:dyDescent="0.2">
      <c r="BB335" s="94"/>
      <c r="BL335" s="8">
        <v>286</v>
      </c>
      <c r="BM335" s="8">
        <v>4376324.042692476</v>
      </c>
      <c r="BN335" s="8">
        <v>0</v>
      </c>
      <c r="BO335" s="8">
        <v>4376324.042692476</v>
      </c>
      <c r="BP335" s="8">
        <v>4374426.9627648266</v>
      </c>
      <c r="BQ335" s="8">
        <v>-1897.079927649349</v>
      </c>
      <c r="BR335" s="8" t="str">
        <v>Yes</v>
      </c>
    </row>
    <row r="336" spans="54:70" x14ac:dyDescent="0.2">
      <c r="BB336" s="94"/>
      <c r="BL336" s="8">
        <v>287</v>
      </c>
      <c r="BM336" s="8">
        <v>3080669.8497680239</v>
      </c>
      <c r="BN336" s="8">
        <v>0</v>
      </c>
      <c r="BO336" s="8">
        <v>3080669.8497680239</v>
      </c>
      <c r="BP336" s="8">
        <v>3614012.5435799425</v>
      </c>
      <c r="BQ336" s="8">
        <v>533342.69381191861</v>
      </c>
      <c r="BR336" s="8" t="str">
        <v>No</v>
      </c>
    </row>
    <row r="337" spans="54:70" x14ac:dyDescent="0.2">
      <c r="BB337" s="94"/>
      <c r="BL337" s="8">
        <v>288</v>
      </c>
      <c r="BM337" s="8">
        <v>4768956.9940744154</v>
      </c>
      <c r="BN337" s="8">
        <v>2823877.8837970141</v>
      </c>
      <c r="BO337" s="8">
        <v>7592834.8778714295</v>
      </c>
      <c r="BP337" s="8">
        <v>2277965.2267301534</v>
      </c>
      <c r="BQ337" s="8">
        <v>-5314869.6511412766</v>
      </c>
      <c r="BR337" s="8" t="str">
        <v>Yes</v>
      </c>
    </row>
    <row r="338" spans="54:70" x14ac:dyDescent="0.2">
      <c r="BB338" s="94"/>
      <c r="BL338" s="8">
        <v>289</v>
      </c>
      <c r="BM338" s="8">
        <v>7048472.6311749024</v>
      </c>
      <c r="BN338" s="8">
        <v>7414660.5944961384</v>
      </c>
      <c r="BO338" s="8">
        <v>14463133.225671042</v>
      </c>
      <c r="BP338" s="8">
        <v>6193751.6545800883</v>
      </c>
      <c r="BQ338" s="8">
        <v>-8269381.5710909534</v>
      </c>
      <c r="BR338" s="8" t="str">
        <v>Yes</v>
      </c>
    </row>
    <row r="339" spans="54:70" x14ac:dyDescent="0.2">
      <c r="BB339" s="94"/>
      <c r="BL339" s="8">
        <v>290</v>
      </c>
      <c r="BM339" s="8">
        <v>7588239.1811506394</v>
      </c>
      <c r="BN339" s="8">
        <v>0</v>
      </c>
      <c r="BO339" s="8">
        <v>7588239.1811506394</v>
      </c>
      <c r="BP339" s="8">
        <v>6182523.199609247</v>
      </c>
      <c r="BQ339" s="8">
        <v>-1405715.9815413924</v>
      </c>
      <c r="BR339" s="8" t="str">
        <v>Yes</v>
      </c>
    </row>
    <row r="340" spans="54:70" x14ac:dyDescent="0.2">
      <c r="BB340" s="94"/>
      <c r="BL340" s="8">
        <v>291</v>
      </c>
      <c r="BM340" s="8">
        <v>10411600.562538806</v>
      </c>
      <c r="BN340" s="8">
        <v>12928538.950070355</v>
      </c>
      <c r="BO340" s="8">
        <v>23340139.512609161</v>
      </c>
      <c r="BP340" s="8">
        <v>2315840.4849657477</v>
      </c>
      <c r="BQ340" s="8">
        <v>-21024299.027643412</v>
      </c>
      <c r="BR340" s="8" t="str">
        <v>Yes</v>
      </c>
    </row>
    <row r="341" spans="54:70" x14ac:dyDescent="0.2">
      <c r="BB341" s="94"/>
      <c r="BL341" s="8">
        <v>292</v>
      </c>
      <c r="BM341" s="8">
        <v>4285596.1094890963</v>
      </c>
      <c r="BN341" s="8">
        <v>0</v>
      </c>
      <c r="BO341" s="8">
        <v>4285596.1094890963</v>
      </c>
      <c r="BP341" s="8">
        <v>2308352.6129050916</v>
      </c>
      <c r="BQ341" s="8">
        <v>-1977243.4965840047</v>
      </c>
      <c r="BR341" s="8" t="str">
        <v>Yes</v>
      </c>
    </row>
    <row r="342" spans="54:70" x14ac:dyDescent="0.2">
      <c r="BB342" s="94"/>
      <c r="BL342" s="8">
        <v>293</v>
      </c>
      <c r="BM342" s="8">
        <v>3868396.5829592268</v>
      </c>
      <c r="BN342" s="8">
        <v>3352201.8269378562</v>
      </c>
      <c r="BO342" s="8">
        <v>7220598.4098970834</v>
      </c>
      <c r="BP342" s="8">
        <v>4339145.3863967415</v>
      </c>
      <c r="BQ342" s="8">
        <v>-2881453.0235003419</v>
      </c>
      <c r="BR342" s="8" t="str">
        <v>Yes</v>
      </c>
    </row>
    <row r="343" spans="54:70" x14ac:dyDescent="0.2">
      <c r="BB343" s="94"/>
      <c r="BL343" s="8">
        <v>294</v>
      </c>
      <c r="BM343" s="8">
        <v>5667690.9093747884</v>
      </c>
      <c r="BN343" s="8">
        <v>0</v>
      </c>
      <c r="BO343" s="8">
        <v>5667690.9093747884</v>
      </c>
      <c r="BP343" s="8">
        <v>6516211.577246231</v>
      </c>
      <c r="BQ343" s="8">
        <v>848520.66787144262</v>
      </c>
      <c r="BR343" s="8" t="str">
        <v>No</v>
      </c>
    </row>
    <row r="344" spans="54:70" x14ac:dyDescent="0.2">
      <c r="BB344" s="94"/>
      <c r="BL344" s="8">
        <v>295</v>
      </c>
      <c r="BM344" s="8">
        <v>3471524.515601458</v>
      </c>
      <c r="BN344" s="8">
        <v>0</v>
      </c>
      <c r="BO344" s="8">
        <v>3471524.515601458</v>
      </c>
      <c r="BP344" s="8">
        <v>2312702.8499577688</v>
      </c>
      <c r="BQ344" s="8">
        <v>-1158821.6656436892</v>
      </c>
      <c r="BR344" s="8" t="str">
        <v>Yes</v>
      </c>
    </row>
    <row r="345" spans="54:70" x14ac:dyDescent="0.2">
      <c r="BB345" s="94"/>
      <c r="BL345" s="8">
        <v>296</v>
      </c>
      <c r="BM345" s="8">
        <v>4534426.9840860423</v>
      </c>
      <c r="BN345" s="8">
        <v>6749682.4636513107</v>
      </c>
      <c r="BO345" s="8">
        <v>11284109.447737353</v>
      </c>
      <c r="BP345" s="8">
        <v>2221266.2476998856</v>
      </c>
      <c r="BQ345" s="8">
        <v>-9062843.2000374682</v>
      </c>
      <c r="BR345" s="8" t="str">
        <v>Yes</v>
      </c>
    </row>
    <row r="346" spans="54:70" x14ac:dyDescent="0.2">
      <c r="BB346" s="94"/>
      <c r="BL346" s="8">
        <v>297</v>
      </c>
      <c r="BM346" s="8">
        <v>4690352.2902609017</v>
      </c>
      <c r="BN346" s="8">
        <v>3066191.4266147669</v>
      </c>
      <c r="BO346" s="8">
        <v>7756543.7168756686</v>
      </c>
      <c r="BP346" s="8">
        <v>6226446.1849777428</v>
      </c>
      <c r="BQ346" s="8">
        <v>-1530097.5318979258</v>
      </c>
      <c r="BR346" s="8" t="str">
        <v>Yes</v>
      </c>
    </row>
    <row r="347" spans="54:70" x14ac:dyDescent="0.2">
      <c r="BB347" s="94"/>
      <c r="BL347" s="8">
        <v>298</v>
      </c>
      <c r="BM347" s="8">
        <v>3873682.5246022865</v>
      </c>
      <c r="BN347" s="8">
        <v>534875.56913765543</v>
      </c>
      <c r="BO347" s="8">
        <v>4408558.0937399417</v>
      </c>
      <c r="BP347" s="8">
        <v>3233751.0620387695</v>
      </c>
      <c r="BQ347" s="8">
        <v>-1174807.0317011722</v>
      </c>
      <c r="BR347" s="8" t="str">
        <v>Yes</v>
      </c>
    </row>
    <row r="348" spans="54:70" x14ac:dyDescent="0.2">
      <c r="BB348" s="94"/>
      <c r="BL348" s="8">
        <v>299</v>
      </c>
      <c r="BM348" s="8">
        <v>2263585.4724753648</v>
      </c>
      <c r="BN348" s="8">
        <v>1522949.2943550539</v>
      </c>
      <c r="BO348" s="8">
        <v>3786534.7668304187</v>
      </c>
      <c r="BP348" s="8">
        <v>2011163.4369380497</v>
      </c>
      <c r="BQ348" s="8">
        <v>-1775371.329892369</v>
      </c>
      <c r="BR348" s="8" t="str">
        <v>Yes</v>
      </c>
    </row>
    <row r="349" spans="54:70" x14ac:dyDescent="0.2">
      <c r="BB349" s="94"/>
      <c r="BL349" s="8">
        <v>300</v>
      </c>
      <c r="BM349" s="8">
        <v>5397120.9832478873</v>
      </c>
      <c r="BN349" s="8">
        <v>0</v>
      </c>
      <c r="BO349" s="8">
        <v>5397120.9832478873</v>
      </c>
      <c r="BP349" s="8">
        <v>6264319.4548152508</v>
      </c>
      <c r="BQ349" s="8">
        <v>867198.47156736348</v>
      </c>
      <c r="BR349" s="8" t="str">
        <v>No</v>
      </c>
    </row>
    <row r="350" spans="54:70" x14ac:dyDescent="0.2">
      <c r="BB350" s="94"/>
      <c r="BL350" s="8">
        <v>301</v>
      </c>
      <c r="BM350" s="8">
        <v>16584405.732956979</v>
      </c>
      <c r="BN350" s="8">
        <v>9466904.4456910845</v>
      </c>
      <c r="BO350" s="8">
        <v>26051310.178648062</v>
      </c>
      <c r="BP350" s="8">
        <v>4085972.1552333878</v>
      </c>
      <c r="BQ350" s="8">
        <v>-21965338.023414675</v>
      </c>
      <c r="BR350" s="8" t="str">
        <v>Yes</v>
      </c>
    </row>
    <row r="351" spans="54:70" x14ac:dyDescent="0.2">
      <c r="BB351" s="94"/>
      <c r="BL351" s="8">
        <v>302</v>
      </c>
      <c r="BM351" s="8">
        <v>4055231.3420563359</v>
      </c>
      <c r="BN351" s="8">
        <v>1079746.5582653997</v>
      </c>
      <c r="BO351" s="8">
        <v>5134977.9003217351</v>
      </c>
      <c r="BP351" s="8">
        <v>4075129.0230373759</v>
      </c>
      <c r="BQ351" s="8">
        <v>-1059848.8772843592</v>
      </c>
      <c r="BR351" s="8" t="str">
        <v>Yes</v>
      </c>
    </row>
    <row r="352" spans="54:70" x14ac:dyDescent="0.2">
      <c r="BB352" s="94"/>
      <c r="BL352" s="8">
        <v>303</v>
      </c>
      <c r="BM352" s="8">
        <v>5621620.2935250308</v>
      </c>
      <c r="BN352" s="8">
        <v>0</v>
      </c>
      <c r="BO352" s="8">
        <v>5621620.2935250308</v>
      </c>
      <c r="BP352" s="8">
        <v>2334003.3281472172</v>
      </c>
      <c r="BQ352" s="8">
        <v>-3287616.9653778137</v>
      </c>
      <c r="BR352" s="8" t="str">
        <v>Yes</v>
      </c>
    </row>
    <row r="353" spans="54:70" x14ac:dyDescent="0.2">
      <c r="BB353" s="94"/>
      <c r="BL353" s="8">
        <v>304</v>
      </c>
      <c r="BM353" s="8">
        <v>10700783.657148734</v>
      </c>
      <c r="BN353" s="8">
        <v>12057276.954732219</v>
      </c>
      <c r="BO353" s="8">
        <v>22758060.611880951</v>
      </c>
      <c r="BP353" s="8">
        <v>2192462.2547342475</v>
      </c>
      <c r="BQ353" s="8">
        <v>-20565598.357146703</v>
      </c>
      <c r="BR353" s="8" t="str">
        <v>Yes</v>
      </c>
    </row>
    <row r="354" spans="54:70" x14ac:dyDescent="0.2">
      <c r="BB354" s="94"/>
      <c r="BL354" s="8">
        <v>305</v>
      </c>
      <c r="BM354" s="8">
        <v>4319552.4165192898</v>
      </c>
      <c r="BN354" s="8">
        <v>0</v>
      </c>
      <c r="BO354" s="8">
        <v>4319552.4165192898</v>
      </c>
      <c r="BP354" s="8">
        <v>4350865.1749164732</v>
      </c>
      <c r="BQ354" s="8">
        <v>31312.758397183381</v>
      </c>
      <c r="BR354" s="8" t="str">
        <v>No</v>
      </c>
    </row>
    <row r="355" spans="54:70" x14ac:dyDescent="0.2">
      <c r="BB355" s="94"/>
      <c r="BL355" s="8">
        <v>306</v>
      </c>
      <c r="BM355" s="8">
        <v>4925416.5838975739</v>
      </c>
      <c r="BN355" s="8">
        <v>7910569.4996869853</v>
      </c>
      <c r="BO355" s="8">
        <v>12835986.083584558</v>
      </c>
      <c r="BP355" s="8">
        <v>2367106.9055821463</v>
      </c>
      <c r="BQ355" s="8">
        <v>-10468879.178002411</v>
      </c>
      <c r="BR355" s="8" t="str">
        <v>Yes</v>
      </c>
    </row>
    <row r="356" spans="54:70" x14ac:dyDescent="0.2">
      <c r="BB356" s="94"/>
      <c r="BL356" s="8">
        <v>307</v>
      </c>
      <c r="BM356" s="8">
        <v>7302008.3155659437</v>
      </c>
      <c r="BN356" s="8">
        <v>0</v>
      </c>
      <c r="BO356" s="8">
        <v>7302008.3155659437</v>
      </c>
      <c r="BP356" s="8">
        <v>4310279.4883095007</v>
      </c>
      <c r="BQ356" s="8">
        <v>-2991728.827256443</v>
      </c>
      <c r="BR356" s="8" t="str">
        <v>Yes</v>
      </c>
    </row>
    <row r="357" spans="54:70" x14ac:dyDescent="0.2">
      <c r="BB357" s="94"/>
      <c r="BL357" s="8">
        <v>308</v>
      </c>
      <c r="BM357" s="8">
        <v>7863098.706735231</v>
      </c>
      <c r="BN357" s="8">
        <v>0</v>
      </c>
      <c r="BO357" s="8">
        <v>7863098.706735231</v>
      </c>
      <c r="BP357" s="8">
        <v>4334448.7553515527</v>
      </c>
      <c r="BQ357" s="8">
        <v>-3528649.9513836782</v>
      </c>
      <c r="BR357" s="8" t="str">
        <v>Yes</v>
      </c>
    </row>
    <row r="358" spans="54:70" x14ac:dyDescent="0.2">
      <c r="BB358" s="94"/>
      <c r="BL358" s="8">
        <v>309</v>
      </c>
      <c r="BM358" s="8">
        <v>7715034.2304023746</v>
      </c>
      <c r="BN358" s="8">
        <v>0</v>
      </c>
      <c r="BO358" s="8">
        <v>7715034.2304023746</v>
      </c>
      <c r="BP358" s="8">
        <v>4562121.8478932772</v>
      </c>
      <c r="BQ358" s="8">
        <v>-3152912.3825090975</v>
      </c>
      <c r="BR358" s="8" t="str">
        <v>Yes</v>
      </c>
    </row>
    <row r="359" spans="54:70" x14ac:dyDescent="0.2">
      <c r="BB359" s="94"/>
      <c r="BL359" s="8">
        <v>310</v>
      </c>
      <c r="BM359" s="8">
        <v>5002085.5572789256</v>
      </c>
      <c r="BN359" s="8">
        <v>0</v>
      </c>
      <c r="BO359" s="8">
        <v>5002085.5572789256</v>
      </c>
      <c r="BP359" s="8">
        <v>2187950.8303383957</v>
      </c>
      <c r="BQ359" s="8">
        <v>-2814134.7269405299</v>
      </c>
      <c r="BR359" s="8" t="str">
        <v>Yes</v>
      </c>
    </row>
    <row r="360" spans="54:70" x14ac:dyDescent="0.2">
      <c r="BB360" s="94"/>
      <c r="BL360" s="8">
        <v>311</v>
      </c>
      <c r="BM360" s="8">
        <v>3381142.4593387153</v>
      </c>
      <c r="BN360" s="8">
        <v>0</v>
      </c>
      <c r="BO360" s="8">
        <v>3381142.4593387153</v>
      </c>
      <c r="BP360" s="8">
        <v>4076941.8720882195</v>
      </c>
      <c r="BQ360" s="8">
        <v>695799.4127495042</v>
      </c>
      <c r="BR360" s="8" t="str">
        <v>No</v>
      </c>
    </row>
    <row r="361" spans="54:70" x14ac:dyDescent="0.2">
      <c r="BB361" s="94"/>
      <c r="BL361" s="8">
        <v>312</v>
      </c>
      <c r="BM361" s="8">
        <v>2516897.3752573403</v>
      </c>
      <c r="BN361" s="8">
        <v>0</v>
      </c>
      <c r="BO361" s="8">
        <v>2516897.3752573403</v>
      </c>
      <c r="BP361" s="8">
        <v>2258582.6236579614</v>
      </c>
      <c r="BQ361" s="8">
        <v>-258314.75159937888</v>
      </c>
      <c r="BR361" s="8" t="str">
        <v>Yes</v>
      </c>
    </row>
    <row r="362" spans="54:70" x14ac:dyDescent="0.2">
      <c r="BB362" s="94"/>
      <c r="BL362" s="8">
        <v>313</v>
      </c>
      <c r="BM362" s="8">
        <v>6556554.7018595841</v>
      </c>
      <c r="BN362" s="8">
        <v>9373274.2873151377</v>
      </c>
      <c r="BO362" s="8">
        <v>15929828.989174722</v>
      </c>
      <c r="BP362" s="8">
        <v>4291620.7691091336</v>
      </c>
      <c r="BQ362" s="8">
        <v>-11638208.220065588</v>
      </c>
      <c r="BR362" s="8" t="str">
        <v>Yes</v>
      </c>
    </row>
    <row r="363" spans="54:70" x14ac:dyDescent="0.2">
      <c r="BB363" s="94"/>
      <c r="BL363" s="8">
        <v>314</v>
      </c>
      <c r="BM363" s="8">
        <v>2839914.2466112082</v>
      </c>
      <c r="BN363" s="8">
        <v>0</v>
      </c>
      <c r="BO363" s="8">
        <v>2839914.2466112082</v>
      </c>
      <c r="BP363" s="8">
        <v>2309756.779559535</v>
      </c>
      <c r="BQ363" s="8">
        <v>-530157.46705167321</v>
      </c>
      <c r="BR363" s="8" t="str">
        <v>Yes</v>
      </c>
    </row>
    <row r="364" spans="54:70" x14ac:dyDescent="0.2">
      <c r="BB364" s="94"/>
      <c r="BL364" s="8">
        <v>315</v>
      </c>
      <c r="BM364" s="8">
        <v>2621171.6472447272</v>
      </c>
      <c r="BN364" s="8">
        <v>985698.42109544936</v>
      </c>
      <c r="BO364" s="8">
        <v>3606870.0683401767</v>
      </c>
      <c r="BP364" s="8">
        <v>3358623.1088835625</v>
      </c>
      <c r="BQ364" s="8">
        <v>-248246.95945661422</v>
      </c>
      <c r="BR364" s="8" t="str">
        <v>Yes</v>
      </c>
    </row>
    <row r="365" spans="54:70" x14ac:dyDescent="0.2">
      <c r="BB365" s="94"/>
      <c r="BL365" s="8">
        <v>316</v>
      </c>
      <c r="BM365" s="8">
        <v>4783169.4757818263</v>
      </c>
      <c r="BN365" s="8">
        <v>0</v>
      </c>
      <c r="BO365" s="8">
        <v>4783169.4757818263</v>
      </c>
      <c r="BP365" s="8">
        <v>6054936.5376760671</v>
      </c>
      <c r="BQ365" s="8">
        <v>1271767.0618942408</v>
      </c>
      <c r="BR365" s="8" t="str">
        <v>No</v>
      </c>
    </row>
    <row r="366" spans="54:70" x14ac:dyDescent="0.2">
      <c r="BB366" s="94"/>
      <c r="BL366" s="8">
        <v>317</v>
      </c>
      <c r="BM366" s="8">
        <v>3674420.843122365</v>
      </c>
      <c r="BN366" s="8">
        <v>1655008.1526020495</v>
      </c>
      <c r="BO366" s="8">
        <v>5329428.9957244145</v>
      </c>
      <c r="BP366" s="8">
        <v>6067267.8582259854</v>
      </c>
      <c r="BQ366" s="8">
        <v>737838.86250157095</v>
      </c>
      <c r="BR366" s="8" t="str">
        <v>No</v>
      </c>
    </row>
    <row r="367" spans="54:70" x14ac:dyDescent="0.2">
      <c r="BB367" s="94"/>
      <c r="BL367" s="8">
        <v>318</v>
      </c>
      <c r="BM367" s="8">
        <v>9329782.4628854375</v>
      </c>
      <c r="BN367" s="8">
        <v>0</v>
      </c>
      <c r="BO367" s="8">
        <v>9329782.4628854375</v>
      </c>
      <c r="BP367" s="8">
        <v>5477004.6392655633</v>
      </c>
      <c r="BQ367" s="8">
        <v>-3852777.8236198742</v>
      </c>
      <c r="BR367" s="8" t="str">
        <v>Yes</v>
      </c>
    </row>
    <row r="368" spans="54:70" x14ac:dyDescent="0.2">
      <c r="BB368" s="94"/>
      <c r="BL368" s="8">
        <v>319</v>
      </c>
      <c r="BM368" s="8">
        <v>5883586.3937394349</v>
      </c>
      <c r="BN368" s="8">
        <v>0</v>
      </c>
      <c r="BO368" s="8">
        <v>5883586.3937394349</v>
      </c>
      <c r="BP368" s="8">
        <v>4259900.5564784016</v>
      </c>
      <c r="BQ368" s="8">
        <v>-1623685.8372610332</v>
      </c>
      <c r="BR368" s="8" t="str">
        <v>Yes</v>
      </c>
    </row>
    <row r="369" spans="54:70" x14ac:dyDescent="0.2">
      <c r="BB369" s="94"/>
      <c r="BL369" s="8">
        <v>320</v>
      </c>
      <c r="BM369" s="8">
        <v>4143162.4283267986</v>
      </c>
      <c r="BN369" s="8">
        <v>0</v>
      </c>
      <c r="BO369" s="8">
        <v>4143162.4283267986</v>
      </c>
      <c r="BP369" s="8">
        <v>3452452.2104768511</v>
      </c>
      <c r="BQ369" s="8">
        <v>-690710.21784994751</v>
      </c>
      <c r="BR369" s="8" t="str">
        <v>Yes</v>
      </c>
    </row>
    <row r="370" spans="54:70" x14ac:dyDescent="0.2">
      <c r="BB370" s="94"/>
      <c r="BL370" s="8">
        <v>321</v>
      </c>
      <c r="BM370" s="8">
        <v>2655123.1174047319</v>
      </c>
      <c r="BN370" s="8">
        <v>852229.87005254522</v>
      </c>
      <c r="BO370" s="8">
        <v>3507352.9874572773</v>
      </c>
      <c r="BP370" s="8">
        <v>3257709.1629309426</v>
      </c>
      <c r="BQ370" s="8">
        <v>-249643.82452633465</v>
      </c>
      <c r="BR370" s="8" t="str">
        <v>Yes</v>
      </c>
    </row>
    <row r="371" spans="54:70" x14ac:dyDescent="0.2">
      <c r="BB371" s="94"/>
      <c r="BL371" s="8">
        <v>322</v>
      </c>
      <c r="BM371" s="8">
        <v>2549166.712014162</v>
      </c>
      <c r="BN371" s="8">
        <v>0</v>
      </c>
      <c r="BO371" s="8">
        <v>2549166.712014162</v>
      </c>
      <c r="BP371" s="8">
        <v>2136407.3248093519</v>
      </c>
      <c r="BQ371" s="8">
        <v>-412759.38720481005</v>
      </c>
      <c r="BR371" s="8" t="str">
        <v>Yes</v>
      </c>
    </row>
    <row r="372" spans="54:70" x14ac:dyDescent="0.2">
      <c r="BB372" s="94"/>
      <c r="BL372" s="8">
        <v>323</v>
      </c>
      <c r="BM372" s="8">
        <v>6425064.6022913093</v>
      </c>
      <c r="BN372" s="8">
        <v>6640241.0437530791</v>
      </c>
      <c r="BO372" s="8">
        <v>13065305.646044388</v>
      </c>
      <c r="BP372" s="8">
        <v>3333251.153558129</v>
      </c>
      <c r="BQ372" s="8">
        <v>-9732054.492486259</v>
      </c>
      <c r="BR372" s="8" t="str">
        <v>Yes</v>
      </c>
    </row>
    <row r="373" spans="54:70" x14ac:dyDescent="0.2">
      <c r="BB373" s="94"/>
      <c r="BL373" s="8">
        <v>324</v>
      </c>
      <c r="BM373" s="8">
        <v>2330789.2951930971</v>
      </c>
      <c r="BN373" s="8">
        <v>611920.6166378489</v>
      </c>
      <c r="BO373" s="8">
        <v>2942709.9118309459</v>
      </c>
      <c r="BP373" s="8">
        <v>7059395.2273154547</v>
      </c>
      <c r="BQ373" s="8">
        <v>4116685.3154845089</v>
      </c>
      <c r="BR373" s="8" t="str">
        <v>No</v>
      </c>
    </row>
    <row r="374" spans="54:70" x14ac:dyDescent="0.2">
      <c r="BB374" s="94"/>
      <c r="BL374" s="8">
        <v>325</v>
      </c>
      <c r="BM374" s="8">
        <v>3860250.3294089995</v>
      </c>
      <c r="BN374" s="8">
        <v>0</v>
      </c>
      <c r="BO374" s="8">
        <v>3860250.3294089995</v>
      </c>
      <c r="BP374" s="8">
        <v>3304435.9478069725</v>
      </c>
      <c r="BQ374" s="8">
        <v>-555814.38160202699</v>
      </c>
      <c r="BR374" s="8" t="str">
        <v>Yes</v>
      </c>
    </row>
    <row r="375" spans="54:70" x14ac:dyDescent="0.2">
      <c r="BB375" s="94"/>
      <c r="BL375" s="8">
        <v>326</v>
      </c>
      <c r="BM375" s="8">
        <v>21882083.58431739</v>
      </c>
      <c r="BN375" s="8">
        <v>0</v>
      </c>
      <c r="BO375" s="8">
        <v>21882083.58431739</v>
      </c>
      <c r="BP375" s="8">
        <v>2224060.4987742761</v>
      </c>
      <c r="BQ375" s="8">
        <v>-19658023.085543115</v>
      </c>
      <c r="BR375" s="8" t="str">
        <v>Yes</v>
      </c>
    </row>
    <row r="376" spans="54:70" x14ac:dyDescent="0.2">
      <c r="BB376" s="94"/>
      <c r="BL376" s="8">
        <v>327</v>
      </c>
      <c r="BM376" s="8">
        <v>8493780.7721415982</v>
      </c>
      <c r="BN376" s="8">
        <v>0</v>
      </c>
      <c r="BO376" s="8">
        <v>8493780.7721415982</v>
      </c>
      <c r="BP376" s="8">
        <v>5814417.9677658826</v>
      </c>
      <c r="BQ376" s="8">
        <v>-2679362.8043757156</v>
      </c>
      <c r="BR376" s="8" t="str">
        <v>Yes</v>
      </c>
    </row>
    <row r="377" spans="54:70" x14ac:dyDescent="0.2">
      <c r="BB377" s="94"/>
      <c r="BL377" s="8">
        <v>328</v>
      </c>
      <c r="BM377" s="8">
        <v>3941679.2577428091</v>
      </c>
      <c r="BN377" s="8">
        <v>0</v>
      </c>
      <c r="BO377" s="8">
        <v>3941679.2577428091</v>
      </c>
      <c r="BP377" s="8">
        <v>6056918.4631541269</v>
      </c>
      <c r="BQ377" s="8">
        <v>2115239.2054113178</v>
      </c>
      <c r="BR377" s="8" t="str">
        <v>No</v>
      </c>
    </row>
    <row r="378" spans="54:70" x14ac:dyDescent="0.2">
      <c r="BB378" s="94"/>
      <c r="BL378" s="8">
        <v>329</v>
      </c>
      <c r="BM378" s="8">
        <v>3611741.3653110815</v>
      </c>
      <c r="BN378" s="8">
        <v>1263411.7517337396</v>
      </c>
      <c r="BO378" s="8">
        <v>4875153.1170448214</v>
      </c>
      <c r="BP378" s="8">
        <v>5801420.3520500008</v>
      </c>
      <c r="BQ378" s="8">
        <v>926267.23500517942</v>
      </c>
      <c r="BR378" s="8" t="str">
        <v>No</v>
      </c>
    </row>
    <row r="379" spans="54:70" x14ac:dyDescent="0.2">
      <c r="BB379" s="94"/>
      <c r="BL379" s="8">
        <v>330</v>
      </c>
      <c r="BM379" s="8">
        <v>3554134.1774356654</v>
      </c>
      <c r="BN379" s="8">
        <v>4244242.3014784399</v>
      </c>
      <c r="BO379" s="8">
        <v>7798376.4789141053</v>
      </c>
      <c r="BP379" s="8">
        <v>4142786.2398803276</v>
      </c>
      <c r="BQ379" s="8">
        <v>-3655590.2390337777</v>
      </c>
      <c r="BR379" s="8" t="str">
        <v>Yes</v>
      </c>
    </row>
    <row r="380" spans="54:70" x14ac:dyDescent="0.2">
      <c r="BB380" s="94"/>
      <c r="BL380" s="8">
        <v>331</v>
      </c>
      <c r="BM380" s="8">
        <v>4136953.9978024326</v>
      </c>
      <c r="BN380" s="8">
        <v>3433739.7226517182</v>
      </c>
      <c r="BO380" s="8">
        <v>7570693.7204541508</v>
      </c>
      <c r="BP380" s="8">
        <v>4122180.1404694845</v>
      </c>
      <c r="BQ380" s="8">
        <v>-3448513.5799846663</v>
      </c>
      <c r="BR380" s="8" t="str">
        <v>Yes</v>
      </c>
    </row>
    <row r="381" spans="54:70" x14ac:dyDescent="0.2">
      <c r="BB381" s="94"/>
      <c r="BL381" s="8">
        <v>332</v>
      </c>
      <c r="BM381" s="8">
        <v>5117731.5414239829</v>
      </c>
      <c r="BN381" s="8">
        <v>0</v>
      </c>
      <c r="BO381" s="8">
        <v>5117731.5414239829</v>
      </c>
      <c r="BP381" s="8">
        <v>3275687.3746578624</v>
      </c>
      <c r="BQ381" s="8">
        <v>-1842044.1667661206</v>
      </c>
      <c r="BR381" s="8" t="str">
        <v>Yes</v>
      </c>
    </row>
    <row r="382" spans="54:70" x14ac:dyDescent="0.2">
      <c r="BB382" s="94"/>
      <c r="BL382" s="8">
        <v>333</v>
      </c>
      <c r="BM382" s="8">
        <v>4256518.5677770544</v>
      </c>
      <c r="BN382" s="8">
        <v>0</v>
      </c>
      <c r="BO382" s="8">
        <v>4256518.5677770544</v>
      </c>
      <c r="BP382" s="8">
        <v>2379872.0630939174</v>
      </c>
      <c r="BQ382" s="8">
        <v>-1876646.5046831369</v>
      </c>
      <c r="BR382" s="8" t="str">
        <v>Yes</v>
      </c>
    </row>
    <row r="383" spans="54:70" x14ac:dyDescent="0.2">
      <c r="BB383" s="94"/>
      <c r="BL383" s="8">
        <v>334</v>
      </c>
      <c r="BM383" s="8">
        <v>4569043.8797456706</v>
      </c>
      <c r="BN383" s="8">
        <v>0</v>
      </c>
      <c r="BO383" s="8">
        <v>4569043.8797456706</v>
      </c>
      <c r="BP383" s="8">
        <v>3358253.3109763851</v>
      </c>
      <c r="BQ383" s="8">
        <v>-1210790.5687692855</v>
      </c>
      <c r="BR383" s="8" t="str">
        <v>Yes</v>
      </c>
    </row>
    <row r="384" spans="54:70" x14ac:dyDescent="0.2">
      <c r="BB384" s="94"/>
      <c r="BL384" s="8">
        <v>335</v>
      </c>
      <c r="BM384" s="8">
        <v>5270488.2053733803</v>
      </c>
      <c r="BN384" s="8">
        <v>0</v>
      </c>
      <c r="BO384" s="8">
        <v>5270488.2053733803</v>
      </c>
      <c r="BP384" s="8">
        <v>3143660.2716949894</v>
      </c>
      <c r="BQ384" s="8">
        <v>-2126827.9336783909</v>
      </c>
      <c r="BR384" s="8" t="str">
        <v>Yes</v>
      </c>
    </row>
    <row r="385" spans="54:70" x14ac:dyDescent="0.2">
      <c r="BB385" s="94"/>
      <c r="BL385" s="8">
        <v>336</v>
      </c>
      <c r="BM385" s="8">
        <v>2479805.7938472838</v>
      </c>
      <c r="BN385" s="8">
        <v>805671.99673636851</v>
      </c>
      <c r="BO385" s="8">
        <v>3285477.7905836524</v>
      </c>
      <c r="BP385" s="8">
        <v>6215674.4891941333</v>
      </c>
      <c r="BQ385" s="8">
        <v>2930196.6986104809</v>
      </c>
      <c r="BR385" s="8" t="str">
        <v>No</v>
      </c>
    </row>
    <row r="386" spans="54:70" x14ac:dyDescent="0.2">
      <c r="BB386" s="94"/>
      <c r="BL386" s="8">
        <v>337</v>
      </c>
      <c r="BM386" s="8">
        <v>4891428.9377136957</v>
      </c>
      <c r="BN386" s="8">
        <v>6089161.4660281092</v>
      </c>
      <c r="BO386" s="8">
        <v>10980590.403741805</v>
      </c>
      <c r="BP386" s="8">
        <v>6481679.9138221014</v>
      </c>
      <c r="BQ386" s="8">
        <v>-4498910.4899197035</v>
      </c>
      <c r="BR386" s="8" t="str">
        <v>Yes</v>
      </c>
    </row>
    <row r="387" spans="54:70" x14ac:dyDescent="0.2">
      <c r="BB387" s="94"/>
      <c r="BL387" s="8">
        <v>338</v>
      </c>
      <c r="BM387" s="8">
        <v>2013067.4287840824</v>
      </c>
      <c r="BN387" s="8">
        <v>0</v>
      </c>
      <c r="BO387" s="8">
        <v>2013067.4287840824</v>
      </c>
      <c r="BP387" s="8">
        <v>2053017.7694122852</v>
      </c>
      <c r="BQ387" s="8">
        <v>39950.340628202772</v>
      </c>
      <c r="BR387" s="8" t="str">
        <v>No</v>
      </c>
    </row>
    <row r="388" spans="54:70" x14ac:dyDescent="0.2">
      <c r="BB388" s="94"/>
      <c r="BL388" s="8">
        <v>339</v>
      </c>
      <c r="BM388" s="8">
        <v>5171022.9077933328</v>
      </c>
      <c r="BN388" s="8">
        <v>0</v>
      </c>
      <c r="BO388" s="8">
        <v>5171022.9077933328</v>
      </c>
      <c r="BP388" s="8">
        <v>2189962.9728963757</v>
      </c>
      <c r="BQ388" s="8">
        <v>-2981059.9348969571</v>
      </c>
      <c r="BR388" s="8" t="str">
        <v>Yes</v>
      </c>
    </row>
    <row r="389" spans="54:70" x14ac:dyDescent="0.2">
      <c r="BB389" s="94"/>
      <c r="BL389" s="8">
        <v>340</v>
      </c>
      <c r="BM389" s="8">
        <v>2160811.4722003178</v>
      </c>
      <c r="BN389" s="8">
        <v>0</v>
      </c>
      <c r="BO389" s="8">
        <v>2160811.4722003178</v>
      </c>
      <c r="BP389" s="8">
        <v>3244538.9072616883</v>
      </c>
      <c r="BQ389" s="8">
        <v>1083727.4350613705</v>
      </c>
      <c r="BR389" s="8" t="str">
        <v>No</v>
      </c>
    </row>
    <row r="390" spans="54:70" x14ac:dyDescent="0.2">
      <c r="BB390" s="94"/>
      <c r="BL390" s="8">
        <v>341</v>
      </c>
      <c r="BM390" s="8">
        <v>2885298.879891606</v>
      </c>
      <c r="BN390" s="8">
        <v>747448.13854912622</v>
      </c>
      <c r="BO390" s="8">
        <v>3632747.0184407323</v>
      </c>
      <c r="BP390" s="8">
        <v>4482749.6100941449</v>
      </c>
      <c r="BQ390" s="8">
        <v>850002.59165341267</v>
      </c>
      <c r="BR390" s="8" t="str">
        <v>No</v>
      </c>
    </row>
    <row r="391" spans="54:70" x14ac:dyDescent="0.2">
      <c r="BB391" s="94"/>
      <c r="BL391" s="8">
        <v>342</v>
      </c>
      <c r="BM391" s="8">
        <v>6559548.415129249</v>
      </c>
      <c r="BN391" s="8">
        <v>5743616.2816960607</v>
      </c>
      <c r="BO391" s="8">
        <v>12303164.696825311</v>
      </c>
      <c r="BP391" s="8">
        <v>3304804.4513282171</v>
      </c>
      <c r="BQ391" s="8">
        <v>-8998360.2454970926</v>
      </c>
      <c r="BR391" s="8" t="str">
        <v>Yes</v>
      </c>
    </row>
    <row r="392" spans="54:70" x14ac:dyDescent="0.2">
      <c r="BB392" s="94"/>
      <c r="BL392" s="8">
        <v>343</v>
      </c>
      <c r="BM392" s="8">
        <v>4558848.4587708106</v>
      </c>
      <c r="BN392" s="8">
        <v>2154046.5278909896</v>
      </c>
      <c r="BO392" s="8">
        <v>6712894.9866618002</v>
      </c>
      <c r="BP392" s="8">
        <v>5942824.1881402303</v>
      </c>
      <c r="BQ392" s="8">
        <v>-770070.79852156993</v>
      </c>
      <c r="BR392" s="8" t="str">
        <v>Yes</v>
      </c>
    </row>
    <row r="393" spans="54:70" x14ac:dyDescent="0.2">
      <c r="BB393" s="94"/>
      <c r="BL393" s="8">
        <v>344</v>
      </c>
      <c r="BM393" s="8">
        <v>10402468.174651071</v>
      </c>
      <c r="BN393" s="8">
        <v>0</v>
      </c>
      <c r="BO393" s="8">
        <v>10402468.174651071</v>
      </c>
      <c r="BP393" s="8">
        <v>6245813.0080445847</v>
      </c>
      <c r="BQ393" s="8">
        <v>-4156655.1666064868</v>
      </c>
      <c r="BR393" s="8" t="str">
        <v>Yes</v>
      </c>
    </row>
    <row r="394" spans="54:70" x14ac:dyDescent="0.2">
      <c r="BB394" s="94"/>
      <c r="BL394" s="8">
        <v>345</v>
      </c>
      <c r="BM394" s="8">
        <v>4545783.3606295027</v>
      </c>
      <c r="BN394" s="8">
        <v>6008924.743937768</v>
      </c>
      <c r="BO394" s="8">
        <v>10554708.104567271</v>
      </c>
      <c r="BP394" s="8">
        <v>3353799.3136392171</v>
      </c>
      <c r="BQ394" s="8">
        <v>-7200908.7909280537</v>
      </c>
      <c r="BR394" s="8" t="str">
        <v>Yes</v>
      </c>
    </row>
    <row r="395" spans="54:70" x14ac:dyDescent="0.2">
      <c r="BB395" s="94"/>
      <c r="BL395" s="8">
        <v>346</v>
      </c>
      <c r="BM395" s="8">
        <v>9898933.1781289093</v>
      </c>
      <c r="BN395" s="8">
        <v>9154336.0195196476</v>
      </c>
      <c r="BO395" s="8">
        <v>19053269.197648555</v>
      </c>
      <c r="BP395" s="8">
        <v>3618666.2584663313</v>
      </c>
      <c r="BQ395" s="8">
        <v>-15434602.939182224</v>
      </c>
      <c r="BR395" s="8" t="str">
        <v>Yes</v>
      </c>
    </row>
    <row r="396" spans="54:70" x14ac:dyDescent="0.2">
      <c r="BB396" s="94"/>
      <c r="BL396" s="8">
        <v>347</v>
      </c>
      <c r="BM396" s="8">
        <v>3661630.743858878</v>
      </c>
      <c r="BN396" s="8">
        <v>1874221.4876097466</v>
      </c>
      <c r="BO396" s="8">
        <v>5535852.2314686244</v>
      </c>
      <c r="BP396" s="8">
        <v>4135694.843307192</v>
      </c>
      <c r="BQ396" s="8">
        <v>-1400157.3881614325</v>
      </c>
      <c r="BR396" s="8" t="str">
        <v>Yes</v>
      </c>
    </row>
    <row r="397" spans="54:70" x14ac:dyDescent="0.2">
      <c r="BB397" s="94"/>
      <c r="BL397" s="8">
        <v>348</v>
      </c>
      <c r="BM397" s="8">
        <v>7372249.333308395</v>
      </c>
      <c r="BN397" s="8">
        <v>0</v>
      </c>
      <c r="BO397" s="8">
        <v>7372249.333308395</v>
      </c>
      <c r="BP397" s="8">
        <v>3228569.5749718063</v>
      </c>
      <c r="BQ397" s="8">
        <v>-4143679.7583365887</v>
      </c>
      <c r="BR397" s="8" t="str">
        <v>Yes</v>
      </c>
    </row>
    <row r="398" spans="54:70" x14ac:dyDescent="0.2">
      <c r="BB398" s="94"/>
      <c r="BL398" s="8">
        <v>349</v>
      </c>
      <c r="BM398" s="8">
        <v>2432200.9021167429</v>
      </c>
      <c r="BN398" s="8">
        <v>2115195.8814717857</v>
      </c>
      <c r="BO398" s="8">
        <v>4547396.7835885286</v>
      </c>
      <c r="BP398" s="8">
        <v>2370765.8195689502</v>
      </c>
      <c r="BQ398" s="8">
        <v>-2176630.9640195784</v>
      </c>
      <c r="BR398" s="8" t="str">
        <v>Yes</v>
      </c>
    </row>
    <row r="399" spans="54:70" x14ac:dyDescent="0.2">
      <c r="BB399" s="94"/>
      <c r="BL399" s="8">
        <v>350</v>
      </c>
      <c r="BM399" s="8">
        <v>4158516.2773468364</v>
      </c>
      <c r="BN399" s="8">
        <v>1739457.1294529801</v>
      </c>
      <c r="BO399" s="8">
        <v>5897973.4067998165</v>
      </c>
      <c r="BP399" s="8">
        <v>6497686.2890319154</v>
      </c>
      <c r="BQ399" s="8">
        <v>599712.88223209884</v>
      </c>
      <c r="BR399" s="8" t="str">
        <v>No</v>
      </c>
    </row>
    <row r="400" spans="54:70" x14ac:dyDescent="0.2">
      <c r="BB400" s="94"/>
      <c r="BL400" s="8">
        <v>351</v>
      </c>
      <c r="BM400" s="8">
        <v>4956218.0305425115</v>
      </c>
      <c r="BN400" s="8">
        <v>0</v>
      </c>
      <c r="BO400" s="8">
        <v>4956218.0305425115</v>
      </c>
      <c r="BP400" s="8">
        <v>3421825.941680789</v>
      </c>
      <c r="BQ400" s="8">
        <v>-1534392.0888617225</v>
      </c>
      <c r="BR400" s="8" t="str">
        <v>Yes</v>
      </c>
    </row>
    <row r="401" spans="54:70" x14ac:dyDescent="0.2">
      <c r="BB401" s="94"/>
      <c r="BL401" s="8">
        <v>352</v>
      </c>
      <c r="BM401" s="8">
        <v>3863606.6675665257</v>
      </c>
      <c r="BN401" s="8">
        <v>0</v>
      </c>
      <c r="BO401" s="8">
        <v>3863606.6675665257</v>
      </c>
      <c r="BP401" s="8">
        <v>4107678.3954851371</v>
      </c>
      <c r="BQ401" s="8">
        <v>244071.72791861137</v>
      </c>
      <c r="BR401" s="8" t="str">
        <v>No</v>
      </c>
    </row>
    <row r="402" spans="54:70" x14ac:dyDescent="0.2">
      <c r="BB402" s="94"/>
      <c r="BL402" s="8">
        <v>353</v>
      </c>
      <c r="BM402" s="8">
        <v>8711162.9377928823</v>
      </c>
      <c r="BN402" s="8">
        <v>0</v>
      </c>
      <c r="BO402" s="8">
        <v>8711162.9377928823</v>
      </c>
      <c r="BP402" s="8">
        <v>3935679.9342024592</v>
      </c>
      <c r="BQ402" s="8">
        <v>-4775483.0035904236</v>
      </c>
      <c r="BR402" s="8" t="str">
        <v>Yes</v>
      </c>
    </row>
    <row r="403" spans="54:70" x14ac:dyDescent="0.2">
      <c r="BB403" s="94"/>
      <c r="BL403" s="8">
        <v>354</v>
      </c>
      <c r="BM403" s="8">
        <v>5813937.604395872</v>
      </c>
      <c r="BN403" s="8">
        <v>0</v>
      </c>
      <c r="BO403" s="8">
        <v>5813937.604395872</v>
      </c>
      <c r="BP403" s="8">
        <v>3421790.8974405658</v>
      </c>
      <c r="BQ403" s="8">
        <v>-2392146.7069553062</v>
      </c>
      <c r="BR403" s="8" t="str">
        <v>Yes</v>
      </c>
    </row>
    <row r="404" spans="54:70" x14ac:dyDescent="0.2">
      <c r="BB404" s="94"/>
      <c r="BL404" s="8">
        <v>355</v>
      </c>
      <c r="BM404" s="8">
        <v>4088219.216151183</v>
      </c>
      <c r="BN404" s="8">
        <v>2086368.5894142508</v>
      </c>
      <c r="BO404" s="8">
        <v>6174587.8055654336</v>
      </c>
      <c r="BP404" s="8">
        <v>6142324.856353743</v>
      </c>
      <c r="BQ404" s="8">
        <v>-32262.949211690575</v>
      </c>
      <c r="BR404" s="8" t="str">
        <v>Yes</v>
      </c>
    </row>
    <row r="405" spans="54:70" x14ac:dyDescent="0.2">
      <c r="BB405" s="94"/>
      <c r="BL405" s="8">
        <v>356</v>
      </c>
      <c r="BM405" s="8">
        <v>3171321.4752911925</v>
      </c>
      <c r="BN405" s="8">
        <v>1005363.491163876</v>
      </c>
      <c r="BO405" s="8">
        <v>4176684.9664550684</v>
      </c>
      <c r="BP405" s="8">
        <v>4484994.2973712031</v>
      </c>
      <c r="BQ405" s="8">
        <v>308309.33091613464</v>
      </c>
      <c r="BR405" s="8" t="str">
        <v>No</v>
      </c>
    </row>
    <row r="406" spans="54:70" x14ac:dyDescent="0.2">
      <c r="BB406" s="94"/>
      <c r="BL406" s="8">
        <v>357</v>
      </c>
      <c r="BM406" s="8">
        <v>3482484.389898099</v>
      </c>
      <c r="BN406" s="8">
        <v>0</v>
      </c>
      <c r="BO406" s="8">
        <v>3482484.389898099</v>
      </c>
      <c r="BP406" s="8">
        <v>3336472.8173199687</v>
      </c>
      <c r="BQ406" s="8">
        <v>-146011.57257813029</v>
      </c>
      <c r="BR406" s="8" t="str">
        <v>Yes</v>
      </c>
    </row>
    <row r="407" spans="54:70" x14ac:dyDescent="0.2">
      <c r="BB407" s="94"/>
      <c r="BL407" s="8">
        <v>358</v>
      </c>
      <c r="BM407" s="8">
        <v>2091252.9073066963</v>
      </c>
      <c r="BN407" s="8">
        <v>1948392.5331135006</v>
      </c>
      <c r="BO407" s="8">
        <v>4039645.4404201969</v>
      </c>
      <c r="BP407" s="8">
        <v>2223858.7307697884</v>
      </c>
      <c r="BQ407" s="8">
        <v>-1815786.7096504085</v>
      </c>
      <c r="BR407" s="8" t="str">
        <v>Yes</v>
      </c>
    </row>
    <row r="408" spans="54:70" x14ac:dyDescent="0.2">
      <c r="BB408" s="94"/>
      <c r="BL408" s="8">
        <v>359</v>
      </c>
      <c r="BM408" s="8">
        <v>6037296.5935963178</v>
      </c>
      <c r="BN408" s="8">
        <v>453076.69104561314</v>
      </c>
      <c r="BO408" s="8">
        <v>6490373.2846419308</v>
      </c>
      <c r="BP408" s="8">
        <v>4519956.7928111041</v>
      </c>
      <c r="BQ408" s="8">
        <v>-1970416.4918308267</v>
      </c>
      <c r="BR408" s="8" t="str">
        <v>Yes</v>
      </c>
    </row>
    <row r="409" spans="54:70" x14ac:dyDescent="0.2">
      <c r="BB409" s="94"/>
      <c r="BL409" s="8">
        <v>360</v>
      </c>
      <c r="BM409" s="8">
        <v>3244469.2351337164</v>
      </c>
      <c r="BN409" s="8">
        <v>0</v>
      </c>
      <c r="BO409" s="8">
        <v>3244469.2351337164</v>
      </c>
      <c r="BP409" s="8">
        <v>3288695.3307042248</v>
      </c>
      <c r="BQ409" s="8">
        <v>44226.095570508391</v>
      </c>
      <c r="BR409" s="8" t="str">
        <v>No</v>
      </c>
    </row>
    <row r="410" spans="54:70" x14ac:dyDescent="0.2">
      <c r="BB410" s="94"/>
      <c r="BL410" s="8">
        <v>361</v>
      </c>
      <c r="BM410" s="8">
        <v>4769906.711389347</v>
      </c>
      <c r="BN410" s="8">
        <v>4415748.3925903644</v>
      </c>
      <c r="BO410" s="8">
        <v>9185655.1039797105</v>
      </c>
      <c r="BP410" s="8">
        <v>2214840.378494869</v>
      </c>
      <c r="BQ410" s="8">
        <v>-6970814.7254848415</v>
      </c>
      <c r="BR410" s="8" t="str">
        <v>Yes</v>
      </c>
    </row>
    <row r="411" spans="54:70" x14ac:dyDescent="0.2">
      <c r="BB411" s="94"/>
      <c r="BL411" s="8">
        <v>362</v>
      </c>
      <c r="BM411" s="8">
        <v>3521412.1474678945</v>
      </c>
      <c r="BN411" s="8">
        <v>2487502.9776652795</v>
      </c>
      <c r="BO411" s="8">
        <v>6008915.1251331735</v>
      </c>
      <c r="BP411" s="8">
        <v>4058988.9234376792</v>
      </c>
      <c r="BQ411" s="8">
        <v>-1949926.2016954944</v>
      </c>
      <c r="BR411" s="8" t="str">
        <v>Yes</v>
      </c>
    </row>
    <row r="412" spans="54:70" x14ac:dyDescent="0.2">
      <c r="BB412" s="94"/>
      <c r="BL412" s="8">
        <v>363</v>
      </c>
      <c r="BM412" s="8">
        <v>3188557.2374350084</v>
      </c>
      <c r="BN412" s="8">
        <v>0</v>
      </c>
      <c r="BO412" s="8">
        <v>3188557.2374350084</v>
      </c>
      <c r="BP412" s="8">
        <v>4254676.2359550009</v>
      </c>
      <c r="BQ412" s="8">
        <v>1066118.9985199925</v>
      </c>
      <c r="BR412" s="8" t="str">
        <v>No</v>
      </c>
    </row>
    <row r="413" spans="54:70" x14ac:dyDescent="0.2">
      <c r="BB413" s="94"/>
      <c r="BL413" s="8">
        <v>364</v>
      </c>
      <c r="BM413" s="8">
        <v>2334821.4265712742</v>
      </c>
      <c r="BN413" s="8">
        <v>2959239.1727460236</v>
      </c>
      <c r="BO413" s="8">
        <v>5294060.5993172973</v>
      </c>
      <c r="BP413" s="8">
        <v>3363276.8192942259</v>
      </c>
      <c r="BQ413" s="8">
        <v>-1930783.7800230714</v>
      </c>
      <c r="BR413" s="8" t="str">
        <v>Yes</v>
      </c>
    </row>
    <row r="414" spans="54:70" x14ac:dyDescent="0.2">
      <c r="BB414" s="94"/>
      <c r="BL414" s="8">
        <v>365</v>
      </c>
      <c r="BM414" s="8">
        <v>7536815.3796920422</v>
      </c>
      <c r="BN414" s="8">
        <v>0</v>
      </c>
      <c r="BO414" s="8">
        <v>7536815.3796920422</v>
      </c>
      <c r="BP414" s="8">
        <v>5933872.7217967575</v>
      </c>
      <c r="BQ414" s="8">
        <v>-1602942.6578952847</v>
      </c>
      <c r="BR414" s="8" t="str">
        <v>Yes</v>
      </c>
    </row>
    <row r="415" spans="54:70" x14ac:dyDescent="0.2">
      <c r="BB415" s="94"/>
      <c r="BL415" s="8">
        <v>366</v>
      </c>
      <c r="BM415" s="8">
        <v>4666131.2509238608</v>
      </c>
      <c r="BN415" s="8">
        <v>8685736.4178975876</v>
      </c>
      <c r="BO415" s="8">
        <v>13351867.668821448</v>
      </c>
      <c r="BP415" s="8">
        <v>2237652.3733914965</v>
      </c>
      <c r="BQ415" s="8">
        <v>-11114215.295429952</v>
      </c>
      <c r="BR415" s="8" t="str">
        <v>Yes</v>
      </c>
    </row>
    <row r="416" spans="54:70" x14ac:dyDescent="0.2">
      <c r="BB416" s="94"/>
      <c r="BL416" s="8">
        <v>367</v>
      </c>
      <c r="BM416" s="8">
        <v>1716045.0029048119</v>
      </c>
      <c r="BN416" s="8">
        <v>245275.10037940327</v>
      </c>
      <c r="BO416" s="8">
        <v>1961320.1032842151</v>
      </c>
      <c r="BP416" s="8">
        <v>6509565.8001819747</v>
      </c>
      <c r="BQ416" s="8">
        <v>4548245.69689776</v>
      </c>
      <c r="BR416" s="8" t="str">
        <v>No</v>
      </c>
    </row>
    <row r="417" spans="54:70" x14ac:dyDescent="0.2">
      <c r="BB417" s="94"/>
      <c r="BL417" s="8">
        <v>368</v>
      </c>
      <c r="BM417" s="8">
        <v>3954128.7383589987</v>
      </c>
      <c r="BN417" s="8">
        <v>0</v>
      </c>
      <c r="BO417" s="8">
        <v>3954128.7383589987</v>
      </c>
      <c r="BP417" s="8">
        <v>4195827.9047059482</v>
      </c>
      <c r="BQ417" s="8">
        <v>241699.16634694953</v>
      </c>
      <c r="BR417" s="8" t="str">
        <v>No</v>
      </c>
    </row>
    <row r="418" spans="54:70" x14ac:dyDescent="0.2">
      <c r="BB418" s="94"/>
      <c r="BL418" s="8">
        <v>369</v>
      </c>
      <c r="BM418" s="8">
        <v>4497995.2213752726</v>
      </c>
      <c r="BN418" s="8">
        <v>3219921.2369336151</v>
      </c>
      <c r="BO418" s="8">
        <v>7717916.4583088877</v>
      </c>
      <c r="BP418" s="8">
        <v>4508208.2784067634</v>
      </c>
      <c r="BQ418" s="8">
        <v>-3209708.1799021242</v>
      </c>
      <c r="BR418" s="8" t="str">
        <v>Yes</v>
      </c>
    </row>
    <row r="419" spans="54:70" x14ac:dyDescent="0.2">
      <c r="BB419" s="94"/>
      <c r="BL419" s="8">
        <v>370</v>
      </c>
      <c r="BM419" s="8">
        <v>4212727.4017845532</v>
      </c>
      <c r="BN419" s="8">
        <v>0</v>
      </c>
      <c r="BO419" s="8">
        <v>4212727.4017845532</v>
      </c>
      <c r="BP419" s="8">
        <v>2357750.3809504737</v>
      </c>
      <c r="BQ419" s="8">
        <v>-1854977.0208340795</v>
      </c>
      <c r="BR419" s="8" t="str">
        <v>Yes</v>
      </c>
    </row>
    <row r="420" spans="54:70" x14ac:dyDescent="0.2">
      <c r="BB420" s="94"/>
      <c r="BL420" s="8">
        <v>371</v>
      </c>
      <c r="BM420" s="8">
        <v>4374860.2234188328</v>
      </c>
      <c r="BN420" s="8">
        <v>0</v>
      </c>
      <c r="BO420" s="8">
        <v>4374860.2234188328</v>
      </c>
      <c r="BP420" s="8">
        <v>2400782.1164944083</v>
      </c>
      <c r="BQ420" s="8">
        <v>-1974078.1069244244</v>
      </c>
      <c r="BR420" s="8" t="str">
        <v>Yes</v>
      </c>
    </row>
    <row r="421" spans="54:70" x14ac:dyDescent="0.2">
      <c r="BB421" s="94"/>
      <c r="BL421" s="8">
        <v>372</v>
      </c>
      <c r="BM421" s="8">
        <v>5887427.0665098345</v>
      </c>
      <c r="BN421" s="8">
        <v>11397847.293321682</v>
      </c>
      <c r="BO421" s="8">
        <v>17285274.359831516</v>
      </c>
      <c r="BP421" s="8">
        <v>6119514.4524909975</v>
      </c>
      <c r="BQ421" s="8">
        <v>-11165759.907340519</v>
      </c>
      <c r="BR421" s="8" t="str">
        <v>Yes</v>
      </c>
    </row>
    <row r="422" spans="54:70" x14ac:dyDescent="0.2">
      <c r="BB422" s="94"/>
      <c r="BL422" s="8">
        <v>373</v>
      </c>
      <c r="BM422" s="8">
        <v>3135387.5353666567</v>
      </c>
      <c r="BN422" s="8">
        <v>1672730.9962010421</v>
      </c>
      <c r="BO422" s="8">
        <v>4808118.5315676983</v>
      </c>
      <c r="BP422" s="8">
        <v>2937849.9334419346</v>
      </c>
      <c r="BQ422" s="8">
        <v>-1870268.5981257637</v>
      </c>
      <c r="BR422" s="8" t="str">
        <v>Yes</v>
      </c>
    </row>
    <row r="423" spans="54:70" x14ac:dyDescent="0.2">
      <c r="BB423" s="94"/>
      <c r="BL423" s="8">
        <v>374</v>
      </c>
      <c r="BM423" s="8">
        <v>2658103.8227591543</v>
      </c>
      <c r="BN423" s="8">
        <v>611431.52329107467</v>
      </c>
      <c r="BO423" s="8">
        <v>3269535.3460502289</v>
      </c>
      <c r="BP423" s="8">
        <v>6266792.2785535948</v>
      </c>
      <c r="BQ423" s="8">
        <v>2997256.9325033659</v>
      </c>
      <c r="BR423" s="8" t="str">
        <v>No</v>
      </c>
    </row>
    <row r="424" spans="54:70" x14ac:dyDescent="0.2">
      <c r="BB424" s="94"/>
      <c r="BL424" s="8">
        <v>375</v>
      </c>
      <c r="BM424" s="8">
        <v>5712563.6297250511</v>
      </c>
      <c r="BN424" s="8">
        <v>7389989.9245661814</v>
      </c>
      <c r="BO424" s="8">
        <v>13102553.554291233</v>
      </c>
      <c r="BP424" s="8">
        <v>3502145.0401360071</v>
      </c>
      <c r="BQ424" s="8">
        <v>-9600408.5141552258</v>
      </c>
      <c r="BR424" s="8" t="str">
        <v>Yes</v>
      </c>
    </row>
    <row r="425" spans="54:70" x14ac:dyDescent="0.2">
      <c r="BB425" s="94"/>
      <c r="BL425" s="8">
        <v>376</v>
      </c>
      <c r="BM425" s="8">
        <v>3287600.2382776868</v>
      </c>
      <c r="BN425" s="8">
        <v>0</v>
      </c>
      <c r="BO425" s="8">
        <v>3287600.2382776868</v>
      </c>
      <c r="BP425" s="8">
        <v>6340253.9052811628</v>
      </c>
      <c r="BQ425" s="8">
        <v>3052653.6670034761</v>
      </c>
      <c r="BR425" s="8" t="str">
        <v>No</v>
      </c>
    </row>
    <row r="426" spans="54:70" x14ac:dyDescent="0.2">
      <c r="BB426" s="94"/>
      <c r="BL426" s="8">
        <v>377</v>
      </c>
      <c r="BM426" s="8">
        <v>18459319.751776207</v>
      </c>
      <c r="BN426" s="8">
        <v>0</v>
      </c>
      <c r="BO426" s="8">
        <v>18459319.751776207</v>
      </c>
      <c r="BP426" s="8">
        <v>4180769.2551353476</v>
      </c>
      <c r="BQ426" s="8">
        <v>-14278550.496640859</v>
      </c>
      <c r="BR426" s="8" t="str">
        <v>Yes</v>
      </c>
    </row>
    <row r="427" spans="54:70" x14ac:dyDescent="0.2">
      <c r="BB427" s="94"/>
      <c r="BL427" s="8">
        <v>378</v>
      </c>
      <c r="BM427" s="8">
        <v>4886430.9000406023</v>
      </c>
      <c r="BN427" s="8">
        <v>0</v>
      </c>
      <c r="BO427" s="8">
        <v>4886430.9000406023</v>
      </c>
      <c r="BP427" s="8">
        <v>5741580.0235157078</v>
      </c>
      <c r="BQ427" s="8">
        <v>855149.1234751055</v>
      </c>
      <c r="BR427" s="8" t="str">
        <v>No</v>
      </c>
    </row>
    <row r="428" spans="54:70" x14ac:dyDescent="0.2">
      <c r="BB428" s="94"/>
      <c r="BL428" s="8">
        <v>379</v>
      </c>
      <c r="BM428" s="8">
        <v>3739321.1201996976</v>
      </c>
      <c r="BN428" s="8">
        <v>3718898.4544621846</v>
      </c>
      <c r="BO428" s="8">
        <v>7458219.5746618826</v>
      </c>
      <c r="BP428" s="8">
        <v>5915139.5177361388</v>
      </c>
      <c r="BQ428" s="8">
        <v>-1543080.0569257438</v>
      </c>
      <c r="BR428" s="8" t="str">
        <v>Yes</v>
      </c>
    </row>
    <row r="429" spans="54:70" x14ac:dyDescent="0.2">
      <c r="BB429" s="94"/>
      <c r="BL429" s="8">
        <v>380</v>
      </c>
      <c r="BM429" s="8">
        <v>3374259.9099877076</v>
      </c>
      <c r="BN429" s="8">
        <v>679773.02833885956</v>
      </c>
      <c r="BO429" s="8">
        <v>4054032.9383265674</v>
      </c>
      <c r="BP429" s="8">
        <v>3444681.5735477628</v>
      </c>
      <c r="BQ429" s="8">
        <v>-609351.36477880459</v>
      </c>
      <c r="BR429" s="8" t="str">
        <v>Yes</v>
      </c>
    </row>
    <row r="430" spans="54:70" x14ac:dyDescent="0.2">
      <c r="BB430" s="94"/>
      <c r="BL430" s="8">
        <v>381</v>
      </c>
      <c r="BM430" s="8">
        <v>3054100.2189080212</v>
      </c>
      <c r="BN430" s="8">
        <v>5139306.6315171653</v>
      </c>
      <c r="BO430" s="8">
        <v>8193406.8504251866</v>
      </c>
      <c r="BP430" s="8">
        <v>2395633.3617337998</v>
      </c>
      <c r="BQ430" s="8">
        <v>-5797773.4886913868</v>
      </c>
      <c r="BR430" s="8" t="str">
        <v>Yes</v>
      </c>
    </row>
    <row r="431" spans="54:70" x14ac:dyDescent="0.2">
      <c r="BB431" s="94"/>
      <c r="BL431" s="8">
        <v>382</v>
      </c>
      <c r="BM431" s="8">
        <v>2963128.7779049459</v>
      </c>
      <c r="BN431" s="8">
        <v>2948114.152086868</v>
      </c>
      <c r="BO431" s="8">
        <v>5911242.9299918134</v>
      </c>
      <c r="BP431" s="8">
        <v>3368082.9633110883</v>
      </c>
      <c r="BQ431" s="8">
        <v>-2543159.9666807251</v>
      </c>
      <c r="BR431" s="8" t="str">
        <v>Yes</v>
      </c>
    </row>
    <row r="432" spans="54:70" x14ac:dyDescent="0.2">
      <c r="BB432" s="94"/>
      <c r="BL432" s="8">
        <v>383</v>
      </c>
      <c r="BM432" s="8">
        <v>2103547.3723064135</v>
      </c>
      <c r="BN432" s="8">
        <v>0</v>
      </c>
      <c r="BO432" s="8">
        <v>2103547.3723064135</v>
      </c>
      <c r="BP432" s="8">
        <v>2351046.1448823721</v>
      </c>
      <c r="BQ432" s="8">
        <v>247498.77257595863</v>
      </c>
      <c r="BR432" s="8" t="str">
        <v>No</v>
      </c>
    </row>
    <row r="433" spans="54:70" x14ac:dyDescent="0.2">
      <c r="BB433" s="94"/>
      <c r="BL433" s="8">
        <v>384</v>
      </c>
      <c r="BM433" s="8">
        <v>6366152.2434310801</v>
      </c>
      <c r="BN433" s="8">
        <v>4896099.2584902551</v>
      </c>
      <c r="BO433" s="8">
        <v>11262251.501921335</v>
      </c>
      <c r="BP433" s="8">
        <v>6469287.2495579552</v>
      </c>
      <c r="BQ433" s="8">
        <v>-4792964.25236338</v>
      </c>
      <c r="BR433" s="8" t="str">
        <v>Yes</v>
      </c>
    </row>
    <row r="434" spans="54:70" x14ac:dyDescent="0.2">
      <c r="BB434" s="94"/>
      <c r="BL434" s="8">
        <v>385</v>
      </c>
      <c r="BM434" s="8">
        <v>2997171.4786366113</v>
      </c>
      <c r="BN434" s="8">
        <v>0</v>
      </c>
      <c r="BO434" s="8">
        <v>2997171.4786366113</v>
      </c>
      <c r="BP434" s="8">
        <v>6074178.508977117</v>
      </c>
      <c r="BQ434" s="8">
        <v>3077007.0303405058</v>
      </c>
      <c r="BR434" s="8" t="str">
        <v>No</v>
      </c>
    </row>
    <row r="435" spans="54:70" x14ac:dyDescent="0.2">
      <c r="BB435" s="94"/>
      <c r="BL435" s="8">
        <v>386</v>
      </c>
      <c r="BM435" s="8">
        <v>7079433.9112525601</v>
      </c>
      <c r="BN435" s="8">
        <v>0</v>
      </c>
      <c r="BO435" s="8">
        <v>7079433.9112525601</v>
      </c>
      <c r="BP435" s="8">
        <v>4297369.1667472124</v>
      </c>
      <c r="BQ435" s="8">
        <v>-2782064.7445053477</v>
      </c>
      <c r="BR435" s="8" t="str">
        <v>Yes</v>
      </c>
    </row>
    <row r="436" spans="54:70" x14ac:dyDescent="0.2">
      <c r="BB436" s="94"/>
      <c r="BL436" s="8">
        <v>387</v>
      </c>
      <c r="BM436" s="8">
        <v>5057076.1776107056</v>
      </c>
      <c r="BN436" s="8">
        <v>6911891.3646390382</v>
      </c>
      <c r="BO436" s="8">
        <v>11968967.542249743</v>
      </c>
      <c r="BP436" s="8">
        <v>2199866.3113243817</v>
      </c>
      <c r="BQ436" s="8">
        <v>-9769101.2309253607</v>
      </c>
      <c r="BR436" s="8" t="str">
        <v>Yes</v>
      </c>
    </row>
    <row r="437" spans="54:70" x14ac:dyDescent="0.2">
      <c r="BB437" s="94"/>
      <c r="BL437" s="8">
        <v>388</v>
      </c>
      <c r="BM437" s="8">
        <v>2249835.5464671012</v>
      </c>
      <c r="BN437" s="8">
        <v>0</v>
      </c>
      <c r="BO437" s="8">
        <v>2249835.5464671012</v>
      </c>
      <c r="BP437" s="8">
        <v>3257575.2159287799</v>
      </c>
      <c r="BQ437" s="8">
        <v>1007739.6694616787</v>
      </c>
      <c r="BR437" s="8" t="str">
        <v>No</v>
      </c>
    </row>
    <row r="438" spans="54:70" x14ac:dyDescent="0.2">
      <c r="BB438" s="94"/>
      <c r="BL438" s="8">
        <v>389</v>
      </c>
      <c r="BM438" s="8">
        <v>2519899.6622081939</v>
      </c>
      <c r="BN438" s="8">
        <v>0</v>
      </c>
      <c r="BO438" s="8">
        <v>2519899.6622081939</v>
      </c>
      <c r="BP438" s="8">
        <v>4400862.2031703703</v>
      </c>
      <c r="BQ438" s="8">
        <v>1880962.5409621764</v>
      </c>
      <c r="BR438" s="8" t="str">
        <v>No</v>
      </c>
    </row>
    <row r="439" spans="54:70" x14ac:dyDescent="0.2">
      <c r="BB439" s="94"/>
      <c r="BL439" s="8">
        <v>390</v>
      </c>
      <c r="BM439" s="8">
        <v>2415451.7374572502</v>
      </c>
      <c r="BN439" s="8">
        <v>1595932.9909548252</v>
      </c>
      <c r="BO439" s="8">
        <v>4011384.7284120754</v>
      </c>
      <c r="BP439" s="8">
        <v>3545905.3870319086</v>
      </c>
      <c r="BQ439" s="8">
        <v>-465479.34138016682</v>
      </c>
      <c r="BR439" s="8" t="str">
        <v>Yes</v>
      </c>
    </row>
    <row r="440" spans="54:70" x14ac:dyDescent="0.2">
      <c r="BB440" s="94"/>
      <c r="BL440" s="8">
        <v>391</v>
      </c>
      <c r="BM440" s="8">
        <v>1305530.9398646282</v>
      </c>
      <c r="BN440" s="8">
        <v>0</v>
      </c>
      <c r="BO440" s="8">
        <v>1305530.9398646282</v>
      </c>
      <c r="BP440" s="8">
        <v>6879307.5651297318</v>
      </c>
      <c r="BQ440" s="8">
        <v>5573776.6252651038</v>
      </c>
      <c r="BR440" s="8" t="str">
        <v>No</v>
      </c>
    </row>
    <row r="441" spans="54:70" x14ac:dyDescent="0.2">
      <c r="BB441" s="94"/>
      <c r="BL441" s="8">
        <v>392</v>
      </c>
      <c r="BM441" s="8">
        <v>4818993.1902771816</v>
      </c>
      <c r="BN441" s="8">
        <v>0</v>
      </c>
      <c r="BO441" s="8">
        <v>4818993.1902771816</v>
      </c>
      <c r="BP441" s="8">
        <v>3315335.6247339016</v>
      </c>
      <c r="BQ441" s="8">
        <v>-1503657.56554328</v>
      </c>
      <c r="BR441" s="8" t="str">
        <v>Yes</v>
      </c>
    </row>
    <row r="442" spans="54:70" x14ac:dyDescent="0.2">
      <c r="BB442" s="94"/>
      <c r="BL442" s="8">
        <v>393</v>
      </c>
      <c r="BM442" s="8">
        <v>3629402.0630501984</v>
      </c>
      <c r="BN442" s="8">
        <v>2316022.9797243983</v>
      </c>
      <c r="BO442" s="8">
        <v>5945425.0427745972</v>
      </c>
      <c r="BP442" s="8">
        <v>6069011.2994251037</v>
      </c>
      <c r="BQ442" s="8">
        <v>123586.25665050652</v>
      </c>
      <c r="BR442" s="8" t="str">
        <v>No</v>
      </c>
    </row>
    <row r="443" spans="54:70" x14ac:dyDescent="0.2">
      <c r="BB443" s="94"/>
      <c r="BL443" s="8">
        <v>394</v>
      </c>
      <c r="BM443" s="8">
        <v>3885541.5577780958</v>
      </c>
      <c r="BN443" s="8">
        <v>0</v>
      </c>
      <c r="BO443" s="8">
        <v>3885541.5577780958</v>
      </c>
      <c r="BP443" s="8">
        <v>5969619.216636328</v>
      </c>
      <c r="BQ443" s="8">
        <v>2084077.6588582322</v>
      </c>
      <c r="BR443" s="8" t="str">
        <v>No</v>
      </c>
    </row>
    <row r="444" spans="54:70" x14ac:dyDescent="0.2">
      <c r="BB444" s="94"/>
      <c r="BL444" s="8">
        <v>395</v>
      </c>
      <c r="BM444" s="8">
        <v>5716748.658645181</v>
      </c>
      <c r="BN444" s="8">
        <v>0</v>
      </c>
      <c r="BO444" s="8">
        <v>5716748.658645181</v>
      </c>
      <c r="BP444" s="8">
        <v>3153484.1634902316</v>
      </c>
      <c r="BQ444" s="8">
        <v>-2563264.4951549494</v>
      </c>
      <c r="BR444" s="8" t="str">
        <v>Yes</v>
      </c>
    </row>
    <row r="445" spans="54:70" x14ac:dyDescent="0.2">
      <c r="BB445" s="94"/>
      <c r="BL445" s="8">
        <v>396</v>
      </c>
      <c r="BM445" s="8">
        <v>3963808.3419360323</v>
      </c>
      <c r="BN445" s="8">
        <v>0</v>
      </c>
      <c r="BO445" s="8">
        <v>3963808.3419360323</v>
      </c>
      <c r="BP445" s="8">
        <v>3289335.320374188</v>
      </c>
      <c r="BQ445" s="8">
        <v>-674473.02156184427</v>
      </c>
      <c r="BR445" s="8" t="str">
        <v>Yes</v>
      </c>
    </row>
    <row r="446" spans="54:70" x14ac:dyDescent="0.2">
      <c r="BB446" s="94"/>
      <c r="BL446" s="8">
        <v>397</v>
      </c>
      <c r="BM446" s="8">
        <v>5394502.614927412</v>
      </c>
      <c r="BN446" s="8">
        <v>0</v>
      </c>
      <c r="BO446" s="8">
        <v>5394502.614927412</v>
      </c>
      <c r="BP446" s="8">
        <v>2287737.6894499757</v>
      </c>
      <c r="BQ446" s="8">
        <v>-3106764.9254774363</v>
      </c>
      <c r="BR446" s="8" t="str">
        <v>Yes</v>
      </c>
    </row>
    <row r="447" spans="54:70" x14ac:dyDescent="0.2">
      <c r="BB447" s="94"/>
      <c r="BL447" s="8">
        <v>398</v>
      </c>
      <c r="BM447" s="8">
        <v>3336604.9488689294</v>
      </c>
      <c r="BN447" s="8">
        <v>1430327.9549020685</v>
      </c>
      <c r="BO447" s="8">
        <v>4766932.9037709981</v>
      </c>
      <c r="BP447" s="8">
        <v>5689910.671017861</v>
      </c>
      <c r="BQ447" s="8">
        <v>922977.76724686287</v>
      </c>
      <c r="BR447" s="8" t="str">
        <v>No</v>
      </c>
    </row>
    <row r="448" spans="54:70" x14ac:dyDescent="0.2">
      <c r="BB448" s="94"/>
      <c r="BL448" s="8">
        <v>399</v>
      </c>
      <c r="BM448" s="8">
        <v>2729160.2076059887</v>
      </c>
      <c r="BN448" s="8">
        <v>0</v>
      </c>
      <c r="BO448" s="8">
        <v>2729160.2076059887</v>
      </c>
      <c r="BP448" s="8">
        <v>3264741.1081719841</v>
      </c>
      <c r="BQ448" s="8">
        <v>535580.90056599537</v>
      </c>
      <c r="BR448" s="8" t="str">
        <v>No</v>
      </c>
    </row>
    <row r="449" spans="54:70" x14ac:dyDescent="0.2">
      <c r="BB449" s="94"/>
      <c r="BL449" s="8">
        <v>400</v>
      </c>
      <c r="BM449" s="8">
        <v>2436003.2252463903</v>
      </c>
      <c r="BN449" s="8">
        <v>0</v>
      </c>
      <c r="BO449" s="8">
        <v>2436003.2252463903</v>
      </c>
      <c r="BP449" s="8">
        <v>2422867.7673486713</v>
      </c>
      <c r="BQ449" s="8">
        <v>-13135.457897718996</v>
      </c>
      <c r="BR449" s="8" t="str">
        <v>Yes</v>
      </c>
    </row>
    <row r="450" spans="54:70" x14ac:dyDescent="0.2">
      <c r="BB450" s="94"/>
      <c r="BL450" s="8">
        <v>401</v>
      </c>
      <c r="BM450" s="8">
        <v>10837636.542976383</v>
      </c>
      <c r="BN450" s="8">
        <v>12425558.309244966</v>
      </c>
      <c r="BO450" s="8">
        <v>23263194.852221347</v>
      </c>
      <c r="BP450" s="8">
        <v>3529962.9793650908</v>
      </c>
      <c r="BQ450" s="8">
        <v>-19733231.872856256</v>
      </c>
      <c r="BR450" s="8" t="str">
        <v>Yes</v>
      </c>
    </row>
    <row r="451" spans="54:70" x14ac:dyDescent="0.2">
      <c r="BB451" s="94"/>
      <c r="BL451" s="8">
        <v>402</v>
      </c>
      <c r="BM451" s="8">
        <v>2963820.7231776118</v>
      </c>
      <c r="BN451" s="8">
        <v>0</v>
      </c>
      <c r="BO451" s="8">
        <v>2963820.7231776118</v>
      </c>
      <c r="BP451" s="8">
        <v>3883521.3264227672</v>
      </c>
      <c r="BQ451" s="8">
        <v>919700.60324515542</v>
      </c>
      <c r="BR451" s="8" t="str">
        <v>No</v>
      </c>
    </row>
    <row r="452" spans="54:70" x14ac:dyDescent="0.2">
      <c r="BB452" s="94"/>
      <c r="BL452" s="8">
        <v>403</v>
      </c>
      <c r="BM452" s="8">
        <v>4976183.8506740499</v>
      </c>
      <c r="BN452" s="8">
        <v>2131845.6166438567</v>
      </c>
      <c r="BO452" s="8">
        <v>7108029.4673179071</v>
      </c>
      <c r="BP452" s="8">
        <v>3072310.6538358019</v>
      </c>
      <c r="BQ452" s="8">
        <v>-4035718.8134821053</v>
      </c>
      <c r="BR452" s="8" t="str">
        <v>Yes</v>
      </c>
    </row>
    <row r="453" spans="54:70" x14ac:dyDescent="0.2">
      <c r="BB453" s="94"/>
      <c r="BL453" s="8">
        <v>404</v>
      </c>
      <c r="BM453" s="8">
        <v>3264152.7516862191</v>
      </c>
      <c r="BN453" s="8">
        <v>0</v>
      </c>
      <c r="BO453" s="8">
        <v>3264152.7516862191</v>
      </c>
      <c r="BP453" s="8">
        <v>2373720.76137941</v>
      </c>
      <c r="BQ453" s="8">
        <v>-890431.99030680908</v>
      </c>
      <c r="BR453" s="8" t="str">
        <v>Yes</v>
      </c>
    </row>
    <row r="454" spans="54:70" x14ac:dyDescent="0.2">
      <c r="BB454" s="94"/>
      <c r="BL454" s="8">
        <v>405</v>
      </c>
      <c r="BM454" s="8">
        <v>2820825.240666288</v>
      </c>
      <c r="BN454" s="8">
        <v>0</v>
      </c>
      <c r="BO454" s="8">
        <v>2820825.240666288</v>
      </c>
      <c r="BP454" s="8">
        <v>6282488.3887056634</v>
      </c>
      <c r="BQ454" s="8">
        <v>3461663.1480393754</v>
      </c>
      <c r="BR454" s="8" t="str">
        <v>No</v>
      </c>
    </row>
    <row r="455" spans="54:70" x14ac:dyDescent="0.2">
      <c r="BB455" s="94"/>
      <c r="BL455" s="8">
        <v>406</v>
      </c>
      <c r="BM455" s="8">
        <v>1955653.9341672405</v>
      </c>
      <c r="BN455" s="8">
        <v>691012.16632480116</v>
      </c>
      <c r="BO455" s="8">
        <v>2646666.1004920416</v>
      </c>
      <c r="BP455" s="8">
        <v>4277386.3117808048</v>
      </c>
      <c r="BQ455" s="8">
        <v>1630720.2112887632</v>
      </c>
      <c r="BR455" s="8" t="str">
        <v>No</v>
      </c>
    </row>
    <row r="456" spans="54:70" x14ac:dyDescent="0.2">
      <c r="BB456" s="94"/>
      <c r="BL456" s="8">
        <v>407</v>
      </c>
      <c r="BM456" s="8">
        <v>1758350.2498520338</v>
      </c>
      <c r="BN456" s="8">
        <v>641689.59145353572</v>
      </c>
      <c r="BO456" s="8">
        <v>2400039.8413055697</v>
      </c>
      <c r="BP456" s="8">
        <v>2387637.2868027291</v>
      </c>
      <c r="BQ456" s="8">
        <v>-12402.55450284062</v>
      </c>
      <c r="BR456" s="8" t="str">
        <v>Yes</v>
      </c>
    </row>
    <row r="457" spans="54:70" x14ac:dyDescent="0.2">
      <c r="BB457" s="94"/>
      <c r="BL457" s="8">
        <v>408</v>
      </c>
      <c r="BM457" s="8">
        <v>5463009.7553529814</v>
      </c>
      <c r="BN457" s="8">
        <v>0</v>
      </c>
      <c r="BO457" s="8">
        <v>5463009.7553529814</v>
      </c>
      <c r="BP457" s="8">
        <v>4438577.8035176694</v>
      </c>
      <c r="BQ457" s="8">
        <v>-1024431.9518353119</v>
      </c>
      <c r="BR457" s="8" t="str">
        <v>Yes</v>
      </c>
    </row>
    <row r="458" spans="54:70" x14ac:dyDescent="0.2">
      <c r="BB458" s="94"/>
      <c r="BL458" s="8">
        <v>409</v>
      </c>
      <c r="BM458" s="8">
        <v>7580617.2427479504</v>
      </c>
      <c r="BN458" s="8">
        <v>2912208.7869061371</v>
      </c>
      <c r="BO458" s="8">
        <v>10492826.029654087</v>
      </c>
      <c r="BP458" s="8">
        <v>3405040.8735890305</v>
      </c>
      <c r="BQ458" s="8">
        <v>-7087785.156065057</v>
      </c>
      <c r="BR458" s="8" t="str">
        <v>Yes</v>
      </c>
    </row>
    <row r="459" spans="54:70" x14ac:dyDescent="0.2">
      <c r="BB459" s="94"/>
      <c r="BL459" s="8">
        <v>410</v>
      </c>
      <c r="BM459" s="8">
        <v>4147620.0657953839</v>
      </c>
      <c r="BN459" s="8">
        <v>0</v>
      </c>
      <c r="BO459" s="8">
        <v>4147620.0657953839</v>
      </c>
      <c r="BP459" s="8">
        <v>2275486.2240472119</v>
      </c>
      <c r="BQ459" s="8">
        <v>-1872133.841748172</v>
      </c>
      <c r="BR459" s="8" t="str">
        <v>Yes</v>
      </c>
    </row>
    <row r="460" spans="54:70" x14ac:dyDescent="0.2">
      <c r="BB460" s="94"/>
      <c r="BL460" s="8">
        <v>411</v>
      </c>
      <c r="BM460" s="8">
        <v>5903385.3818839695</v>
      </c>
      <c r="BN460" s="8">
        <v>6445231.806135633</v>
      </c>
      <c r="BO460" s="8">
        <v>12348617.188019603</v>
      </c>
      <c r="BP460" s="8">
        <v>6054776.8788403301</v>
      </c>
      <c r="BQ460" s="8">
        <v>-6293840.3091792734</v>
      </c>
      <c r="BR460" s="8" t="str">
        <v>Yes</v>
      </c>
    </row>
    <row r="461" spans="54:70" x14ac:dyDescent="0.2">
      <c r="BB461" s="94"/>
      <c r="BL461" s="8">
        <v>412</v>
      </c>
      <c r="BM461" s="8">
        <v>2145578.1047046431</v>
      </c>
      <c r="BN461" s="8">
        <v>1826779.0098619564</v>
      </c>
      <c r="BO461" s="8">
        <v>3972357.1145665995</v>
      </c>
      <c r="BP461" s="8">
        <v>2294713.9241250586</v>
      </c>
      <c r="BQ461" s="8">
        <v>-1677643.1904415409</v>
      </c>
      <c r="BR461" s="8" t="str">
        <v>Yes</v>
      </c>
    </row>
    <row r="462" spans="54:70" x14ac:dyDescent="0.2">
      <c r="BB462" s="94"/>
      <c r="BL462" s="8">
        <v>413</v>
      </c>
      <c r="BM462" s="8">
        <v>3609156.9775539637</v>
      </c>
      <c r="BN462" s="8">
        <v>3341305.2636692296</v>
      </c>
      <c r="BO462" s="8">
        <v>6950462.2412231937</v>
      </c>
      <c r="BP462" s="8">
        <v>2116971.6570995753</v>
      </c>
      <c r="BQ462" s="8">
        <v>-4833490.5841236189</v>
      </c>
      <c r="BR462" s="8" t="str">
        <v>Yes</v>
      </c>
    </row>
    <row r="463" spans="54:70" x14ac:dyDescent="0.2">
      <c r="BB463" s="94"/>
      <c r="BL463" s="8">
        <v>414</v>
      </c>
      <c r="BM463" s="8">
        <v>5029931.1576318238</v>
      </c>
      <c r="BN463" s="8">
        <v>3041697.2076441827</v>
      </c>
      <c r="BO463" s="8">
        <v>8071628.365276007</v>
      </c>
      <c r="BP463" s="8">
        <v>6336122.6551032308</v>
      </c>
      <c r="BQ463" s="8">
        <v>-1735505.7101727761</v>
      </c>
      <c r="BR463" s="8" t="str">
        <v>Yes</v>
      </c>
    </row>
    <row r="464" spans="54:70" x14ac:dyDescent="0.2">
      <c r="BB464" s="94"/>
      <c r="BL464" s="8">
        <v>415</v>
      </c>
      <c r="BM464" s="8">
        <v>3074582.3655213863</v>
      </c>
      <c r="BN464" s="8">
        <v>788811.04117529758</v>
      </c>
      <c r="BO464" s="8">
        <v>3863393.4066966837</v>
      </c>
      <c r="BP464" s="8">
        <v>6270686.070043724</v>
      </c>
      <c r="BQ464" s="8">
        <v>2407292.6633470403</v>
      </c>
      <c r="BR464" s="8" t="str">
        <v>No</v>
      </c>
    </row>
    <row r="465" spans="54:70" x14ac:dyDescent="0.2">
      <c r="BB465" s="94"/>
      <c r="BL465" s="8">
        <v>416</v>
      </c>
      <c r="BM465" s="8">
        <v>4028965.391492812</v>
      </c>
      <c r="BN465" s="8">
        <v>7026700.1900925543</v>
      </c>
      <c r="BO465" s="8">
        <v>11055665.581585366</v>
      </c>
      <c r="BP465" s="8">
        <v>6063360.927262946</v>
      </c>
      <c r="BQ465" s="8">
        <v>-4992304.6543224202</v>
      </c>
      <c r="BR465" s="8" t="str">
        <v>Yes</v>
      </c>
    </row>
    <row r="466" spans="54:70" x14ac:dyDescent="0.2">
      <c r="BB466" s="94"/>
      <c r="BL466" s="8">
        <v>417</v>
      </c>
      <c r="BM466" s="8">
        <v>3279700.1118425885</v>
      </c>
      <c r="BN466" s="8">
        <v>0</v>
      </c>
      <c r="BO466" s="8">
        <v>3279700.1118425885</v>
      </c>
      <c r="BP466" s="8">
        <v>4493316.2265602052</v>
      </c>
      <c r="BQ466" s="8">
        <v>1213616.1147176167</v>
      </c>
      <c r="BR466" s="8" t="str">
        <v>No</v>
      </c>
    </row>
    <row r="467" spans="54:70" x14ac:dyDescent="0.2">
      <c r="BB467" s="94"/>
      <c r="BL467" s="8">
        <v>418</v>
      </c>
      <c r="BM467" s="8">
        <v>5445261.8881872585</v>
      </c>
      <c r="BN467" s="8">
        <v>0</v>
      </c>
      <c r="BO467" s="8">
        <v>5445261.8881872585</v>
      </c>
      <c r="BP467" s="8">
        <v>3428446.350622118</v>
      </c>
      <c r="BQ467" s="8">
        <v>-2016815.5375651405</v>
      </c>
      <c r="BR467" s="8" t="str">
        <v>Yes</v>
      </c>
    </row>
    <row r="468" spans="54:70" x14ac:dyDescent="0.2">
      <c r="BB468" s="94"/>
      <c r="BL468" s="8">
        <v>419</v>
      </c>
      <c r="BM468" s="8">
        <v>1661201.9466446824</v>
      </c>
      <c r="BN468" s="8">
        <v>0</v>
      </c>
      <c r="BO468" s="8">
        <v>1661201.9466446824</v>
      </c>
      <c r="BP468" s="8">
        <v>3557972.1118475469</v>
      </c>
      <c r="BQ468" s="8">
        <v>1896770.1652028644</v>
      </c>
      <c r="BR468" s="8" t="str">
        <v>No</v>
      </c>
    </row>
    <row r="469" spans="54:70" x14ac:dyDescent="0.2">
      <c r="BB469" s="94"/>
      <c r="BL469" s="8">
        <v>420</v>
      </c>
      <c r="BM469" s="8">
        <v>3614978.6153385034</v>
      </c>
      <c r="BN469" s="8">
        <v>2794235.6294465587</v>
      </c>
      <c r="BO469" s="8">
        <v>6409214.244785062</v>
      </c>
      <c r="BP469" s="8">
        <v>3546560.9163847957</v>
      </c>
      <c r="BQ469" s="8">
        <v>-2862653.3284002664</v>
      </c>
      <c r="BR469" s="8" t="str">
        <v>Yes</v>
      </c>
    </row>
    <row r="470" spans="54:70" x14ac:dyDescent="0.2">
      <c r="BB470" s="94"/>
      <c r="BL470" s="8">
        <v>421</v>
      </c>
      <c r="BM470" s="8">
        <v>2907700.3924279637</v>
      </c>
      <c r="BN470" s="8">
        <v>0</v>
      </c>
      <c r="BO470" s="8">
        <v>2907700.3924279637</v>
      </c>
      <c r="BP470" s="8">
        <v>6376969.2843114315</v>
      </c>
      <c r="BQ470" s="8">
        <v>3469268.8918834678</v>
      </c>
      <c r="BR470" s="8" t="str">
        <v>No</v>
      </c>
    </row>
    <row r="471" spans="54:70" x14ac:dyDescent="0.2">
      <c r="BB471" s="94"/>
      <c r="BL471" s="8">
        <v>422</v>
      </c>
      <c r="BM471" s="8">
        <v>4546641.6466379492</v>
      </c>
      <c r="BN471" s="8">
        <v>3745237.3450719328</v>
      </c>
      <c r="BO471" s="8">
        <v>8291878.9917098824</v>
      </c>
      <c r="BP471" s="8">
        <v>2377886.9727813629</v>
      </c>
      <c r="BQ471" s="8">
        <v>-5913992.0189285195</v>
      </c>
      <c r="BR471" s="8" t="str">
        <v>Yes</v>
      </c>
    </row>
    <row r="472" spans="54:70" x14ac:dyDescent="0.2">
      <c r="BB472" s="94"/>
      <c r="BL472" s="8">
        <v>423</v>
      </c>
      <c r="BM472" s="8">
        <v>12145728.11847949</v>
      </c>
      <c r="BN472" s="8">
        <v>10183336.685805943</v>
      </c>
      <c r="BO472" s="8">
        <v>22329064.804285433</v>
      </c>
      <c r="BP472" s="8">
        <v>6590867.5182711361</v>
      </c>
      <c r="BQ472" s="8">
        <v>-15738197.286014296</v>
      </c>
      <c r="BR472" s="8" t="str">
        <v>Yes</v>
      </c>
    </row>
    <row r="473" spans="54:70" x14ac:dyDescent="0.2">
      <c r="BB473" s="94"/>
      <c r="BL473" s="8">
        <v>424</v>
      </c>
      <c r="BM473" s="8">
        <v>12565398.933946028</v>
      </c>
      <c r="BN473" s="8">
        <v>0</v>
      </c>
      <c r="BO473" s="8">
        <v>12565398.933946028</v>
      </c>
      <c r="BP473" s="8">
        <v>2529356.5946133505</v>
      </c>
      <c r="BQ473" s="8">
        <v>-10036042.339332677</v>
      </c>
      <c r="BR473" s="8" t="str">
        <v>Yes</v>
      </c>
    </row>
    <row r="474" spans="54:70" x14ac:dyDescent="0.2">
      <c r="BB474" s="94"/>
      <c r="BL474" s="8">
        <v>425</v>
      </c>
      <c r="BM474" s="8">
        <v>5174240.6349591119</v>
      </c>
      <c r="BN474" s="8">
        <v>3795796.6240922553</v>
      </c>
      <c r="BO474" s="8">
        <v>8970037.2590513676</v>
      </c>
      <c r="BP474" s="8">
        <v>6243256.5755994851</v>
      </c>
      <c r="BQ474" s="8">
        <v>-2726780.6834518826</v>
      </c>
      <c r="BR474" s="8" t="str">
        <v>Yes</v>
      </c>
    </row>
    <row r="475" spans="54:70" x14ac:dyDescent="0.2">
      <c r="BB475" s="94"/>
      <c r="BL475" s="8">
        <v>426</v>
      </c>
      <c r="BM475" s="8">
        <v>6691160.2207824141</v>
      </c>
      <c r="BN475" s="8">
        <v>1955152.5847726855</v>
      </c>
      <c r="BO475" s="8">
        <v>8646312.8055550996</v>
      </c>
      <c r="BP475" s="8">
        <v>5000798.6654786589</v>
      </c>
      <c r="BQ475" s="8">
        <v>-3645514.1400764408</v>
      </c>
      <c r="BR475" s="8" t="str">
        <v>Yes</v>
      </c>
    </row>
    <row r="476" spans="54:70" x14ac:dyDescent="0.2">
      <c r="BB476" s="94"/>
      <c r="BL476" s="8">
        <v>427</v>
      </c>
      <c r="BM476" s="8">
        <v>6918943.2822635658</v>
      </c>
      <c r="BN476" s="8">
        <v>0</v>
      </c>
      <c r="BO476" s="8">
        <v>6918943.2822635658</v>
      </c>
      <c r="BP476" s="8">
        <v>4277086.7028732551</v>
      </c>
      <c r="BQ476" s="8">
        <v>-2641856.5793903107</v>
      </c>
      <c r="BR476" s="8" t="str">
        <v>Yes</v>
      </c>
    </row>
    <row r="477" spans="54:70" x14ac:dyDescent="0.2">
      <c r="BB477" s="94"/>
      <c r="BL477" s="8">
        <v>428</v>
      </c>
      <c r="BM477" s="8">
        <v>6184369.7674190653</v>
      </c>
      <c r="BN477" s="8">
        <v>2686014.1315517374</v>
      </c>
      <c r="BO477" s="8">
        <v>8870383.8989708032</v>
      </c>
      <c r="BP477" s="8">
        <v>6176121.5500051472</v>
      </c>
      <c r="BQ477" s="8">
        <v>-2694262.348965656</v>
      </c>
      <c r="BR477" s="8" t="str">
        <v>Yes</v>
      </c>
    </row>
    <row r="478" spans="54:70" x14ac:dyDescent="0.2">
      <c r="BB478" s="94"/>
      <c r="BL478" s="8">
        <v>429</v>
      </c>
      <c r="BM478" s="8">
        <v>11708739.275113724</v>
      </c>
      <c r="BN478" s="8">
        <v>0</v>
      </c>
      <c r="BO478" s="8">
        <v>11708739.275113724</v>
      </c>
      <c r="BP478" s="8">
        <v>2294758.1758783781</v>
      </c>
      <c r="BQ478" s="8">
        <v>-9413981.0992353465</v>
      </c>
      <c r="BR478" s="8" t="str">
        <v>Yes</v>
      </c>
    </row>
    <row r="479" spans="54:70" x14ac:dyDescent="0.2">
      <c r="BB479" s="94"/>
      <c r="BL479" s="8">
        <v>430</v>
      </c>
      <c r="BM479" s="8">
        <v>2961233.8027054826</v>
      </c>
      <c r="BN479" s="8">
        <v>2520326.6856748508</v>
      </c>
      <c r="BO479" s="8">
        <v>5481560.4883803334</v>
      </c>
      <c r="BP479" s="8">
        <v>3488988.2139225272</v>
      </c>
      <c r="BQ479" s="8">
        <v>-1992572.2744578063</v>
      </c>
      <c r="BR479" s="8" t="str">
        <v>Yes</v>
      </c>
    </row>
    <row r="480" spans="54:70" x14ac:dyDescent="0.2">
      <c r="BB480" s="94"/>
      <c r="BL480" s="8">
        <v>431</v>
      </c>
      <c r="BM480" s="8">
        <v>1782002.300802255</v>
      </c>
      <c r="BN480" s="8">
        <v>589900.18929821253</v>
      </c>
      <c r="BO480" s="8">
        <v>2371902.4901004676</v>
      </c>
      <c r="BP480" s="8">
        <v>6416156.5146521274</v>
      </c>
      <c r="BQ480" s="8">
        <v>4044254.0245516598</v>
      </c>
      <c r="BR480" s="8" t="str">
        <v>No</v>
      </c>
    </row>
    <row r="481" spans="54:70" x14ac:dyDescent="0.2">
      <c r="BB481" s="94"/>
      <c r="BL481" s="8">
        <v>432</v>
      </c>
      <c r="BM481" s="8">
        <v>2546799.3274806952</v>
      </c>
      <c r="BN481" s="8">
        <v>0</v>
      </c>
      <c r="BO481" s="8">
        <v>2546799.3274806952</v>
      </c>
      <c r="BP481" s="8">
        <v>3497325.633915029</v>
      </c>
      <c r="BQ481" s="8">
        <v>950526.30643433379</v>
      </c>
      <c r="BR481" s="8" t="str">
        <v>No</v>
      </c>
    </row>
    <row r="482" spans="54:70" x14ac:dyDescent="0.2">
      <c r="BB482" s="94"/>
      <c r="BL482" s="8">
        <v>433</v>
      </c>
      <c r="BM482" s="8">
        <v>6089880.5505245905</v>
      </c>
      <c r="BN482" s="8">
        <v>0</v>
      </c>
      <c r="BO482" s="8">
        <v>6089880.5505245905</v>
      </c>
      <c r="BP482" s="8">
        <v>4039652.9064823012</v>
      </c>
      <c r="BQ482" s="8">
        <v>-2050227.6440422894</v>
      </c>
      <c r="BR482" s="8" t="str">
        <v>Yes</v>
      </c>
    </row>
    <row r="483" spans="54:70" x14ac:dyDescent="0.2">
      <c r="BB483" s="94"/>
      <c r="BL483" s="8">
        <v>434</v>
      </c>
      <c r="BM483" s="8">
        <v>5436173.3058162937</v>
      </c>
      <c r="BN483" s="8">
        <v>0</v>
      </c>
      <c r="BO483" s="8">
        <v>5436173.3058162937</v>
      </c>
      <c r="BP483" s="8">
        <v>2273920.0920400154</v>
      </c>
      <c r="BQ483" s="8">
        <v>-3162253.2137762783</v>
      </c>
      <c r="BR483" s="8" t="str">
        <v>Yes</v>
      </c>
    </row>
    <row r="484" spans="54:70" x14ac:dyDescent="0.2">
      <c r="BB484" s="94"/>
      <c r="BL484" s="8">
        <v>435</v>
      </c>
      <c r="BM484" s="8">
        <v>4671424.2060534786</v>
      </c>
      <c r="BN484" s="8">
        <v>5255114.0646633003</v>
      </c>
      <c r="BO484" s="8">
        <v>9926538.2707167789</v>
      </c>
      <c r="BP484" s="8">
        <v>4437653.3666066695</v>
      </c>
      <c r="BQ484" s="8">
        <v>-5488884.9041101094</v>
      </c>
      <c r="BR484" s="8" t="str">
        <v>Yes</v>
      </c>
    </row>
    <row r="485" spans="54:70" x14ac:dyDescent="0.2">
      <c r="BB485" s="94"/>
      <c r="BL485" s="8">
        <v>436</v>
      </c>
      <c r="BM485" s="8">
        <v>4932983.0294366302</v>
      </c>
      <c r="BN485" s="8">
        <v>6436014.9089297317</v>
      </c>
      <c r="BO485" s="8">
        <v>11368997.938366361</v>
      </c>
      <c r="BP485" s="8">
        <v>2132092.6682021087</v>
      </c>
      <c r="BQ485" s="8">
        <v>-9236905.2701642513</v>
      </c>
      <c r="BR485" s="8" t="str">
        <v>Yes</v>
      </c>
    </row>
    <row r="486" spans="54:70" x14ac:dyDescent="0.2">
      <c r="BB486" s="94"/>
      <c r="BL486" s="8">
        <v>437</v>
      </c>
      <c r="BM486" s="8">
        <v>3967686.7410575715</v>
      </c>
      <c r="BN486" s="8">
        <v>0</v>
      </c>
      <c r="BO486" s="8">
        <v>3967686.7410575715</v>
      </c>
      <c r="BP486" s="8">
        <v>6505226.8192819823</v>
      </c>
      <c r="BQ486" s="8">
        <v>2537540.0782244108</v>
      </c>
      <c r="BR486" s="8" t="str">
        <v>No</v>
      </c>
    </row>
    <row r="487" spans="54:70" x14ac:dyDescent="0.2">
      <c r="BB487" s="94"/>
      <c r="BL487" s="8">
        <v>438</v>
      </c>
      <c r="BM487" s="8">
        <v>2557031.8912618961</v>
      </c>
      <c r="BN487" s="8">
        <v>1972361.9454186666</v>
      </c>
      <c r="BO487" s="8">
        <v>4529393.8366805632</v>
      </c>
      <c r="BP487" s="8">
        <v>2253076.24445384</v>
      </c>
      <c r="BQ487" s="8">
        <v>-2276317.5922267232</v>
      </c>
      <c r="BR487" s="8" t="str">
        <v>Yes</v>
      </c>
    </row>
    <row r="488" spans="54:70" x14ac:dyDescent="0.2">
      <c r="BB488" s="94"/>
      <c r="BL488" s="8">
        <v>439</v>
      </c>
      <c r="BM488" s="8">
        <v>6967261.7524662334</v>
      </c>
      <c r="BN488" s="8">
        <v>0</v>
      </c>
      <c r="BO488" s="8">
        <v>6967261.7524662334</v>
      </c>
      <c r="BP488" s="8">
        <v>2248305.6969843549</v>
      </c>
      <c r="BQ488" s="8">
        <v>-4718956.055481879</v>
      </c>
      <c r="BR488" s="8" t="str">
        <v>Yes</v>
      </c>
    </row>
    <row r="489" spans="54:70" x14ac:dyDescent="0.2">
      <c r="BB489" s="94"/>
      <c r="BL489" s="8">
        <v>440</v>
      </c>
      <c r="BM489" s="8">
        <v>8746528.1062713508</v>
      </c>
      <c r="BN489" s="8">
        <v>7136304.6416932773</v>
      </c>
      <c r="BO489" s="8">
        <v>15882832.747964628</v>
      </c>
      <c r="BP489" s="8">
        <v>6497806.0275096204</v>
      </c>
      <c r="BQ489" s="8">
        <v>-9385026.7204550076</v>
      </c>
      <c r="BR489" s="8" t="str">
        <v>Yes</v>
      </c>
    </row>
    <row r="490" spans="54:70" x14ac:dyDescent="0.2">
      <c r="BB490" s="94"/>
      <c r="BL490" s="8">
        <v>441</v>
      </c>
      <c r="BM490" s="8">
        <v>6977892.5367857972</v>
      </c>
      <c r="BN490" s="8">
        <v>11016930.543191271</v>
      </c>
      <c r="BO490" s="8">
        <v>17994823.079977069</v>
      </c>
      <c r="BP490" s="8">
        <v>3380205.1217270079</v>
      </c>
      <c r="BQ490" s="8">
        <v>-14614617.958250061</v>
      </c>
      <c r="BR490" s="8" t="str">
        <v>Yes</v>
      </c>
    </row>
    <row r="491" spans="54:70" x14ac:dyDescent="0.2">
      <c r="BB491" s="94"/>
      <c r="BL491" s="8">
        <v>442</v>
      </c>
      <c r="BM491" s="8">
        <v>4516437.7821910465</v>
      </c>
      <c r="BN491" s="8">
        <v>0</v>
      </c>
      <c r="BO491" s="8">
        <v>4516437.7821910465</v>
      </c>
      <c r="BP491" s="8">
        <v>4742644.2223161934</v>
      </c>
      <c r="BQ491" s="8">
        <v>226206.44012514688</v>
      </c>
      <c r="BR491" s="8" t="str">
        <v>No</v>
      </c>
    </row>
    <row r="492" spans="54:70" x14ac:dyDescent="0.2">
      <c r="BB492" s="94"/>
      <c r="BL492" s="8">
        <v>443</v>
      </c>
      <c r="BM492" s="8">
        <v>5161935.3423219966</v>
      </c>
      <c r="BN492" s="8">
        <v>5656543.2503331704</v>
      </c>
      <c r="BO492" s="8">
        <v>10818478.592655167</v>
      </c>
      <c r="BP492" s="8">
        <v>4380691.2921575569</v>
      </c>
      <c r="BQ492" s="8">
        <v>-6437787.3004976101</v>
      </c>
      <c r="BR492" s="8" t="str">
        <v>Yes</v>
      </c>
    </row>
    <row r="493" spans="54:70" x14ac:dyDescent="0.2">
      <c r="BB493" s="94"/>
      <c r="BL493" s="8">
        <v>444</v>
      </c>
      <c r="BM493" s="8">
        <v>8974370.9000724796</v>
      </c>
      <c r="BN493" s="8">
        <v>5160585.895744537</v>
      </c>
      <c r="BO493" s="8">
        <v>14134956.795817018</v>
      </c>
      <c r="BP493" s="8">
        <v>4020959.9182610591</v>
      </c>
      <c r="BQ493" s="8">
        <v>-10113996.877555959</v>
      </c>
      <c r="BR493" s="8" t="str">
        <v>Yes</v>
      </c>
    </row>
    <row r="494" spans="54:70" x14ac:dyDescent="0.2">
      <c r="BB494" s="94"/>
      <c r="BL494" s="8">
        <v>445</v>
      </c>
      <c r="BM494" s="8">
        <v>2507097.9439858077</v>
      </c>
      <c r="BN494" s="8">
        <v>2372639.1473897099</v>
      </c>
      <c r="BO494" s="8">
        <v>4879737.0913755177</v>
      </c>
      <c r="BP494" s="8">
        <v>3651627.1564670317</v>
      </c>
      <c r="BQ494" s="8">
        <v>-1228109.934908486</v>
      </c>
      <c r="BR494" s="8" t="str">
        <v>Yes</v>
      </c>
    </row>
    <row r="495" spans="54:70" x14ac:dyDescent="0.2">
      <c r="BB495" s="94"/>
      <c r="BL495" s="8">
        <v>446</v>
      </c>
      <c r="BM495" s="8">
        <v>11471592.928819293</v>
      </c>
      <c r="BN495" s="8">
        <v>0</v>
      </c>
      <c r="BO495" s="8">
        <v>11471592.928819293</v>
      </c>
      <c r="BP495" s="8">
        <v>6092026.8990232209</v>
      </c>
      <c r="BQ495" s="8">
        <v>-5379566.0297960723</v>
      </c>
      <c r="BR495" s="8" t="str">
        <v>Yes</v>
      </c>
    </row>
    <row r="496" spans="54:70" x14ac:dyDescent="0.2">
      <c r="BB496" s="94"/>
      <c r="BL496" s="8">
        <v>447</v>
      </c>
      <c r="BM496" s="8">
        <v>5547701.8686693069</v>
      </c>
      <c r="BN496" s="8">
        <v>5190412.5983294155</v>
      </c>
      <c r="BO496" s="8">
        <v>10738114.466998722</v>
      </c>
      <c r="BP496" s="8">
        <v>4229738.039052411</v>
      </c>
      <c r="BQ496" s="8">
        <v>-6508376.4279463114</v>
      </c>
      <c r="BR496" s="8" t="str">
        <v>Yes</v>
      </c>
    </row>
    <row r="497" spans="54:70" x14ac:dyDescent="0.2">
      <c r="BB497" s="94"/>
      <c r="BL497" s="8">
        <v>448</v>
      </c>
      <c r="BM497" s="8">
        <v>3845477.6215683222</v>
      </c>
      <c r="BN497" s="8">
        <v>813528.3653413424</v>
      </c>
      <c r="BO497" s="8">
        <v>4659005.9869096642</v>
      </c>
      <c r="BP497" s="8">
        <v>6121856.7646106351</v>
      </c>
      <c r="BQ497" s="8">
        <v>1462850.7777009709</v>
      </c>
      <c r="BR497" s="8" t="str">
        <v>No</v>
      </c>
    </row>
    <row r="498" spans="54:70" x14ac:dyDescent="0.2">
      <c r="BB498" s="94"/>
      <c r="BL498" s="8">
        <v>449</v>
      </c>
      <c r="BM498" s="8">
        <v>1647142.0367561879</v>
      </c>
      <c r="BN498" s="8">
        <v>0</v>
      </c>
      <c r="BO498" s="8">
        <v>1647142.0367561879</v>
      </c>
      <c r="BP498" s="8">
        <v>3269121.5579772121</v>
      </c>
      <c r="BQ498" s="8">
        <v>1621979.5212210242</v>
      </c>
      <c r="BR498" s="8" t="str">
        <v>No</v>
      </c>
    </row>
    <row r="499" spans="54:70" x14ac:dyDescent="0.2">
      <c r="BB499" s="94"/>
      <c r="BL499" s="8">
        <v>450</v>
      </c>
      <c r="BM499" s="8">
        <v>7044992.2510193922</v>
      </c>
      <c r="BN499" s="8">
        <v>7085096.9839027217</v>
      </c>
      <c r="BO499" s="8">
        <v>14130089.234922115</v>
      </c>
      <c r="BP499" s="8">
        <v>3107274.3806634764</v>
      </c>
      <c r="BQ499" s="8">
        <v>-11022814.854258638</v>
      </c>
      <c r="BR499" s="8" t="str">
        <v>Yes</v>
      </c>
    </row>
    <row r="500" spans="54:70" x14ac:dyDescent="0.2">
      <c r="BB500" s="94"/>
      <c r="BL500" s="8">
        <v>451</v>
      </c>
      <c r="BM500" s="8">
        <v>3130290.7684040423</v>
      </c>
      <c r="BN500" s="8">
        <v>4560441.1820842624</v>
      </c>
      <c r="BO500" s="8">
        <v>7690731.9504883047</v>
      </c>
      <c r="BP500" s="8">
        <v>3750767.3804558096</v>
      </c>
      <c r="BQ500" s="8">
        <v>-3939964.5700324951</v>
      </c>
      <c r="BR500" s="8" t="str">
        <v>Yes</v>
      </c>
    </row>
    <row r="501" spans="54:70" x14ac:dyDescent="0.2">
      <c r="BB501" s="94"/>
      <c r="BL501" s="8">
        <v>452</v>
      </c>
      <c r="BM501" s="8">
        <v>5383913.9751577117</v>
      </c>
      <c r="BN501" s="8">
        <v>0</v>
      </c>
      <c r="BO501" s="8">
        <v>5383913.9751577117</v>
      </c>
      <c r="BP501" s="8">
        <v>4310412.3736368744</v>
      </c>
      <c r="BQ501" s="8">
        <v>-1073501.6015208373</v>
      </c>
      <c r="BR501" s="8" t="str">
        <v>Yes</v>
      </c>
    </row>
    <row r="502" spans="54:70" x14ac:dyDescent="0.2">
      <c r="BB502" s="94"/>
      <c r="BL502" s="8">
        <v>453</v>
      </c>
      <c r="BM502" s="8">
        <v>8817608.8224032167</v>
      </c>
      <c r="BN502" s="8">
        <v>11999751.187017294</v>
      </c>
      <c r="BO502" s="8">
        <v>20817360.00942051</v>
      </c>
      <c r="BP502" s="8">
        <v>2128414.9404378319</v>
      </c>
      <c r="BQ502" s="8">
        <v>-18688945.068982679</v>
      </c>
      <c r="BR502" s="8" t="str">
        <v>Yes</v>
      </c>
    </row>
    <row r="503" spans="54:70" x14ac:dyDescent="0.2">
      <c r="BB503" s="94"/>
      <c r="BL503" s="8">
        <v>454</v>
      </c>
      <c r="BM503" s="8">
        <v>5097439.4479142427</v>
      </c>
      <c r="BN503" s="8">
        <v>4021519.5929570096</v>
      </c>
      <c r="BO503" s="8">
        <v>9118959.0408712514</v>
      </c>
      <c r="BP503" s="8">
        <v>6072013.4824409084</v>
      </c>
      <c r="BQ503" s="8">
        <v>-3046945.5584303429</v>
      </c>
      <c r="BR503" s="8" t="str">
        <v>Yes</v>
      </c>
    </row>
    <row r="504" spans="54:70" x14ac:dyDescent="0.2">
      <c r="BB504" s="94"/>
      <c r="BL504" s="8">
        <v>455</v>
      </c>
      <c r="BM504" s="8">
        <v>3511428.5340807205</v>
      </c>
      <c r="BN504" s="8">
        <v>0</v>
      </c>
      <c r="BO504" s="8">
        <v>3511428.5340807205</v>
      </c>
      <c r="BP504" s="8">
        <v>3303762.3700174415</v>
      </c>
      <c r="BQ504" s="8">
        <v>-207666.16406327905</v>
      </c>
      <c r="BR504" s="8" t="str">
        <v>Yes</v>
      </c>
    </row>
    <row r="505" spans="54:70" x14ac:dyDescent="0.2">
      <c r="BB505" s="94"/>
      <c r="BL505" s="8">
        <v>456</v>
      </c>
      <c r="BM505" s="8">
        <v>3372383.2957171919</v>
      </c>
      <c r="BN505" s="8">
        <v>5613487.6102161566</v>
      </c>
      <c r="BO505" s="8">
        <v>8985870.9059333485</v>
      </c>
      <c r="BP505" s="8">
        <v>3243935.5348649141</v>
      </c>
      <c r="BQ505" s="8">
        <v>-5741935.3710684348</v>
      </c>
      <c r="BR505" s="8" t="str">
        <v>Yes</v>
      </c>
    </row>
    <row r="506" spans="54:70" x14ac:dyDescent="0.2">
      <c r="BB506" s="94"/>
      <c r="BL506" s="8">
        <v>457</v>
      </c>
      <c r="BM506" s="8">
        <v>3263990.1411095597</v>
      </c>
      <c r="BN506" s="8">
        <v>0</v>
      </c>
      <c r="BO506" s="8">
        <v>3263990.1411095597</v>
      </c>
      <c r="BP506" s="8">
        <v>4058533.2678561704</v>
      </c>
      <c r="BQ506" s="8">
        <v>794543.12674661074</v>
      </c>
      <c r="BR506" s="8" t="str">
        <v>No</v>
      </c>
    </row>
    <row r="507" spans="54:70" x14ac:dyDescent="0.2">
      <c r="BB507" s="94"/>
      <c r="BL507" s="8">
        <v>458</v>
      </c>
      <c r="BM507" s="8">
        <v>3416260.9890394891</v>
      </c>
      <c r="BN507" s="8">
        <v>2130266.5316347834</v>
      </c>
      <c r="BO507" s="8">
        <v>5546527.5206742724</v>
      </c>
      <c r="BP507" s="8">
        <v>2136226.0532264202</v>
      </c>
      <c r="BQ507" s="8">
        <v>-3410301.4674478523</v>
      </c>
      <c r="BR507" s="8" t="str">
        <v>Yes</v>
      </c>
    </row>
    <row r="508" spans="54:70" x14ac:dyDescent="0.2">
      <c r="BB508" s="94"/>
      <c r="BL508" s="8">
        <v>459</v>
      </c>
      <c r="BM508" s="8">
        <v>4013541.5980737894</v>
      </c>
      <c r="BN508" s="8">
        <v>4573058.8191408757</v>
      </c>
      <c r="BO508" s="8">
        <v>8586600.4172146656</v>
      </c>
      <c r="BP508" s="8">
        <v>3516820.4104769952</v>
      </c>
      <c r="BQ508" s="8">
        <v>-5069780.0067376699</v>
      </c>
      <c r="BR508" s="8" t="str">
        <v>Yes</v>
      </c>
    </row>
    <row r="509" spans="54:70" x14ac:dyDescent="0.2">
      <c r="BB509" s="94"/>
      <c r="BL509" s="8">
        <v>460</v>
      </c>
      <c r="BM509" s="8">
        <v>3868234.1522350516</v>
      </c>
      <c r="BN509" s="8">
        <v>3361393.2436089907</v>
      </c>
      <c r="BO509" s="8">
        <v>7229627.3958440423</v>
      </c>
      <c r="BP509" s="8">
        <v>3281851.4751702268</v>
      </c>
      <c r="BQ509" s="8">
        <v>-3947775.9206738155</v>
      </c>
      <c r="BR509" s="8" t="str">
        <v>Yes</v>
      </c>
    </row>
    <row r="510" spans="54:70" x14ac:dyDescent="0.2">
      <c r="BB510" s="94"/>
      <c r="BL510" s="8">
        <v>461</v>
      </c>
      <c r="BM510" s="8">
        <v>5220062.8025827678</v>
      </c>
      <c r="BN510" s="8">
        <v>3366740.2223179629</v>
      </c>
      <c r="BO510" s="8">
        <v>8586803.0249007307</v>
      </c>
      <c r="BP510" s="8">
        <v>4562887.1112596346</v>
      </c>
      <c r="BQ510" s="8">
        <v>-4023915.9136410961</v>
      </c>
      <c r="BR510" s="8" t="str">
        <v>Yes</v>
      </c>
    </row>
    <row r="511" spans="54:70" x14ac:dyDescent="0.2">
      <c r="BB511" s="94"/>
      <c r="BL511" s="8">
        <v>462</v>
      </c>
      <c r="BM511" s="8">
        <v>2912067.2783022234</v>
      </c>
      <c r="BN511" s="8">
        <v>3245222.5614421666</v>
      </c>
      <c r="BO511" s="8">
        <v>6157289.83974439</v>
      </c>
      <c r="BP511" s="8">
        <v>2183730.1738853031</v>
      </c>
      <c r="BQ511" s="8">
        <v>-3973559.6658590869</v>
      </c>
      <c r="BR511" s="8" t="str">
        <v>Yes</v>
      </c>
    </row>
    <row r="512" spans="54:70" x14ac:dyDescent="0.2">
      <c r="BB512" s="94"/>
      <c r="BL512" s="8">
        <v>463</v>
      </c>
      <c r="BM512" s="8">
        <v>4251189.8991004918</v>
      </c>
      <c r="BN512" s="8">
        <v>0</v>
      </c>
      <c r="BO512" s="8">
        <v>4251189.8991004918</v>
      </c>
      <c r="BP512" s="8">
        <v>6041038.6485593431</v>
      </c>
      <c r="BQ512" s="8">
        <v>1789848.7494588513</v>
      </c>
      <c r="BR512" s="8" t="str">
        <v>No</v>
      </c>
    </row>
    <row r="513" spans="54:70" x14ac:dyDescent="0.2">
      <c r="BB513" s="94"/>
      <c r="BL513" s="8">
        <v>464</v>
      </c>
      <c r="BM513" s="8">
        <v>3842911.638017239</v>
      </c>
      <c r="BN513" s="8">
        <v>0</v>
      </c>
      <c r="BO513" s="8">
        <v>3842911.638017239</v>
      </c>
      <c r="BP513" s="8">
        <v>6089787.9612351609</v>
      </c>
      <c r="BQ513" s="8">
        <v>2246876.3232179219</v>
      </c>
      <c r="BR513" s="8" t="str">
        <v>No</v>
      </c>
    </row>
    <row r="514" spans="54:70" x14ac:dyDescent="0.2">
      <c r="BB514" s="94"/>
      <c r="BL514" s="8">
        <v>465</v>
      </c>
      <c r="BM514" s="8">
        <v>3028926.5250087474</v>
      </c>
      <c r="BN514" s="8">
        <v>1930854.096886992</v>
      </c>
      <c r="BO514" s="8">
        <v>4959780.6218957398</v>
      </c>
      <c r="BP514" s="8">
        <v>3425380.0747887474</v>
      </c>
      <c r="BQ514" s="8">
        <v>-1534400.5471069925</v>
      </c>
      <c r="BR514" s="8" t="str">
        <v>Yes</v>
      </c>
    </row>
    <row r="515" spans="54:70" x14ac:dyDescent="0.2">
      <c r="BB515" s="94"/>
      <c r="BL515" s="8">
        <v>466</v>
      </c>
      <c r="BM515" s="8">
        <v>6554900.9975704206</v>
      </c>
      <c r="BN515" s="8">
        <v>0</v>
      </c>
      <c r="BO515" s="8">
        <v>6554900.9975704206</v>
      </c>
      <c r="BP515" s="8">
        <v>6016889.360031114</v>
      </c>
      <c r="BQ515" s="8">
        <v>-538011.63753930666</v>
      </c>
      <c r="BR515" s="8" t="str">
        <v>Yes</v>
      </c>
    </row>
    <row r="516" spans="54:70" x14ac:dyDescent="0.2">
      <c r="BB516" s="94"/>
      <c r="BL516" s="8">
        <v>467</v>
      </c>
      <c r="BM516" s="8">
        <v>1593514.0142076155</v>
      </c>
      <c r="BN516" s="8">
        <v>1524641.1536696828</v>
      </c>
      <c r="BO516" s="8">
        <v>3118155.1678772983</v>
      </c>
      <c r="BP516" s="8">
        <v>2514752.0388983185</v>
      </c>
      <c r="BQ516" s="8">
        <v>-603403.12897897977</v>
      </c>
      <c r="BR516" s="8" t="str">
        <v>Yes</v>
      </c>
    </row>
    <row r="517" spans="54:70" x14ac:dyDescent="0.2">
      <c r="BB517" s="94"/>
      <c r="BL517" s="8">
        <v>468</v>
      </c>
      <c r="BM517" s="8">
        <v>4472400.8313808199</v>
      </c>
      <c r="BN517" s="8">
        <v>0</v>
      </c>
      <c r="BO517" s="8">
        <v>4472400.8313808199</v>
      </c>
      <c r="BP517" s="8">
        <v>4293759.054311675</v>
      </c>
      <c r="BQ517" s="8">
        <v>-178641.77706914488</v>
      </c>
      <c r="BR517" s="8" t="str">
        <v>Yes</v>
      </c>
    </row>
    <row r="518" spans="54:70" x14ac:dyDescent="0.2">
      <c r="BB518" s="94"/>
      <c r="BL518" s="8">
        <v>469</v>
      </c>
      <c r="BM518" s="8">
        <v>4861517.9234366948</v>
      </c>
      <c r="BN518" s="8">
        <v>0</v>
      </c>
      <c r="BO518" s="8">
        <v>4861517.9234366948</v>
      </c>
      <c r="BP518" s="8">
        <v>6021597.7015210986</v>
      </c>
      <c r="BQ518" s="8">
        <v>1160079.7780844038</v>
      </c>
      <c r="BR518" s="8" t="str">
        <v>No</v>
      </c>
    </row>
    <row r="519" spans="54:70" x14ac:dyDescent="0.2">
      <c r="BB519" s="94"/>
      <c r="BL519" s="8">
        <v>470</v>
      </c>
      <c r="BM519" s="8">
        <v>4088831.3125349288</v>
      </c>
      <c r="BN519" s="8">
        <v>760293.15036069381</v>
      </c>
      <c r="BO519" s="8">
        <v>4849124.4628956225</v>
      </c>
      <c r="BP519" s="8">
        <v>2380887.5709001496</v>
      </c>
      <c r="BQ519" s="8">
        <v>-2468236.8919954728</v>
      </c>
      <c r="BR519" s="8" t="str">
        <v>Yes</v>
      </c>
    </row>
    <row r="520" spans="54:70" x14ac:dyDescent="0.2">
      <c r="BB520" s="94"/>
      <c r="BL520" s="8">
        <v>471</v>
      </c>
      <c r="BM520" s="8">
        <v>4705246.6732671428</v>
      </c>
      <c r="BN520" s="8">
        <v>5198914.5914409962</v>
      </c>
      <c r="BO520" s="8">
        <v>9904161.264708139</v>
      </c>
      <c r="BP520" s="8">
        <v>3076082.9366465323</v>
      </c>
      <c r="BQ520" s="8">
        <v>-6828078.3280616067</v>
      </c>
      <c r="BR520" s="8" t="str">
        <v>Yes</v>
      </c>
    </row>
    <row r="521" spans="54:70" x14ac:dyDescent="0.2">
      <c r="BB521" s="94"/>
      <c r="BL521" s="8">
        <v>472</v>
      </c>
      <c r="BM521" s="8">
        <v>2289229.0613502078</v>
      </c>
      <c r="BN521" s="8">
        <v>0</v>
      </c>
      <c r="BO521" s="8">
        <v>2289229.0613502078</v>
      </c>
      <c r="BP521" s="8">
        <v>3281453.1938610333</v>
      </c>
      <c r="BQ521" s="8">
        <v>992224.13251082553</v>
      </c>
      <c r="BR521" s="8" t="str">
        <v>No</v>
      </c>
    </row>
    <row r="522" spans="54:70" x14ac:dyDescent="0.2">
      <c r="BB522" s="94"/>
      <c r="BL522" s="8">
        <v>473</v>
      </c>
      <c r="BM522" s="8">
        <v>9113653.8259932213</v>
      </c>
      <c r="BN522" s="8">
        <v>7372742.5297718197</v>
      </c>
      <c r="BO522" s="8">
        <v>16486396.355765041</v>
      </c>
      <c r="BP522" s="8">
        <v>3264667.6473168437</v>
      </c>
      <c r="BQ522" s="8">
        <v>-13221728.708448198</v>
      </c>
      <c r="BR522" s="8" t="str">
        <v>Yes</v>
      </c>
    </row>
    <row r="523" spans="54:70" x14ac:dyDescent="0.2">
      <c r="BB523" s="94"/>
      <c r="BL523" s="8">
        <v>474</v>
      </c>
      <c r="BM523" s="8">
        <v>3093888.8290317832</v>
      </c>
      <c r="BN523" s="8">
        <v>0</v>
      </c>
      <c r="BO523" s="8">
        <v>3093888.8290317832</v>
      </c>
      <c r="BP523" s="8">
        <v>3483167.3948710114</v>
      </c>
      <c r="BQ523" s="8">
        <v>389278.56583922822</v>
      </c>
      <c r="BR523" s="8" t="str">
        <v>No</v>
      </c>
    </row>
    <row r="524" spans="54:70" x14ac:dyDescent="0.2">
      <c r="BB524" s="94"/>
      <c r="BL524" s="8">
        <v>475</v>
      </c>
      <c r="BM524" s="8">
        <v>5692734.1200714009</v>
      </c>
      <c r="BN524" s="8">
        <v>0</v>
      </c>
      <c r="BO524" s="8">
        <v>5692734.1200714009</v>
      </c>
      <c r="BP524" s="8">
        <v>6446154.8861387642</v>
      </c>
      <c r="BQ524" s="8">
        <v>753420.76606736332</v>
      </c>
      <c r="BR524" s="8" t="str">
        <v>No</v>
      </c>
    </row>
    <row r="525" spans="54:70" x14ac:dyDescent="0.2">
      <c r="BB525" s="94"/>
      <c r="BL525" s="8">
        <v>476</v>
      </c>
      <c r="BM525" s="8">
        <v>4260463.4218728207</v>
      </c>
      <c r="BN525" s="8">
        <v>0</v>
      </c>
      <c r="BO525" s="8">
        <v>4260463.4218728207</v>
      </c>
      <c r="BP525" s="8">
        <v>3168122.5240653986</v>
      </c>
      <c r="BQ525" s="8">
        <v>-1092340.8978074221</v>
      </c>
      <c r="BR525" s="8" t="str">
        <v>Yes</v>
      </c>
    </row>
    <row r="526" spans="54:70" x14ac:dyDescent="0.2">
      <c r="BB526" s="94"/>
      <c r="BL526" s="8">
        <v>477</v>
      </c>
      <c r="BM526" s="8">
        <v>4244788.3359784223</v>
      </c>
      <c r="BN526" s="8">
        <v>0</v>
      </c>
      <c r="BO526" s="8">
        <v>4244788.3359784223</v>
      </c>
      <c r="BP526" s="8">
        <v>2532270.8153960691</v>
      </c>
      <c r="BQ526" s="8">
        <v>-1712517.5205823532</v>
      </c>
      <c r="BR526" s="8" t="str">
        <v>Yes</v>
      </c>
    </row>
    <row r="527" spans="54:70" x14ac:dyDescent="0.2">
      <c r="BB527" s="94"/>
      <c r="BL527" s="8">
        <v>478</v>
      </c>
      <c r="BM527" s="8">
        <v>3197056.0708297938</v>
      </c>
      <c r="BN527" s="8">
        <v>0</v>
      </c>
      <c r="BO527" s="8">
        <v>3197056.0708297938</v>
      </c>
      <c r="BP527" s="8">
        <v>5960503.1219050139</v>
      </c>
      <c r="BQ527" s="8">
        <v>2763447.0510752201</v>
      </c>
      <c r="BR527" s="8" t="str">
        <v>No</v>
      </c>
    </row>
    <row r="528" spans="54:70" x14ac:dyDescent="0.2">
      <c r="BB528" s="94"/>
      <c r="BL528" s="8">
        <v>479</v>
      </c>
      <c r="BM528" s="8">
        <v>5155501.9174394384</v>
      </c>
      <c r="BN528" s="8">
        <v>0</v>
      </c>
      <c r="BO528" s="8">
        <v>5155501.9174394384</v>
      </c>
      <c r="BP528" s="8">
        <v>4454370.3298157118</v>
      </c>
      <c r="BQ528" s="8">
        <v>-701131.58762372658</v>
      </c>
      <c r="BR528" s="8" t="str">
        <v>Yes</v>
      </c>
    </row>
    <row r="529" spans="54:70" x14ac:dyDescent="0.2">
      <c r="BB529" s="94"/>
      <c r="BL529" s="8">
        <v>480</v>
      </c>
      <c r="BM529" s="8">
        <v>6048616.4384664819</v>
      </c>
      <c r="BN529" s="8">
        <v>0</v>
      </c>
      <c r="BO529" s="8">
        <v>6048616.4384664819</v>
      </c>
      <c r="BP529" s="8">
        <v>6081954.8171170298</v>
      </c>
      <c r="BQ529" s="8">
        <v>33338.378650547937</v>
      </c>
      <c r="BR529" s="8" t="str">
        <v>No</v>
      </c>
    </row>
    <row r="530" spans="54:70" x14ac:dyDescent="0.2">
      <c r="BB530" s="94"/>
      <c r="BL530" s="8">
        <v>481</v>
      </c>
      <c r="BM530" s="8">
        <v>6138553.2392280521</v>
      </c>
      <c r="BN530" s="8">
        <v>8021760.0793218892</v>
      </c>
      <c r="BO530" s="8">
        <v>14160313.318549942</v>
      </c>
      <c r="BP530" s="8">
        <v>3775884.7974035731</v>
      </c>
      <c r="BQ530" s="8">
        <v>-10384428.521146368</v>
      </c>
      <c r="BR530" s="8" t="str">
        <v>Yes</v>
      </c>
    </row>
    <row r="531" spans="54:70" x14ac:dyDescent="0.2">
      <c r="BB531" s="94"/>
      <c r="BL531" s="8">
        <v>482</v>
      </c>
      <c r="BM531" s="8">
        <v>4421564.5925992969</v>
      </c>
      <c r="BN531" s="8">
        <v>0</v>
      </c>
      <c r="BO531" s="8">
        <v>4421564.5925992969</v>
      </c>
      <c r="BP531" s="8">
        <v>2239739.5991782411</v>
      </c>
      <c r="BQ531" s="8">
        <v>-2181824.9934210558</v>
      </c>
      <c r="BR531" s="8" t="str">
        <v>Yes</v>
      </c>
    </row>
    <row r="532" spans="54:70" x14ac:dyDescent="0.2">
      <c r="BB532" s="94"/>
      <c r="BL532" s="8">
        <v>483</v>
      </c>
      <c r="BM532" s="8">
        <v>7192836.3475504275</v>
      </c>
      <c r="BN532" s="8">
        <v>0</v>
      </c>
      <c r="BO532" s="8">
        <v>7192836.3475504275</v>
      </c>
      <c r="BP532" s="8">
        <v>6152383.9929951252</v>
      </c>
      <c r="BQ532" s="8">
        <v>-1040452.3545553023</v>
      </c>
      <c r="BR532" s="8" t="str">
        <v>Yes</v>
      </c>
    </row>
    <row r="533" spans="54:70" x14ac:dyDescent="0.2">
      <c r="BB533" s="94"/>
      <c r="BL533" s="8">
        <v>484</v>
      </c>
      <c r="BM533" s="8">
        <v>3688185.0166438618</v>
      </c>
      <c r="BN533" s="8">
        <v>6194891.3517066035</v>
      </c>
      <c r="BO533" s="8">
        <v>9883076.3683504649</v>
      </c>
      <c r="BP533" s="8">
        <v>3230171.3425517292</v>
      </c>
      <c r="BQ533" s="8">
        <v>-6652905.0257987361</v>
      </c>
      <c r="BR533" s="8" t="str">
        <v>Yes</v>
      </c>
    </row>
    <row r="534" spans="54:70" x14ac:dyDescent="0.2">
      <c r="BB534" s="94"/>
      <c r="BL534" s="8">
        <v>485</v>
      </c>
      <c r="BM534" s="8">
        <v>8601210.5172249191</v>
      </c>
      <c r="BN534" s="8">
        <v>0</v>
      </c>
      <c r="BO534" s="8">
        <v>8601210.5172249191</v>
      </c>
      <c r="BP534" s="8">
        <v>6253359.2534113135</v>
      </c>
      <c r="BQ534" s="8">
        <v>-2347851.2638136055</v>
      </c>
      <c r="BR534" s="8" t="str">
        <v>Yes</v>
      </c>
    </row>
    <row r="535" spans="54:70" x14ac:dyDescent="0.2">
      <c r="BB535" s="94"/>
      <c r="BL535" s="8">
        <v>486</v>
      </c>
      <c r="BM535" s="8">
        <v>4463459.7581908815</v>
      </c>
      <c r="BN535" s="8">
        <v>2066413.5405111136</v>
      </c>
      <c r="BO535" s="8">
        <v>6529873.2987019951</v>
      </c>
      <c r="BP535" s="8">
        <v>3466150.8787666066</v>
      </c>
      <c r="BQ535" s="8">
        <v>-3063722.4199353885</v>
      </c>
      <c r="BR535" s="8" t="str">
        <v>Yes</v>
      </c>
    </row>
    <row r="536" spans="54:70" x14ac:dyDescent="0.2">
      <c r="BB536" s="94"/>
      <c r="BL536" s="8">
        <v>487</v>
      </c>
      <c r="BM536" s="8">
        <v>4852115.6454027072</v>
      </c>
      <c r="BN536" s="8">
        <v>2584810.389760043</v>
      </c>
      <c r="BO536" s="8">
        <v>7436926.0351627506</v>
      </c>
      <c r="BP536" s="8">
        <v>4563101.0483791837</v>
      </c>
      <c r="BQ536" s="8">
        <v>-2873824.9867835669</v>
      </c>
      <c r="BR536" s="8" t="str">
        <v>Yes</v>
      </c>
    </row>
    <row r="537" spans="54:70" x14ac:dyDescent="0.2">
      <c r="BB537" s="94"/>
      <c r="BL537" s="8">
        <v>488</v>
      </c>
      <c r="BM537" s="8">
        <v>3198920.8523044549</v>
      </c>
      <c r="BN537" s="8">
        <v>1980028.4628681899</v>
      </c>
      <c r="BO537" s="8">
        <v>5178949.3151726443</v>
      </c>
      <c r="BP537" s="8">
        <v>6138027.8767454345</v>
      </c>
      <c r="BQ537" s="8">
        <v>959078.56157279015</v>
      </c>
      <c r="BR537" s="8" t="str">
        <v>No</v>
      </c>
    </row>
    <row r="538" spans="54:70" x14ac:dyDescent="0.2">
      <c r="BB538" s="94"/>
      <c r="BL538" s="8">
        <v>489</v>
      </c>
      <c r="BM538" s="8">
        <v>6801599.685671472</v>
      </c>
      <c r="BN538" s="8">
        <v>4289597.1469516978</v>
      </c>
      <c r="BO538" s="8">
        <v>11091196.832623169</v>
      </c>
      <c r="BP538" s="8">
        <v>2345784.2379544154</v>
      </c>
      <c r="BQ538" s="8">
        <v>-8745412.5946687534</v>
      </c>
      <c r="BR538" s="8" t="str">
        <v>Yes</v>
      </c>
    </row>
    <row r="539" spans="54:70" x14ac:dyDescent="0.2">
      <c r="BB539" s="94"/>
      <c r="BL539" s="8">
        <v>490</v>
      </c>
      <c r="BM539" s="8">
        <v>3768572.0686524631</v>
      </c>
      <c r="BN539" s="8">
        <v>0</v>
      </c>
      <c r="BO539" s="8">
        <v>3768572.0686524631</v>
      </c>
      <c r="BP539" s="8">
        <v>4173754.6449365602</v>
      </c>
      <c r="BQ539" s="8">
        <v>405182.57628409704</v>
      </c>
      <c r="BR539" s="8" t="str">
        <v>No</v>
      </c>
    </row>
    <row r="540" spans="54:70" x14ac:dyDescent="0.2">
      <c r="BB540" s="94"/>
      <c r="BL540" s="8">
        <v>491</v>
      </c>
      <c r="BM540" s="8">
        <v>9709400.6929167621</v>
      </c>
      <c r="BN540" s="8">
        <v>1104004.3545777872</v>
      </c>
      <c r="BO540" s="8">
        <v>10813405.047494549</v>
      </c>
      <c r="BP540" s="8">
        <v>6256600.0345251812</v>
      </c>
      <c r="BQ540" s="8">
        <v>-4556805.0129693681</v>
      </c>
      <c r="BR540" s="8" t="str">
        <v>Yes</v>
      </c>
    </row>
    <row r="541" spans="54:70" x14ac:dyDescent="0.2">
      <c r="BB541" s="94"/>
      <c r="BL541" s="8">
        <v>492</v>
      </c>
      <c r="BM541" s="8">
        <v>9723203.1440080479</v>
      </c>
      <c r="BN541" s="8">
        <v>8340105.6763692303</v>
      </c>
      <c r="BO541" s="8">
        <v>18063308.820377279</v>
      </c>
      <c r="BP541" s="8">
        <v>2342870.1532998113</v>
      </c>
      <c r="BQ541" s="8">
        <v>-15720438.667077467</v>
      </c>
      <c r="BR541" s="8" t="str">
        <v>Yes</v>
      </c>
    </row>
    <row r="542" spans="54:70" x14ac:dyDescent="0.2">
      <c r="BB542" s="94"/>
      <c r="BL542" s="8">
        <v>493</v>
      </c>
      <c r="BM542" s="8">
        <v>3324684.0570430169</v>
      </c>
      <c r="BN542" s="8">
        <v>2652574.4548098086</v>
      </c>
      <c r="BO542" s="8">
        <v>5977258.5118528251</v>
      </c>
      <c r="BP542" s="8">
        <v>2109470.616375275</v>
      </c>
      <c r="BQ542" s="8">
        <v>-3867787.8954775501</v>
      </c>
      <c r="BR542" s="8" t="str">
        <v>Yes</v>
      </c>
    </row>
    <row r="543" spans="54:70" x14ac:dyDescent="0.2">
      <c r="BB543" s="94"/>
      <c r="BL543" s="8">
        <v>494</v>
      </c>
      <c r="BM543" s="8">
        <v>6042167.6021099817</v>
      </c>
      <c r="BN543" s="8">
        <v>0</v>
      </c>
      <c r="BO543" s="8">
        <v>6042167.6021099817</v>
      </c>
      <c r="BP543" s="8">
        <v>5897455.5708912015</v>
      </c>
      <c r="BQ543" s="8">
        <v>-144712.0312187802</v>
      </c>
      <c r="BR543" s="8" t="str">
        <v>Yes</v>
      </c>
    </row>
    <row r="544" spans="54:70" x14ac:dyDescent="0.2">
      <c r="BB544" s="94"/>
      <c r="BL544" s="8">
        <v>495</v>
      </c>
      <c r="BM544" s="8">
        <v>9981581.3601115458</v>
      </c>
      <c r="BN544" s="8">
        <v>0</v>
      </c>
      <c r="BO544" s="8">
        <v>9981581.3601115458</v>
      </c>
      <c r="BP544" s="8">
        <v>6493401.1396807926</v>
      </c>
      <c r="BQ544" s="8">
        <v>-3488180.2204307532</v>
      </c>
      <c r="BR544" s="8" t="str">
        <v>Yes</v>
      </c>
    </row>
    <row r="545" spans="54:70" x14ac:dyDescent="0.2">
      <c r="BB545" s="94"/>
      <c r="BL545" s="8">
        <v>496</v>
      </c>
      <c r="BM545" s="8">
        <v>5093861.2652605958</v>
      </c>
      <c r="BN545" s="8">
        <v>3809514.1747170733</v>
      </c>
      <c r="BO545" s="8">
        <v>8903375.4399776682</v>
      </c>
      <c r="BP545" s="8">
        <v>4616280.7726803394</v>
      </c>
      <c r="BQ545" s="8">
        <v>-4287094.6672973288</v>
      </c>
      <c r="BR545" s="8" t="str">
        <v>Yes</v>
      </c>
    </row>
    <row r="546" spans="54:70" x14ac:dyDescent="0.2">
      <c r="BB546" s="94"/>
      <c r="BL546" s="8">
        <v>497</v>
      </c>
      <c r="BM546" s="8">
        <v>5511137.6665148791</v>
      </c>
      <c r="BN546" s="8">
        <v>4833484.9930260396</v>
      </c>
      <c r="BO546" s="8">
        <v>10344622.659540918</v>
      </c>
      <c r="BP546" s="8">
        <v>6007508.9028241411</v>
      </c>
      <c r="BQ546" s="8">
        <v>-4337113.7567167766</v>
      </c>
      <c r="BR546" s="8" t="str">
        <v>Yes</v>
      </c>
    </row>
    <row r="547" spans="54:70" x14ac:dyDescent="0.2">
      <c r="BB547" s="94"/>
      <c r="BL547" s="8">
        <v>498</v>
      </c>
      <c r="BM547" s="8">
        <v>5202688.9197675837</v>
      </c>
      <c r="BN547" s="8">
        <v>3772751.3456064262</v>
      </c>
      <c r="BO547" s="8">
        <v>8975440.2653740104</v>
      </c>
      <c r="BP547" s="8">
        <v>4175754.0952388933</v>
      </c>
      <c r="BQ547" s="8">
        <v>-4799686.1701351171</v>
      </c>
      <c r="BR547" s="8" t="str">
        <v>Yes</v>
      </c>
    </row>
    <row r="548" spans="54:70" x14ac:dyDescent="0.2">
      <c r="BB548" s="94"/>
      <c r="BL548" s="8">
        <v>499</v>
      </c>
      <c r="BM548" s="8">
        <v>4940320.424509312</v>
      </c>
      <c r="BN548" s="8">
        <v>5798124.0322708394</v>
      </c>
      <c r="BO548" s="8">
        <v>10738444.456780151</v>
      </c>
      <c r="BP548" s="8">
        <v>2381223.4633631324</v>
      </c>
      <c r="BQ548" s="8">
        <v>-8357220.9934170181</v>
      </c>
      <c r="BR548" s="8" t="str">
        <v>Yes</v>
      </c>
    </row>
    <row r="549" spans="54:70" x14ac:dyDescent="0.2">
      <c r="BB549" s="94"/>
      <c r="BL549" s="8">
        <v>500</v>
      </c>
      <c r="BM549" s="8">
        <v>11634862.372135192</v>
      </c>
      <c r="BN549" s="8">
        <v>5334156.492422225</v>
      </c>
      <c r="BO549" s="8">
        <v>16969018.864557415</v>
      </c>
      <c r="BP549" s="8">
        <v>3476150.3377705733</v>
      </c>
      <c r="BQ549" s="8">
        <v>-13492868.526786841</v>
      </c>
      <c r="BR549" s="8" t="str">
        <v>Yes</v>
      </c>
    </row>
    <row r="550" spans="54:70" x14ac:dyDescent="0.2">
      <c r="BB550" s="94"/>
      <c r="BL550" s="8">
        <v>501</v>
      </c>
      <c r="BM550" s="8">
        <v>4677080.5404774956</v>
      </c>
      <c r="BN550" s="8">
        <v>0</v>
      </c>
      <c r="BO550" s="8">
        <v>4677080.5404774956</v>
      </c>
      <c r="BP550" s="8">
        <v>2440081.9482609942</v>
      </c>
      <c r="BQ550" s="8">
        <v>-2236998.5922165015</v>
      </c>
      <c r="BR550" s="8" t="str">
        <v>Yes</v>
      </c>
    </row>
    <row r="551" spans="54:70" x14ac:dyDescent="0.2">
      <c r="BB551" s="94"/>
      <c r="BL551" s="8">
        <v>502</v>
      </c>
      <c r="BM551" s="8">
        <v>3114678.5222389456</v>
      </c>
      <c r="BN551" s="8">
        <v>3101870.9342517471</v>
      </c>
      <c r="BO551" s="8">
        <v>6216549.4564906927</v>
      </c>
      <c r="BP551" s="8">
        <v>3653190.8361572456</v>
      </c>
      <c r="BQ551" s="8">
        <v>-2563358.6203334471</v>
      </c>
      <c r="BR551" s="8" t="str">
        <v>Yes</v>
      </c>
    </row>
    <row r="552" spans="54:70" x14ac:dyDescent="0.2">
      <c r="BB552" s="94"/>
      <c r="BL552" s="8">
        <v>503</v>
      </c>
      <c r="BM552" s="8">
        <v>7755090.3947000671</v>
      </c>
      <c r="BN552" s="8">
        <v>0</v>
      </c>
      <c r="BO552" s="8">
        <v>7755090.3947000671</v>
      </c>
      <c r="BP552" s="8">
        <v>4264753.5657808799</v>
      </c>
      <c r="BQ552" s="8">
        <v>-3490336.8289191872</v>
      </c>
      <c r="BR552" s="8" t="str">
        <v>Yes</v>
      </c>
    </row>
    <row r="553" spans="54:70" x14ac:dyDescent="0.2">
      <c r="BB553" s="94"/>
      <c r="BL553" s="8">
        <v>504</v>
      </c>
      <c r="BM553" s="8">
        <v>5972031.1673208978</v>
      </c>
      <c r="BN553" s="8">
        <v>0</v>
      </c>
      <c r="BO553" s="8">
        <v>5972031.1673208978</v>
      </c>
      <c r="BP553" s="8">
        <v>3268129.9986362089</v>
      </c>
      <c r="BQ553" s="8">
        <v>-2703901.1686846889</v>
      </c>
      <c r="BR553" s="8" t="str">
        <v>Yes</v>
      </c>
    </row>
    <row r="554" spans="54:70" x14ac:dyDescent="0.2">
      <c r="BB554" s="94"/>
      <c r="BL554" s="8">
        <v>505</v>
      </c>
      <c r="BM554" s="8">
        <v>4668098.7764057936</v>
      </c>
      <c r="BN554" s="8">
        <v>3966763.7584656058</v>
      </c>
      <c r="BO554" s="8">
        <v>8634862.5348713994</v>
      </c>
      <c r="BP554" s="8">
        <v>3764770.5686466256</v>
      </c>
      <c r="BQ554" s="8">
        <v>-4870091.9662247738</v>
      </c>
      <c r="BR554" s="8" t="str">
        <v>Yes</v>
      </c>
    </row>
    <row r="555" spans="54:70" x14ac:dyDescent="0.2">
      <c r="BB555" s="94"/>
      <c r="BL555" s="8">
        <v>506</v>
      </c>
      <c r="BM555" s="8">
        <v>3088663.3276402382</v>
      </c>
      <c r="BN555" s="8">
        <v>0</v>
      </c>
      <c r="BO555" s="8">
        <v>3088663.3276402382</v>
      </c>
      <c r="BP555" s="8">
        <v>3443281.6829232108</v>
      </c>
      <c r="BQ555" s="8">
        <v>354618.35528297257</v>
      </c>
      <c r="BR555" s="8" t="str">
        <v>No</v>
      </c>
    </row>
    <row r="556" spans="54:70" x14ac:dyDescent="0.2">
      <c r="BB556" s="94"/>
      <c r="BL556" s="8">
        <v>507</v>
      </c>
      <c r="BM556" s="8">
        <v>2732087.7297195951</v>
      </c>
      <c r="BN556" s="8">
        <v>0</v>
      </c>
      <c r="BO556" s="8">
        <v>2732087.7297195951</v>
      </c>
      <c r="BP556" s="8">
        <v>2391787.7982923388</v>
      </c>
      <c r="BQ556" s="8">
        <v>-340299.9314272562</v>
      </c>
      <c r="BR556" s="8" t="str">
        <v>Yes</v>
      </c>
    </row>
    <row r="557" spans="54:70" x14ac:dyDescent="0.2">
      <c r="BB557" s="94"/>
      <c r="BL557" s="8">
        <v>508</v>
      </c>
      <c r="BM557" s="8">
        <v>3519921.3448833972</v>
      </c>
      <c r="BN557" s="8">
        <v>2221100.058991299</v>
      </c>
      <c r="BO557" s="8">
        <v>5741021.4038746962</v>
      </c>
      <c r="BP557" s="8">
        <v>2352447.7824190138</v>
      </c>
      <c r="BQ557" s="8">
        <v>-3388573.6214556824</v>
      </c>
      <c r="BR557" s="8" t="str">
        <v>Yes</v>
      </c>
    </row>
    <row r="558" spans="54:70" x14ac:dyDescent="0.2">
      <c r="BB558" s="94"/>
      <c r="BL558" s="8">
        <v>509</v>
      </c>
      <c r="BM558" s="8">
        <v>3606443.1582734091</v>
      </c>
      <c r="BN558" s="8">
        <v>5436854.2275622673</v>
      </c>
      <c r="BO558" s="8">
        <v>9043297.3858356774</v>
      </c>
      <c r="BP558" s="8">
        <v>2335478.4492834858</v>
      </c>
      <c r="BQ558" s="8">
        <v>-6707818.9365521912</v>
      </c>
      <c r="BR558" s="8" t="str">
        <v>Yes</v>
      </c>
    </row>
    <row r="559" spans="54:70" x14ac:dyDescent="0.2">
      <c r="BB559" s="94"/>
      <c r="BL559" s="8">
        <v>510</v>
      </c>
      <c r="BM559" s="8">
        <v>2863364.4910322032</v>
      </c>
      <c r="BN559" s="8">
        <v>370619.12535912963</v>
      </c>
      <c r="BO559" s="8">
        <v>3233983.6163913328</v>
      </c>
      <c r="BP559" s="8">
        <v>4340423.4127754886</v>
      </c>
      <c r="BQ559" s="8">
        <v>1106439.7963841558</v>
      </c>
      <c r="BR559" s="8" t="str">
        <v>No</v>
      </c>
    </row>
    <row r="560" spans="54:70" x14ac:dyDescent="0.2">
      <c r="BB560" s="94"/>
      <c r="BL560" s="8">
        <v>511</v>
      </c>
      <c r="BM560" s="8">
        <v>4584585.344698092</v>
      </c>
      <c r="BN560" s="8">
        <v>0</v>
      </c>
      <c r="BO560" s="8">
        <v>4584585.344698092</v>
      </c>
      <c r="BP560" s="8">
        <v>6435506.2981389938</v>
      </c>
      <c r="BQ560" s="8">
        <v>1850920.9534409018</v>
      </c>
      <c r="BR560" s="8" t="str">
        <v>No</v>
      </c>
    </row>
    <row r="561" spans="54:70" x14ac:dyDescent="0.2">
      <c r="BB561" s="94"/>
      <c r="BL561" s="8">
        <v>512</v>
      </c>
      <c r="BM561" s="8">
        <v>5990405.1011288594</v>
      </c>
      <c r="BN561" s="8">
        <v>5897865.2222601445</v>
      </c>
      <c r="BO561" s="8">
        <v>11888270.323389005</v>
      </c>
      <c r="BP561" s="8">
        <v>2363716.2228909582</v>
      </c>
      <c r="BQ561" s="8">
        <v>-9524554.1004980467</v>
      </c>
      <c r="BR561" s="8" t="str">
        <v>Yes</v>
      </c>
    </row>
    <row r="562" spans="54:70" x14ac:dyDescent="0.2">
      <c r="BB562" s="94"/>
      <c r="BL562" s="8">
        <v>513</v>
      </c>
      <c r="BM562" s="8">
        <v>3410972.436010588</v>
      </c>
      <c r="BN562" s="8">
        <v>0</v>
      </c>
      <c r="BO562" s="8">
        <v>3410972.436010588</v>
      </c>
      <c r="BP562" s="8">
        <v>6211689.3018770888</v>
      </c>
      <c r="BQ562" s="8">
        <v>2800716.8658665009</v>
      </c>
      <c r="BR562" s="8" t="str">
        <v>No</v>
      </c>
    </row>
    <row r="563" spans="54:70" x14ac:dyDescent="0.2">
      <c r="BB563" s="94"/>
      <c r="BL563" s="8">
        <v>514</v>
      </c>
      <c r="BM563" s="8">
        <v>5000994.2603213824</v>
      </c>
      <c r="BN563" s="8">
        <v>0</v>
      </c>
      <c r="BO563" s="8">
        <v>5000994.2603213824</v>
      </c>
      <c r="BP563" s="8">
        <v>3009709.8281337856</v>
      </c>
      <c r="BQ563" s="8">
        <v>-1991284.4321875968</v>
      </c>
      <c r="BR563" s="8" t="str">
        <v>Yes</v>
      </c>
    </row>
    <row r="564" spans="54:70" x14ac:dyDescent="0.2">
      <c r="BB564" s="94"/>
      <c r="BL564" s="8">
        <v>515</v>
      </c>
      <c r="BM564" s="8">
        <v>3413462.3384808563</v>
      </c>
      <c r="BN564" s="8">
        <v>3601374.7808231232</v>
      </c>
      <c r="BO564" s="8">
        <v>7014837.119303979</v>
      </c>
      <c r="BP564" s="8">
        <v>2011003.5478939328</v>
      </c>
      <c r="BQ564" s="8">
        <v>-5003833.571410046</v>
      </c>
      <c r="BR564" s="8" t="str">
        <v>Yes</v>
      </c>
    </row>
    <row r="565" spans="54:70" x14ac:dyDescent="0.2">
      <c r="BB565" s="94"/>
      <c r="BL565" s="8">
        <v>516</v>
      </c>
      <c r="BM565" s="8">
        <v>7062575.4900471047</v>
      </c>
      <c r="BN565" s="8">
        <v>4815028.0492113521</v>
      </c>
      <c r="BO565" s="8">
        <v>11877603.539258458</v>
      </c>
      <c r="BP565" s="8">
        <v>4372285.1118869539</v>
      </c>
      <c r="BQ565" s="8">
        <v>-7505318.4273715038</v>
      </c>
      <c r="BR565" s="8" t="str">
        <v>Yes</v>
      </c>
    </row>
    <row r="566" spans="54:70" x14ac:dyDescent="0.2">
      <c r="BB566" s="94"/>
      <c r="BL566" s="8">
        <v>517</v>
      </c>
      <c r="BM566" s="8">
        <v>4228454.9236541456</v>
      </c>
      <c r="BN566" s="8">
        <v>0</v>
      </c>
      <c r="BO566" s="8">
        <v>4228454.9236541456</v>
      </c>
      <c r="BP566" s="8">
        <v>6450822.1469339617</v>
      </c>
      <c r="BQ566" s="8">
        <v>2222367.2232798161</v>
      </c>
      <c r="BR566" s="8" t="str">
        <v>No</v>
      </c>
    </row>
    <row r="567" spans="54:70" x14ac:dyDescent="0.2">
      <c r="BB567" s="94"/>
      <c r="BL567" s="8">
        <v>518</v>
      </c>
      <c r="BM567" s="8">
        <v>8623647.8662983477</v>
      </c>
      <c r="BN567" s="8">
        <v>3479297.9634683691</v>
      </c>
      <c r="BO567" s="8">
        <v>12102945.829766717</v>
      </c>
      <c r="BP567" s="8">
        <v>4051073.6953330375</v>
      </c>
      <c r="BQ567" s="8">
        <v>-8051872.1344336793</v>
      </c>
      <c r="BR567" s="8" t="str">
        <v>Yes</v>
      </c>
    </row>
    <row r="568" spans="54:70" x14ac:dyDescent="0.2">
      <c r="BB568" s="94"/>
      <c r="BL568" s="8">
        <v>519</v>
      </c>
      <c r="BM568" s="8">
        <v>7466337.0692641335</v>
      </c>
      <c r="BN568" s="8">
        <v>9001967.1886285059</v>
      </c>
      <c r="BO568" s="8">
        <v>16468304.257892638</v>
      </c>
      <c r="BP568" s="8">
        <v>4597536.9839350078</v>
      </c>
      <c r="BQ568" s="8">
        <v>-11870767.273957631</v>
      </c>
      <c r="BR568" s="8" t="str">
        <v>Yes</v>
      </c>
    </row>
    <row r="569" spans="54:70" x14ac:dyDescent="0.2">
      <c r="BB569" s="94"/>
      <c r="BL569" s="8">
        <v>520</v>
      </c>
      <c r="BM569" s="8">
        <v>2930606.3521113065</v>
      </c>
      <c r="BN569" s="8">
        <v>905268.45147945592</v>
      </c>
      <c r="BO569" s="8">
        <v>3835874.8035907624</v>
      </c>
      <c r="BP569" s="8">
        <v>2232593.5896135778</v>
      </c>
      <c r="BQ569" s="8">
        <v>-1603281.2139771846</v>
      </c>
      <c r="BR569" s="8" t="str">
        <v>Yes</v>
      </c>
    </row>
    <row r="570" spans="54:70" x14ac:dyDescent="0.2">
      <c r="BB570" s="94"/>
      <c r="BL570" s="8">
        <v>521</v>
      </c>
      <c r="BM570" s="8">
        <v>4016145.3731146534</v>
      </c>
      <c r="BN570" s="8">
        <v>3923093.5971209705</v>
      </c>
      <c r="BO570" s="8">
        <v>7939238.9702356234</v>
      </c>
      <c r="BP570" s="8">
        <v>3140489.8209865014</v>
      </c>
      <c r="BQ570" s="8">
        <v>-4798749.1492491215</v>
      </c>
      <c r="BR570" s="8" t="str">
        <v>Yes</v>
      </c>
    </row>
    <row r="571" spans="54:70" x14ac:dyDescent="0.2">
      <c r="BB571" s="94"/>
      <c r="BL571" s="8">
        <v>522</v>
      </c>
      <c r="BM571" s="8">
        <v>5535128.1957156295</v>
      </c>
      <c r="BN571" s="8">
        <v>0</v>
      </c>
      <c r="BO571" s="8">
        <v>5535128.1957156295</v>
      </c>
      <c r="BP571" s="8">
        <v>3263347.3195572095</v>
      </c>
      <c r="BQ571" s="8">
        <v>-2271780.87615842</v>
      </c>
      <c r="BR571" s="8" t="str">
        <v>Yes</v>
      </c>
    </row>
    <row r="572" spans="54:70" x14ac:dyDescent="0.2">
      <c r="BB572" s="94"/>
      <c r="BL572" s="8">
        <v>523</v>
      </c>
      <c r="BM572" s="8">
        <v>7546545.789539367</v>
      </c>
      <c r="BN572" s="8">
        <v>8589041.1505720578</v>
      </c>
      <c r="BO572" s="8">
        <v>16135586.940111425</v>
      </c>
      <c r="BP572" s="8">
        <v>6092501.2788698114</v>
      </c>
      <c r="BQ572" s="8">
        <v>-10043085.661241613</v>
      </c>
      <c r="BR572" s="8" t="str">
        <v>Yes</v>
      </c>
    </row>
    <row r="573" spans="54:70" x14ac:dyDescent="0.2">
      <c r="BB573" s="94"/>
      <c r="BL573" s="8">
        <v>524</v>
      </c>
      <c r="BM573" s="8">
        <v>7596119.4716234338</v>
      </c>
      <c r="BN573" s="8">
        <v>3661056.049220331</v>
      </c>
      <c r="BO573" s="8">
        <v>11257175.520843765</v>
      </c>
      <c r="BP573" s="8">
        <v>4095958.8348169303</v>
      </c>
      <c r="BQ573" s="8">
        <v>-7161216.686026834</v>
      </c>
      <c r="BR573" s="8" t="str">
        <v>Yes</v>
      </c>
    </row>
    <row r="574" spans="54:70" x14ac:dyDescent="0.2">
      <c r="BB574" s="94"/>
      <c r="BL574" s="8">
        <v>525</v>
      </c>
      <c r="BM574" s="8">
        <v>5553285.8463212568</v>
      </c>
      <c r="BN574" s="8">
        <v>0</v>
      </c>
      <c r="BO574" s="8">
        <v>5553285.8463212568</v>
      </c>
      <c r="BP574" s="8">
        <v>2497478.5081285145</v>
      </c>
      <c r="BQ574" s="8">
        <v>-3055807.3381927423</v>
      </c>
      <c r="BR574" s="8" t="str">
        <v>Yes</v>
      </c>
    </row>
    <row r="575" spans="54:70" x14ac:dyDescent="0.2">
      <c r="BB575" s="94"/>
      <c r="BL575" s="8">
        <v>526</v>
      </c>
      <c r="BM575" s="8">
        <v>10397871.230704164</v>
      </c>
      <c r="BN575" s="8">
        <v>0</v>
      </c>
      <c r="BO575" s="8">
        <v>10397871.230704164</v>
      </c>
      <c r="BP575" s="8">
        <v>3260864.6104047652</v>
      </c>
      <c r="BQ575" s="8">
        <v>-7137006.6202993989</v>
      </c>
      <c r="BR575" s="8" t="str">
        <v>Yes</v>
      </c>
    </row>
    <row r="576" spans="54:70" x14ac:dyDescent="0.2">
      <c r="BB576" s="94"/>
      <c r="BL576" s="8">
        <v>527</v>
      </c>
      <c r="BM576" s="8">
        <v>2609502.1632945528</v>
      </c>
      <c r="BN576" s="8">
        <v>1810188.7287327258</v>
      </c>
      <c r="BO576" s="8">
        <v>4419690.8920272784</v>
      </c>
      <c r="BP576" s="8">
        <v>4313359.1645310149</v>
      </c>
      <c r="BQ576" s="8">
        <v>-106331.72749626357</v>
      </c>
      <c r="BR576" s="8" t="str">
        <v>Yes</v>
      </c>
    </row>
    <row r="577" spans="54:70" x14ac:dyDescent="0.2">
      <c r="BB577" s="94"/>
      <c r="BL577" s="8">
        <v>528</v>
      </c>
      <c r="BM577" s="8">
        <v>2043869.2345388294</v>
      </c>
      <c r="BN577" s="8">
        <v>0</v>
      </c>
      <c r="BO577" s="8">
        <v>2043869.2345388294</v>
      </c>
      <c r="BP577" s="8">
        <v>4470143.8346260227</v>
      </c>
      <c r="BQ577" s="8">
        <v>2426274.6000871933</v>
      </c>
      <c r="BR577" s="8" t="str">
        <v>No</v>
      </c>
    </row>
    <row r="578" spans="54:70" x14ac:dyDescent="0.2">
      <c r="BB578" s="94"/>
      <c r="BL578" s="8">
        <v>529</v>
      </c>
      <c r="BM578" s="8">
        <v>2568054.7956858641</v>
      </c>
      <c r="BN578" s="8">
        <v>842405.65826796589</v>
      </c>
      <c r="BO578" s="8">
        <v>3410460.4539538301</v>
      </c>
      <c r="BP578" s="8">
        <v>6485311.2364886664</v>
      </c>
      <c r="BQ578" s="8">
        <v>3074850.7825348363</v>
      </c>
      <c r="BR578" s="8" t="str">
        <v>No</v>
      </c>
    </row>
    <row r="579" spans="54:70" x14ac:dyDescent="0.2">
      <c r="BB579" s="94"/>
      <c r="BL579" s="8">
        <v>530</v>
      </c>
      <c r="BM579" s="8">
        <v>4174501.5656097988</v>
      </c>
      <c r="BN579" s="8">
        <v>0</v>
      </c>
      <c r="BO579" s="8">
        <v>4174501.5656097988</v>
      </c>
      <c r="BP579" s="8">
        <v>4641640.6064755814</v>
      </c>
      <c r="BQ579" s="8">
        <v>467139.04086578265</v>
      </c>
      <c r="BR579" s="8" t="str">
        <v>No</v>
      </c>
    </row>
    <row r="580" spans="54:70" x14ac:dyDescent="0.2">
      <c r="BB580" s="94"/>
      <c r="BL580" s="8">
        <v>531</v>
      </c>
      <c r="BM580" s="8">
        <v>4279280.7889297483</v>
      </c>
      <c r="BN580" s="8">
        <v>991417.21417087852</v>
      </c>
      <c r="BO580" s="8">
        <v>5270698.0031006271</v>
      </c>
      <c r="BP580" s="8">
        <v>3329883.5011980711</v>
      </c>
      <c r="BQ580" s="8">
        <v>-1940814.501902556</v>
      </c>
      <c r="BR580" s="8" t="str">
        <v>Yes</v>
      </c>
    </row>
    <row r="581" spans="54:70" x14ac:dyDescent="0.2">
      <c r="BB581" s="94"/>
      <c r="BL581" s="8">
        <v>532</v>
      </c>
      <c r="BM581" s="8">
        <v>15930424.90292743</v>
      </c>
      <c r="BN581" s="8">
        <v>8764173.3108378965</v>
      </c>
      <c r="BO581" s="8">
        <v>24694598.213765327</v>
      </c>
      <c r="BP581" s="8">
        <v>2337983.7140894663</v>
      </c>
      <c r="BQ581" s="8">
        <v>-22356614.499675862</v>
      </c>
      <c r="BR581" s="8" t="str">
        <v>Yes</v>
      </c>
    </row>
    <row r="582" spans="54:70" x14ac:dyDescent="0.2">
      <c r="BB582" s="94"/>
      <c r="BL582" s="8">
        <v>533</v>
      </c>
      <c r="BM582" s="8">
        <v>3862790.7223196458</v>
      </c>
      <c r="BN582" s="8">
        <v>0</v>
      </c>
      <c r="BO582" s="8">
        <v>3862790.7223196458</v>
      </c>
      <c r="BP582" s="8">
        <v>6458752.6119189523</v>
      </c>
      <c r="BQ582" s="8">
        <v>2595961.8895993065</v>
      </c>
      <c r="BR582" s="8" t="str">
        <v>No</v>
      </c>
    </row>
    <row r="583" spans="54:70" x14ac:dyDescent="0.2">
      <c r="BB583" s="94"/>
      <c r="BL583" s="8">
        <v>534</v>
      </c>
      <c r="BM583" s="8">
        <v>5383478.4845744316</v>
      </c>
      <c r="BN583" s="8">
        <v>7053107.0612967582</v>
      </c>
      <c r="BO583" s="8">
        <v>12436585.545871191</v>
      </c>
      <c r="BP583" s="8">
        <v>2110172.3201676672</v>
      </c>
      <c r="BQ583" s="8">
        <v>-10326413.225703523</v>
      </c>
      <c r="BR583" s="8" t="str">
        <v>Yes</v>
      </c>
    </row>
    <row r="584" spans="54:70" x14ac:dyDescent="0.2">
      <c r="BB584" s="94"/>
      <c r="BL584" s="8">
        <v>535</v>
      </c>
      <c r="BM584" s="8">
        <v>4901993.2569268811</v>
      </c>
      <c r="BN584" s="8">
        <v>0</v>
      </c>
      <c r="BO584" s="8">
        <v>4901993.2569268811</v>
      </c>
      <c r="BP584" s="8">
        <v>6669042.7520505963</v>
      </c>
      <c r="BQ584" s="8">
        <v>1767049.4951237151</v>
      </c>
      <c r="BR584" s="8" t="str">
        <v>No</v>
      </c>
    </row>
    <row r="585" spans="54:70" x14ac:dyDescent="0.2">
      <c r="BB585" s="94"/>
      <c r="BL585" s="8">
        <v>536</v>
      </c>
      <c r="BM585" s="8">
        <v>2436079.3249511807</v>
      </c>
      <c r="BN585" s="8">
        <v>1433200.8529385864</v>
      </c>
      <c r="BO585" s="8">
        <v>3869280.1778897671</v>
      </c>
      <c r="BP585" s="8">
        <v>2283161.1304986444</v>
      </c>
      <c r="BQ585" s="8">
        <v>-1586119.0473911227</v>
      </c>
      <c r="BR585" s="8" t="str">
        <v>Yes</v>
      </c>
    </row>
    <row r="586" spans="54:70" x14ac:dyDescent="0.2">
      <c r="BB586" s="94"/>
      <c r="BL586" s="8">
        <v>537</v>
      </c>
      <c r="BM586" s="8">
        <v>4160586.9800183382</v>
      </c>
      <c r="BN586" s="8">
        <v>0</v>
      </c>
      <c r="BO586" s="8">
        <v>4160586.9800183382</v>
      </c>
      <c r="BP586" s="8">
        <v>2364797.6774585648</v>
      </c>
      <c r="BQ586" s="8">
        <v>-1795789.3025597734</v>
      </c>
      <c r="BR586" s="8" t="str">
        <v>Yes</v>
      </c>
    </row>
    <row r="587" spans="54:70" x14ac:dyDescent="0.2">
      <c r="BB587" s="94"/>
      <c r="BL587" s="8">
        <v>538</v>
      </c>
      <c r="BM587" s="8">
        <v>5499179.5997623447</v>
      </c>
      <c r="BN587" s="8">
        <v>0</v>
      </c>
      <c r="BO587" s="8">
        <v>5499179.5997623447</v>
      </c>
      <c r="BP587" s="8">
        <v>2354081.3893433781</v>
      </c>
      <c r="BQ587" s="8">
        <v>-3145098.2104189666</v>
      </c>
      <c r="BR587" s="8" t="str">
        <v>Yes</v>
      </c>
    </row>
    <row r="588" spans="54:70" x14ac:dyDescent="0.2">
      <c r="BB588" s="94"/>
      <c r="BL588" s="8">
        <v>539</v>
      </c>
      <c r="BM588" s="8">
        <v>3601042.8055526703</v>
      </c>
      <c r="BN588" s="8">
        <v>896758.13816383283</v>
      </c>
      <c r="BO588" s="8">
        <v>4497800.9437165027</v>
      </c>
      <c r="BP588" s="8">
        <v>2417603.9246185366</v>
      </c>
      <c r="BQ588" s="8">
        <v>-2080197.0190979661</v>
      </c>
      <c r="BR588" s="8" t="str">
        <v>Yes</v>
      </c>
    </row>
    <row r="589" spans="54:70" x14ac:dyDescent="0.2">
      <c r="BB589" s="94"/>
      <c r="BL589" s="8">
        <v>540</v>
      </c>
      <c r="BM589" s="8">
        <v>2554146.3360125446</v>
      </c>
      <c r="BN589" s="8">
        <v>0</v>
      </c>
      <c r="BO589" s="8">
        <v>2554146.3360125446</v>
      </c>
      <c r="BP589" s="8">
        <v>2369889.991466471</v>
      </c>
      <c r="BQ589" s="8">
        <v>-184256.34454607358</v>
      </c>
      <c r="BR589" s="8" t="str">
        <v>Yes</v>
      </c>
    </row>
    <row r="590" spans="54:70" x14ac:dyDescent="0.2">
      <c r="BB590" s="94"/>
      <c r="BL590" s="8">
        <v>541</v>
      </c>
      <c r="BM590" s="8">
        <v>4087200.776757312</v>
      </c>
      <c r="BN590" s="8">
        <v>0</v>
      </c>
      <c r="BO590" s="8">
        <v>4087200.776757312</v>
      </c>
      <c r="BP590" s="8">
        <v>2551695.0390674346</v>
      </c>
      <c r="BQ590" s="8">
        <v>-1535505.7376898774</v>
      </c>
      <c r="BR590" s="8" t="str">
        <v>Yes</v>
      </c>
    </row>
    <row r="591" spans="54:70" x14ac:dyDescent="0.2">
      <c r="BB591" s="94"/>
      <c r="BL591" s="8">
        <v>542</v>
      </c>
      <c r="BM591" s="8">
        <v>4210082.5106967837</v>
      </c>
      <c r="BN591" s="8">
        <v>0</v>
      </c>
      <c r="BO591" s="8">
        <v>4210082.5106967837</v>
      </c>
      <c r="BP591" s="8">
        <v>6420300.5439017136</v>
      </c>
      <c r="BQ591" s="8">
        <v>2210218.0332049299</v>
      </c>
      <c r="BR591" s="8" t="str">
        <v>No</v>
      </c>
    </row>
    <row r="592" spans="54:70" x14ac:dyDescent="0.2">
      <c r="BB592" s="94"/>
      <c r="BL592" s="8">
        <v>543</v>
      </c>
      <c r="BM592" s="8">
        <v>8938413.1632375214</v>
      </c>
      <c r="BN592" s="8">
        <v>0</v>
      </c>
      <c r="BO592" s="8">
        <v>8938413.1632375214</v>
      </c>
      <c r="BP592" s="8">
        <v>4047945.7774288394</v>
      </c>
      <c r="BQ592" s="8">
        <v>-4890467.3858086821</v>
      </c>
      <c r="BR592" s="8" t="str">
        <v>Yes</v>
      </c>
    </row>
    <row r="593" spans="54:70" x14ac:dyDescent="0.2">
      <c r="BB593" s="94"/>
      <c r="BL593" s="8">
        <v>544</v>
      </c>
      <c r="BM593" s="8">
        <v>3711855.7200401826</v>
      </c>
      <c r="BN593" s="8">
        <v>3630404.1302764527</v>
      </c>
      <c r="BO593" s="8">
        <v>7342259.8503166353</v>
      </c>
      <c r="BP593" s="8">
        <v>3152645.5918341577</v>
      </c>
      <c r="BQ593" s="8">
        <v>-4189614.2584824776</v>
      </c>
      <c r="BR593" s="8" t="str">
        <v>Yes</v>
      </c>
    </row>
    <row r="594" spans="54:70" x14ac:dyDescent="0.2">
      <c r="BB594" s="94"/>
      <c r="BL594" s="8">
        <v>545</v>
      </c>
      <c r="BM594" s="8">
        <v>4274252.761632706</v>
      </c>
      <c r="BN594" s="8">
        <v>6043814.3459986225</v>
      </c>
      <c r="BO594" s="8">
        <v>10318067.107631329</v>
      </c>
      <c r="BP594" s="8">
        <v>4069203.9167535058</v>
      </c>
      <c r="BQ594" s="8">
        <v>-6248863.1908778232</v>
      </c>
      <c r="BR594" s="8" t="str">
        <v>Yes</v>
      </c>
    </row>
    <row r="595" spans="54:70" x14ac:dyDescent="0.2">
      <c r="BB595" s="94"/>
      <c r="BL595" s="8">
        <v>546</v>
      </c>
      <c r="BM595" s="8">
        <v>6426669.7637048289</v>
      </c>
      <c r="BN595" s="8">
        <v>0</v>
      </c>
      <c r="BO595" s="8">
        <v>6426669.7637048289</v>
      </c>
      <c r="BP595" s="8">
        <v>3286768.0086293607</v>
      </c>
      <c r="BQ595" s="8">
        <v>-3139901.7550754682</v>
      </c>
      <c r="BR595" s="8" t="str">
        <v>Yes</v>
      </c>
    </row>
    <row r="596" spans="54:70" x14ac:dyDescent="0.2">
      <c r="BB596" s="94"/>
      <c r="BL596" s="8">
        <v>547</v>
      </c>
      <c r="BM596" s="8">
        <v>8514585.1331099961</v>
      </c>
      <c r="BN596" s="8">
        <v>7860928.9030852616</v>
      </c>
      <c r="BO596" s="8">
        <v>16375514.036195258</v>
      </c>
      <c r="BP596" s="8">
        <v>6095936.5091831982</v>
      </c>
      <c r="BQ596" s="8">
        <v>-10279577.527012059</v>
      </c>
      <c r="BR596" s="8" t="str">
        <v>Yes</v>
      </c>
    </row>
    <row r="597" spans="54:70" x14ac:dyDescent="0.2">
      <c r="BB597" s="94"/>
      <c r="BL597" s="8">
        <v>548</v>
      </c>
      <c r="BM597" s="8">
        <v>4462392.4047518233</v>
      </c>
      <c r="BN597" s="8">
        <v>4232824.7447055401</v>
      </c>
      <c r="BO597" s="8">
        <v>8695217.1494573634</v>
      </c>
      <c r="BP597" s="8">
        <v>3337451.6000077003</v>
      </c>
      <c r="BQ597" s="8">
        <v>-5357765.5494496636</v>
      </c>
      <c r="BR597" s="8" t="str">
        <v>Yes</v>
      </c>
    </row>
    <row r="598" spans="54:70" x14ac:dyDescent="0.2">
      <c r="BB598" s="94"/>
      <c r="BL598" s="8">
        <v>549</v>
      </c>
      <c r="BM598" s="8">
        <v>4122111.9945358988</v>
      </c>
      <c r="BN598" s="8">
        <v>5247473.6407903731</v>
      </c>
      <c r="BO598" s="8">
        <v>9369585.6353262719</v>
      </c>
      <c r="BP598" s="8">
        <v>2270853.4549010587</v>
      </c>
      <c r="BQ598" s="8">
        <v>-7098732.1804252136</v>
      </c>
      <c r="BR598" s="8" t="str">
        <v>Yes</v>
      </c>
    </row>
    <row r="599" spans="54:70" x14ac:dyDescent="0.2">
      <c r="BB599" s="94"/>
      <c r="BL599" s="8">
        <v>550</v>
      </c>
      <c r="BM599" s="8">
        <v>5342392.9330608435</v>
      </c>
      <c r="BN599" s="8">
        <v>4233851.0874044821</v>
      </c>
      <c r="BO599" s="8">
        <v>9576244.0204653256</v>
      </c>
      <c r="BP599" s="8">
        <v>3282158.1648310544</v>
      </c>
      <c r="BQ599" s="8">
        <v>-6294085.8556342712</v>
      </c>
      <c r="BR599" s="8" t="str">
        <v>Yes</v>
      </c>
    </row>
    <row r="600" spans="54:70" x14ac:dyDescent="0.2">
      <c r="BB600" s="94"/>
      <c r="BL600" s="8">
        <v>551</v>
      </c>
      <c r="BM600" s="8">
        <v>6180112.2053111345</v>
      </c>
      <c r="BN600" s="8">
        <v>0</v>
      </c>
      <c r="BO600" s="8">
        <v>6180112.2053111345</v>
      </c>
      <c r="BP600" s="8">
        <v>3423793.570601088</v>
      </c>
      <c r="BQ600" s="8">
        <v>-2756318.6347100465</v>
      </c>
      <c r="BR600" s="8" t="str">
        <v>Yes</v>
      </c>
    </row>
    <row r="601" spans="54:70" x14ac:dyDescent="0.2">
      <c r="BB601" s="94"/>
      <c r="BL601" s="8">
        <v>552</v>
      </c>
      <c r="BM601" s="8">
        <v>2951018.3662601905</v>
      </c>
      <c r="BN601" s="8">
        <v>0</v>
      </c>
      <c r="BO601" s="8">
        <v>2951018.3662601905</v>
      </c>
      <c r="BP601" s="8">
        <v>4525978.6067425599</v>
      </c>
      <c r="BQ601" s="8">
        <v>1574960.2404823694</v>
      </c>
      <c r="BR601" s="8" t="str">
        <v>No</v>
      </c>
    </row>
    <row r="602" spans="54:70" x14ac:dyDescent="0.2">
      <c r="BB602" s="94"/>
      <c r="BL602" s="8">
        <v>553</v>
      </c>
      <c r="BM602" s="8">
        <v>11707612.572426159</v>
      </c>
      <c r="BN602" s="8">
        <v>9917958.27557851</v>
      </c>
      <c r="BO602" s="8">
        <v>21625570.848004669</v>
      </c>
      <c r="BP602" s="8">
        <v>6075710.4830475086</v>
      </c>
      <c r="BQ602" s="8">
        <v>-15549860.364957161</v>
      </c>
      <c r="BR602" s="8" t="str">
        <v>Yes</v>
      </c>
    </row>
    <row r="603" spans="54:70" x14ac:dyDescent="0.2">
      <c r="BB603" s="94"/>
      <c r="BL603" s="8">
        <v>554</v>
      </c>
      <c r="BM603" s="8">
        <v>4824830.9522015611</v>
      </c>
      <c r="BN603" s="8">
        <v>0</v>
      </c>
      <c r="BO603" s="8">
        <v>4824830.9522015611</v>
      </c>
      <c r="BP603" s="8">
        <v>3307979.8556316518</v>
      </c>
      <c r="BQ603" s="8">
        <v>-1516851.0965699092</v>
      </c>
      <c r="BR603" s="8" t="str">
        <v>Yes</v>
      </c>
    </row>
    <row r="604" spans="54:70" x14ac:dyDescent="0.2">
      <c r="BB604" s="94"/>
      <c r="BL604" s="8">
        <v>555</v>
      </c>
      <c r="BM604" s="8">
        <v>2325915.278851205</v>
      </c>
      <c r="BN604" s="8">
        <v>1575943.842308617</v>
      </c>
      <c r="BO604" s="8">
        <v>3901859.1211598217</v>
      </c>
      <c r="BP604" s="8">
        <v>3733818.0091932984</v>
      </c>
      <c r="BQ604" s="8">
        <v>-168041.11196652334</v>
      </c>
      <c r="BR604" s="8" t="str">
        <v>Yes</v>
      </c>
    </row>
    <row r="605" spans="54:70" x14ac:dyDescent="0.2">
      <c r="BB605" s="94"/>
      <c r="BL605" s="8">
        <v>556</v>
      </c>
      <c r="BM605" s="8">
        <v>4854048.7090605665</v>
      </c>
      <c r="BN605" s="8">
        <v>0</v>
      </c>
      <c r="BO605" s="8">
        <v>4854048.7090605665</v>
      </c>
      <c r="BP605" s="8">
        <v>2099229.4676506971</v>
      </c>
      <c r="BQ605" s="8">
        <v>-2754819.2414098694</v>
      </c>
      <c r="BR605" s="8" t="str">
        <v>Yes</v>
      </c>
    </row>
    <row r="606" spans="54:70" x14ac:dyDescent="0.2">
      <c r="BB606" s="94"/>
      <c r="BL606" s="8">
        <v>557</v>
      </c>
      <c r="BM606" s="8">
        <v>2835798.3197558224</v>
      </c>
      <c r="BN606" s="8">
        <v>0</v>
      </c>
      <c r="BO606" s="8">
        <v>2835798.3197558224</v>
      </c>
      <c r="BP606" s="8">
        <v>4562932.0364835057</v>
      </c>
      <c r="BQ606" s="8">
        <v>1727133.7167276833</v>
      </c>
      <c r="BR606" s="8" t="str">
        <v>No</v>
      </c>
    </row>
    <row r="607" spans="54:70" x14ac:dyDescent="0.2">
      <c r="BB607" s="94"/>
      <c r="BL607" s="8">
        <v>558</v>
      </c>
      <c r="BM607" s="8">
        <v>3178423.6842291378</v>
      </c>
      <c r="BN607" s="8">
        <v>4337105.0210973853</v>
      </c>
      <c r="BO607" s="8">
        <v>7515528.7053265236</v>
      </c>
      <c r="BP607" s="8">
        <v>3371509.888504752</v>
      </c>
      <c r="BQ607" s="8">
        <v>-4144018.8168217717</v>
      </c>
      <c r="BR607" s="8" t="str">
        <v>Yes</v>
      </c>
    </row>
    <row r="608" spans="54:70" x14ac:dyDescent="0.2">
      <c r="BB608" s="94"/>
      <c r="BL608" s="8">
        <v>559</v>
      </c>
      <c r="BM608" s="8">
        <v>4550547.7214192795</v>
      </c>
      <c r="BN608" s="8">
        <v>5144800.9424587954</v>
      </c>
      <c r="BO608" s="8">
        <v>9695348.6638780758</v>
      </c>
      <c r="BP608" s="8">
        <v>4265698.6252245577</v>
      </c>
      <c r="BQ608" s="8">
        <v>-5429650.0386535181</v>
      </c>
      <c r="BR608" s="8" t="str">
        <v>Yes</v>
      </c>
    </row>
    <row r="609" spans="54:70" x14ac:dyDescent="0.2">
      <c r="BB609" s="94"/>
      <c r="BL609" s="8">
        <v>560</v>
      </c>
      <c r="BM609" s="8">
        <v>3563764.6955046328</v>
      </c>
      <c r="BN609" s="8">
        <v>0</v>
      </c>
      <c r="BO609" s="8">
        <v>3563764.6955046328</v>
      </c>
      <c r="BP609" s="8">
        <v>6284154.3831561096</v>
      </c>
      <c r="BQ609" s="8">
        <v>2720389.6876514768</v>
      </c>
      <c r="BR609" s="8" t="str">
        <v>No</v>
      </c>
    </row>
    <row r="610" spans="54:70" x14ac:dyDescent="0.2">
      <c r="BB610" s="94"/>
      <c r="BL610" s="8">
        <v>561</v>
      </c>
      <c r="BM610" s="8">
        <v>6515289.2662705928</v>
      </c>
      <c r="BN610" s="8">
        <v>9739414.4865293372</v>
      </c>
      <c r="BO610" s="8">
        <v>16254703.75279993</v>
      </c>
      <c r="BP610" s="8">
        <v>4176311.8021837524</v>
      </c>
      <c r="BQ610" s="8">
        <v>-12078391.950616177</v>
      </c>
      <c r="BR610" s="8" t="str">
        <v>Yes</v>
      </c>
    </row>
    <row r="611" spans="54:70" x14ac:dyDescent="0.2">
      <c r="BB611" s="94"/>
      <c r="BL611" s="8">
        <v>562</v>
      </c>
      <c r="BM611" s="8">
        <v>4305365.9400942922</v>
      </c>
      <c r="BN611" s="8">
        <v>0</v>
      </c>
      <c r="BO611" s="8">
        <v>4305365.9400942922</v>
      </c>
      <c r="BP611" s="8">
        <v>3552235.5538854096</v>
      </c>
      <c r="BQ611" s="8">
        <v>-753130.38620888256</v>
      </c>
      <c r="BR611" s="8" t="str">
        <v>Yes</v>
      </c>
    </row>
    <row r="612" spans="54:70" x14ac:dyDescent="0.2">
      <c r="BB612" s="94"/>
      <c r="BL612" s="8">
        <v>563</v>
      </c>
      <c r="BM612" s="8">
        <v>1783438.5390086547</v>
      </c>
      <c r="BN612" s="8">
        <v>0</v>
      </c>
      <c r="BO612" s="8">
        <v>1783438.5390086547</v>
      </c>
      <c r="BP612" s="8">
        <v>3424906.4833664568</v>
      </c>
      <c r="BQ612" s="8">
        <v>1641467.9443578022</v>
      </c>
      <c r="BR612" s="8" t="str">
        <v>No</v>
      </c>
    </row>
    <row r="613" spans="54:70" x14ac:dyDescent="0.2">
      <c r="BB613" s="94"/>
      <c r="BL613" s="8">
        <v>564</v>
      </c>
      <c r="BM613" s="8">
        <v>11265994.177517593</v>
      </c>
      <c r="BN613" s="8">
        <v>4037895.801207582</v>
      </c>
      <c r="BO613" s="8">
        <v>15303889.978725174</v>
      </c>
      <c r="BP613" s="8">
        <v>3641651.4319615625</v>
      </c>
      <c r="BQ613" s="8">
        <v>-11662238.546763612</v>
      </c>
      <c r="BR613" s="8" t="str">
        <v>Yes</v>
      </c>
    </row>
    <row r="614" spans="54:70" x14ac:dyDescent="0.2">
      <c r="BB614" s="94"/>
      <c r="BL614" s="8">
        <v>565</v>
      </c>
      <c r="BM614" s="8">
        <v>2732130.4619480721</v>
      </c>
      <c r="BN614" s="8">
        <v>1396693.8824649071</v>
      </c>
      <c r="BO614" s="8">
        <v>4128824.3444129792</v>
      </c>
      <c r="BP614" s="8">
        <v>2358641.3700840073</v>
      </c>
      <c r="BQ614" s="8">
        <v>-1770182.9743289719</v>
      </c>
      <c r="BR614" s="8" t="str">
        <v>Yes</v>
      </c>
    </row>
    <row r="615" spans="54:70" x14ac:dyDescent="0.2">
      <c r="BB615" s="94"/>
      <c r="BL615" s="8">
        <v>566</v>
      </c>
      <c r="BM615" s="8">
        <v>4250547.5664094985</v>
      </c>
      <c r="BN615" s="8">
        <v>0</v>
      </c>
      <c r="BO615" s="8">
        <v>4250547.5664094985</v>
      </c>
      <c r="BP615" s="8">
        <v>5260520.0532804523</v>
      </c>
      <c r="BQ615" s="8">
        <v>1009972.4868709538</v>
      </c>
      <c r="BR615" s="8" t="str">
        <v>No</v>
      </c>
    </row>
    <row r="616" spans="54:70" x14ac:dyDescent="0.2">
      <c r="BB616" s="94"/>
      <c r="BL616" s="8">
        <v>567</v>
      </c>
      <c r="BM616" s="8">
        <v>3319369.8257978633</v>
      </c>
      <c r="BN616" s="8">
        <v>0</v>
      </c>
      <c r="BO616" s="8">
        <v>3319369.8257978633</v>
      </c>
      <c r="BP616" s="8">
        <v>3609869.0184742464</v>
      </c>
      <c r="BQ616" s="8">
        <v>290499.19267638307</v>
      </c>
      <c r="BR616" s="8" t="str">
        <v>No</v>
      </c>
    </row>
    <row r="617" spans="54:70" x14ac:dyDescent="0.2">
      <c r="BB617" s="94"/>
      <c r="BL617" s="8">
        <v>568</v>
      </c>
      <c r="BM617" s="8">
        <v>4295055.9961856743</v>
      </c>
      <c r="BN617" s="8">
        <v>2608585.8026755215</v>
      </c>
      <c r="BO617" s="8">
        <v>6903641.7988611963</v>
      </c>
      <c r="BP617" s="8">
        <v>3489834.8795567024</v>
      </c>
      <c r="BQ617" s="8">
        <v>-3413806.9193044938</v>
      </c>
      <c r="BR617" s="8" t="str">
        <v>Yes</v>
      </c>
    </row>
    <row r="618" spans="54:70" x14ac:dyDescent="0.2">
      <c r="BB618" s="94"/>
      <c r="BL618" s="8">
        <v>569</v>
      </c>
      <c r="BM618" s="8">
        <v>1980557.1945539489</v>
      </c>
      <c r="BN618" s="8">
        <v>0</v>
      </c>
      <c r="BO618" s="8">
        <v>1980557.1945539489</v>
      </c>
      <c r="BP618" s="8">
        <v>3441444.727357659</v>
      </c>
      <c r="BQ618" s="8">
        <v>1460887.5328037101</v>
      </c>
      <c r="BR618" s="8" t="str">
        <v>No</v>
      </c>
    </row>
    <row r="619" spans="54:70" x14ac:dyDescent="0.2">
      <c r="BB619" s="94"/>
      <c r="BL619" s="8">
        <v>570</v>
      </c>
      <c r="BM619" s="8">
        <v>5100613.8119401438</v>
      </c>
      <c r="BN619" s="8">
        <v>4586906.433728883</v>
      </c>
      <c r="BO619" s="8">
        <v>9687520.2456690259</v>
      </c>
      <c r="BP619" s="8">
        <v>3243669.5235466636</v>
      </c>
      <c r="BQ619" s="8">
        <v>-6443850.7221223619</v>
      </c>
      <c r="BR619" s="8" t="str">
        <v>Yes</v>
      </c>
    </row>
    <row r="620" spans="54:70" x14ac:dyDescent="0.2">
      <c r="BB620" s="94"/>
      <c r="BL620" s="8">
        <v>571</v>
      </c>
      <c r="BM620" s="8">
        <v>3178913.3295450723</v>
      </c>
      <c r="BN620" s="8">
        <v>0</v>
      </c>
      <c r="BO620" s="8">
        <v>3178913.3295450723</v>
      </c>
      <c r="BP620" s="8">
        <v>2196318.764203019</v>
      </c>
      <c r="BQ620" s="8">
        <v>-982594.56534205331</v>
      </c>
      <c r="BR620" s="8" t="str">
        <v>Yes</v>
      </c>
    </row>
    <row r="621" spans="54:70" x14ac:dyDescent="0.2">
      <c r="BB621" s="94"/>
      <c r="BL621" s="8">
        <v>572</v>
      </c>
      <c r="BM621" s="8">
        <v>6655134.6227342878</v>
      </c>
      <c r="BN621" s="8">
        <v>12146959.131229699</v>
      </c>
      <c r="BO621" s="8">
        <v>18802093.753963985</v>
      </c>
      <c r="BP621" s="8">
        <v>2069437.9578677223</v>
      </c>
      <c r="BQ621" s="8">
        <v>-16732655.796096262</v>
      </c>
      <c r="BR621" s="8" t="str">
        <v>Yes</v>
      </c>
    </row>
    <row r="622" spans="54:70" x14ac:dyDescent="0.2">
      <c r="BB622" s="94"/>
      <c r="BL622" s="8">
        <v>573</v>
      </c>
      <c r="BM622" s="8">
        <v>2836396.4856190444</v>
      </c>
      <c r="BN622" s="8">
        <v>0</v>
      </c>
      <c r="BO622" s="8">
        <v>2836396.4856190444</v>
      </c>
      <c r="BP622" s="8">
        <v>2296148.3640790689</v>
      </c>
      <c r="BQ622" s="8">
        <v>-540248.12153997552</v>
      </c>
      <c r="BR622" s="8" t="str">
        <v>Yes</v>
      </c>
    </row>
    <row r="623" spans="54:70" x14ac:dyDescent="0.2">
      <c r="BB623" s="94"/>
      <c r="BL623" s="8">
        <v>574</v>
      </c>
      <c r="BM623" s="8">
        <v>3449888.6951250965</v>
      </c>
      <c r="BN623" s="8">
        <v>0</v>
      </c>
      <c r="BO623" s="8">
        <v>3449888.6951250965</v>
      </c>
      <c r="BP623" s="8">
        <v>2537014.2207490508</v>
      </c>
      <c r="BQ623" s="8">
        <v>-912874.47437604563</v>
      </c>
      <c r="BR623" s="8" t="str">
        <v>Yes</v>
      </c>
    </row>
    <row r="624" spans="54:70" x14ac:dyDescent="0.2">
      <c r="BB624" s="94"/>
      <c r="BL624" s="8">
        <v>575</v>
      </c>
      <c r="BM624" s="8">
        <v>3125575.3848099848</v>
      </c>
      <c r="BN624" s="8">
        <v>0</v>
      </c>
      <c r="BO624" s="8">
        <v>3125575.3848099848</v>
      </c>
      <c r="BP624" s="8">
        <v>3256289.6039733062</v>
      </c>
      <c r="BQ624" s="8">
        <v>130714.21916332142</v>
      </c>
      <c r="BR624" s="8" t="str">
        <v>No</v>
      </c>
    </row>
    <row r="625" spans="54:70" x14ac:dyDescent="0.2">
      <c r="BB625" s="94"/>
      <c r="BL625" s="8">
        <v>576</v>
      </c>
      <c r="BM625" s="8">
        <v>3127712.8927469407</v>
      </c>
      <c r="BN625" s="8">
        <v>2127887.7147326577</v>
      </c>
      <c r="BO625" s="8">
        <v>5255600.6074795984</v>
      </c>
      <c r="BP625" s="8">
        <v>3705917.8281760486</v>
      </c>
      <c r="BQ625" s="8">
        <v>-1549682.7793035498</v>
      </c>
      <c r="BR625" s="8" t="str">
        <v>Yes</v>
      </c>
    </row>
    <row r="626" spans="54:70" x14ac:dyDescent="0.2">
      <c r="BB626" s="94"/>
      <c r="BL626" s="8">
        <v>577</v>
      </c>
      <c r="BM626" s="8">
        <v>7812870.3573528361</v>
      </c>
      <c r="BN626" s="8">
        <v>6345030.0304308208</v>
      </c>
      <c r="BO626" s="8">
        <v>14157900.387783658</v>
      </c>
      <c r="BP626" s="8">
        <v>3290060.0355665516</v>
      </c>
      <c r="BQ626" s="8">
        <v>-10867840.352217106</v>
      </c>
      <c r="BR626" s="8" t="str">
        <v>Yes</v>
      </c>
    </row>
    <row r="627" spans="54:70" x14ac:dyDescent="0.2">
      <c r="BB627" s="94"/>
      <c r="BL627" s="8">
        <v>578</v>
      </c>
      <c r="BM627" s="8">
        <v>4614965.2889629537</v>
      </c>
      <c r="BN627" s="8">
        <v>0</v>
      </c>
      <c r="BO627" s="8">
        <v>4614965.2889629537</v>
      </c>
      <c r="BP627" s="8">
        <v>2376429.3915743344</v>
      </c>
      <c r="BQ627" s="8">
        <v>-2238535.8973886194</v>
      </c>
      <c r="BR627" s="8" t="str">
        <v>Yes</v>
      </c>
    </row>
    <row r="628" spans="54:70" x14ac:dyDescent="0.2">
      <c r="BB628" s="94"/>
      <c r="BL628" s="8">
        <v>579</v>
      </c>
      <c r="BM628" s="8">
        <v>4660489.0582463294</v>
      </c>
      <c r="BN628" s="8">
        <v>0</v>
      </c>
      <c r="BO628" s="8">
        <v>4660489.0582463294</v>
      </c>
      <c r="BP628" s="8">
        <v>6184908.0474628024</v>
      </c>
      <c r="BQ628" s="8">
        <v>1524418.989216473</v>
      </c>
      <c r="BR628" s="8" t="str">
        <v>No</v>
      </c>
    </row>
    <row r="629" spans="54:70" x14ac:dyDescent="0.2">
      <c r="BB629" s="94"/>
      <c r="BL629" s="8">
        <v>580</v>
      </c>
      <c r="BM629" s="8">
        <v>2796412.4040087652</v>
      </c>
      <c r="BN629" s="8">
        <v>0</v>
      </c>
      <c r="BO629" s="8">
        <v>2796412.4040087652</v>
      </c>
      <c r="BP629" s="8">
        <v>6288251.8782367967</v>
      </c>
      <c r="BQ629" s="8">
        <v>3491839.4742280315</v>
      </c>
      <c r="BR629" s="8" t="str">
        <v>No</v>
      </c>
    </row>
    <row r="630" spans="54:70" x14ac:dyDescent="0.2">
      <c r="BB630" s="94"/>
      <c r="BL630" s="8">
        <v>581</v>
      </c>
      <c r="BM630" s="8">
        <v>1439613.8757386724</v>
      </c>
      <c r="BN630" s="8">
        <v>0</v>
      </c>
      <c r="BO630" s="8">
        <v>1439613.8757386724</v>
      </c>
      <c r="BP630" s="8">
        <v>2300093.8792043747</v>
      </c>
      <c r="BQ630" s="8">
        <v>860480.00346570229</v>
      </c>
      <c r="BR630" s="8" t="str">
        <v>No</v>
      </c>
    </row>
    <row r="631" spans="54:70" x14ac:dyDescent="0.2">
      <c r="BB631" s="94"/>
      <c r="BL631" s="8">
        <v>582</v>
      </c>
      <c r="BM631" s="8">
        <v>7365154.1885778569</v>
      </c>
      <c r="BN631" s="8">
        <v>7773494.3950033365</v>
      </c>
      <c r="BO631" s="8">
        <v>15138648.583581194</v>
      </c>
      <c r="BP631" s="8">
        <v>6981994.9996005008</v>
      </c>
      <c r="BQ631" s="8">
        <v>-8156653.5839806935</v>
      </c>
      <c r="BR631" s="8" t="str">
        <v>Yes</v>
      </c>
    </row>
    <row r="632" spans="54:70" x14ac:dyDescent="0.2">
      <c r="BB632" s="94"/>
      <c r="BL632" s="8">
        <v>583</v>
      </c>
      <c r="BM632" s="8">
        <v>5778252.8781035217</v>
      </c>
      <c r="BN632" s="8">
        <v>0</v>
      </c>
      <c r="BO632" s="8">
        <v>5778252.8781035217</v>
      </c>
      <c r="BP632" s="8">
        <v>3691551.0800746474</v>
      </c>
      <c r="BQ632" s="8">
        <v>-2086701.7980288742</v>
      </c>
      <c r="BR632" s="8" t="str">
        <v>Yes</v>
      </c>
    </row>
    <row r="633" spans="54:70" x14ac:dyDescent="0.2">
      <c r="BB633" s="94"/>
      <c r="BL633" s="8">
        <v>584</v>
      </c>
      <c r="BM633" s="8">
        <v>6348002.7990289815</v>
      </c>
      <c r="BN633" s="8">
        <v>0</v>
      </c>
      <c r="BO633" s="8">
        <v>6348002.7990289815</v>
      </c>
      <c r="BP633" s="8">
        <v>3196546.3065441935</v>
      </c>
      <c r="BQ633" s="8">
        <v>-3151456.4924847879</v>
      </c>
      <c r="BR633" s="8" t="str">
        <v>Yes</v>
      </c>
    </row>
    <row r="634" spans="54:70" x14ac:dyDescent="0.2">
      <c r="BB634" s="94"/>
      <c r="BL634" s="8">
        <v>585</v>
      </c>
      <c r="BM634" s="8">
        <v>4284228.719878166</v>
      </c>
      <c r="BN634" s="8">
        <v>0</v>
      </c>
      <c r="BO634" s="8">
        <v>4284228.719878166</v>
      </c>
      <c r="BP634" s="8">
        <v>3430127.1249759039</v>
      </c>
      <c r="BQ634" s="8">
        <v>-854101.59490226209</v>
      </c>
      <c r="BR634" s="8" t="str">
        <v>Yes</v>
      </c>
    </row>
    <row r="635" spans="54:70" x14ac:dyDescent="0.2">
      <c r="BB635" s="94"/>
      <c r="BL635" s="8">
        <v>586</v>
      </c>
      <c r="BM635" s="8">
        <v>4959563.2770071626</v>
      </c>
      <c r="BN635" s="8">
        <v>892618.64419672999</v>
      </c>
      <c r="BO635" s="8">
        <v>5852181.9212038927</v>
      </c>
      <c r="BP635" s="8">
        <v>6674992.4747610046</v>
      </c>
      <c r="BQ635" s="8">
        <v>822810.55355711188</v>
      </c>
      <c r="BR635" s="8" t="str">
        <v>No</v>
      </c>
    </row>
    <row r="636" spans="54:70" x14ac:dyDescent="0.2">
      <c r="BB636" s="94"/>
      <c r="BL636" s="8">
        <v>587</v>
      </c>
      <c r="BM636" s="8">
        <v>2571488.8578874301</v>
      </c>
      <c r="BN636" s="8">
        <v>0</v>
      </c>
      <c r="BO636" s="8">
        <v>2571488.8578874301</v>
      </c>
      <c r="BP636" s="8">
        <v>3238794.9448580318</v>
      </c>
      <c r="BQ636" s="8">
        <v>667306.0869706017</v>
      </c>
      <c r="BR636" s="8" t="str">
        <v>No</v>
      </c>
    </row>
    <row r="637" spans="54:70" x14ac:dyDescent="0.2">
      <c r="BB637" s="94"/>
      <c r="BL637" s="8">
        <v>588</v>
      </c>
      <c r="BM637" s="8">
        <v>3199412.6842559222</v>
      </c>
      <c r="BN637" s="8">
        <v>2759810.1210843166</v>
      </c>
      <c r="BO637" s="8">
        <v>5959222.8053402388</v>
      </c>
      <c r="BP637" s="8">
        <v>2459452.71253369</v>
      </c>
      <c r="BQ637" s="8">
        <v>-3499770.0928065488</v>
      </c>
      <c r="BR637" s="8" t="str">
        <v>Yes</v>
      </c>
    </row>
    <row r="638" spans="54:70" x14ac:dyDescent="0.2">
      <c r="BB638" s="94"/>
      <c r="BL638" s="8">
        <v>589</v>
      </c>
      <c r="BM638" s="8">
        <v>2539736.5170089174</v>
      </c>
      <c r="BN638" s="8">
        <v>2983822.4654370621</v>
      </c>
      <c r="BO638" s="8">
        <v>5523558.9824459795</v>
      </c>
      <c r="BP638" s="8">
        <v>3687212.860152123</v>
      </c>
      <c r="BQ638" s="8">
        <v>-1836346.1222938565</v>
      </c>
      <c r="BR638" s="8" t="str">
        <v>Yes</v>
      </c>
    </row>
    <row r="639" spans="54:70" x14ac:dyDescent="0.2">
      <c r="BB639" s="94"/>
      <c r="BL639" s="8">
        <v>590</v>
      </c>
      <c r="BM639" s="8">
        <v>1649069.6019364954</v>
      </c>
      <c r="BN639" s="8">
        <v>0</v>
      </c>
      <c r="BO639" s="8">
        <v>1649069.6019364954</v>
      </c>
      <c r="BP639" s="8">
        <v>3268471.2090112795</v>
      </c>
      <c r="BQ639" s="8">
        <v>1619401.6070747841</v>
      </c>
      <c r="BR639" s="8" t="str">
        <v>No</v>
      </c>
    </row>
    <row r="640" spans="54:70" x14ac:dyDescent="0.2">
      <c r="BB640" s="94"/>
      <c r="BL640" s="8">
        <v>591</v>
      </c>
      <c r="BM640" s="8">
        <v>4393930.5380983744</v>
      </c>
      <c r="BN640" s="8">
        <v>4933803.053803565</v>
      </c>
      <c r="BO640" s="8">
        <v>9327733.5919019394</v>
      </c>
      <c r="BP640" s="8">
        <v>4364386.0609618854</v>
      </c>
      <c r="BQ640" s="8">
        <v>-4963347.530940054</v>
      </c>
      <c r="BR640" s="8" t="str">
        <v>Yes</v>
      </c>
    </row>
    <row r="641" spans="54:70" x14ac:dyDescent="0.2">
      <c r="BB641" s="94"/>
      <c r="BL641" s="8">
        <v>592</v>
      </c>
      <c r="BM641" s="8">
        <v>2743982.250160988</v>
      </c>
      <c r="BN641" s="8">
        <v>0</v>
      </c>
      <c r="BO641" s="8">
        <v>2743982.250160988</v>
      </c>
      <c r="BP641" s="8">
        <v>3171859.0025650575</v>
      </c>
      <c r="BQ641" s="8">
        <v>427876.75240406953</v>
      </c>
      <c r="BR641" s="8" t="str">
        <v>No</v>
      </c>
    </row>
    <row r="642" spans="54:70" x14ac:dyDescent="0.2">
      <c r="BB642" s="94"/>
      <c r="BL642" s="8">
        <v>593</v>
      </c>
      <c r="BM642" s="8">
        <v>5765373.5061437655</v>
      </c>
      <c r="BN642" s="8">
        <v>4269588.1701443819</v>
      </c>
      <c r="BO642" s="8">
        <v>10034961.676288147</v>
      </c>
      <c r="BP642" s="8">
        <v>3281143.5335708647</v>
      </c>
      <c r="BQ642" s="8">
        <v>-6753818.1427172814</v>
      </c>
      <c r="BR642" s="8" t="str">
        <v>Yes</v>
      </c>
    </row>
    <row r="643" spans="54:70" x14ac:dyDescent="0.2">
      <c r="BB643" s="94"/>
      <c r="BL643" s="8">
        <v>594</v>
      </c>
      <c r="BM643" s="8">
        <v>7754653.8320622984</v>
      </c>
      <c r="BN643" s="8">
        <v>3207164.4327080604</v>
      </c>
      <c r="BO643" s="8">
        <v>10961818.264770359</v>
      </c>
      <c r="BP643" s="8">
        <v>3960237.1569704246</v>
      </c>
      <c r="BQ643" s="8">
        <v>-7001581.1077999342</v>
      </c>
      <c r="BR643" s="8" t="str">
        <v>Yes</v>
      </c>
    </row>
    <row r="644" spans="54:70" x14ac:dyDescent="0.2">
      <c r="BB644" s="94"/>
      <c r="BL644" s="8">
        <v>595</v>
      </c>
      <c r="BM644" s="8">
        <v>2066964.3302756511</v>
      </c>
      <c r="BN644" s="8">
        <v>0</v>
      </c>
      <c r="BO644" s="8">
        <v>2066964.3302756511</v>
      </c>
      <c r="BP644" s="8">
        <v>3105672.0265915552</v>
      </c>
      <c r="BQ644" s="8">
        <v>1038707.6963159041</v>
      </c>
      <c r="BR644" s="8" t="str">
        <v>No</v>
      </c>
    </row>
    <row r="645" spans="54:70" x14ac:dyDescent="0.2">
      <c r="BB645" s="94"/>
      <c r="BL645" s="8">
        <v>596</v>
      </c>
      <c r="BM645" s="8">
        <v>5823593.0930156242</v>
      </c>
      <c r="BN645" s="8">
        <v>0</v>
      </c>
      <c r="BO645" s="8">
        <v>5823593.0930156242</v>
      </c>
      <c r="BP645" s="8">
        <v>6508110.7160573201</v>
      </c>
      <c r="BQ645" s="8">
        <v>684517.62304169592</v>
      </c>
      <c r="BR645" s="8" t="str">
        <v>No</v>
      </c>
    </row>
    <row r="646" spans="54:70" x14ac:dyDescent="0.2">
      <c r="BB646" s="94"/>
      <c r="BL646" s="8">
        <v>597</v>
      </c>
      <c r="BM646" s="8">
        <v>4940395.5496020075</v>
      </c>
      <c r="BN646" s="8">
        <v>0</v>
      </c>
      <c r="BO646" s="8">
        <v>4940395.5496020075</v>
      </c>
      <c r="BP646" s="8">
        <v>6349466.1436095275</v>
      </c>
      <c r="BQ646" s="8">
        <v>1409070.59400752</v>
      </c>
      <c r="BR646" s="8" t="str">
        <v>No</v>
      </c>
    </row>
    <row r="647" spans="54:70" x14ac:dyDescent="0.2">
      <c r="BB647" s="94"/>
      <c r="BL647" s="8">
        <v>598</v>
      </c>
      <c r="BM647" s="8">
        <v>11156441.706040416</v>
      </c>
      <c r="BN647" s="8">
        <v>0</v>
      </c>
      <c r="BO647" s="8">
        <v>11156441.706040416</v>
      </c>
      <c r="BP647" s="8">
        <v>4869485.9312155526</v>
      </c>
      <c r="BQ647" s="8">
        <v>-6286955.7748248633</v>
      </c>
      <c r="BR647" s="8" t="str">
        <v>Yes</v>
      </c>
    </row>
    <row r="648" spans="54:70" x14ac:dyDescent="0.2">
      <c r="BB648" s="94"/>
      <c r="BL648" s="8">
        <v>599</v>
      </c>
      <c r="BM648" s="8">
        <v>5119459.9369530035</v>
      </c>
      <c r="BN648" s="8">
        <v>4930626.6844662176</v>
      </c>
      <c r="BO648" s="8">
        <v>10050086.621419221</v>
      </c>
      <c r="BP648" s="8">
        <v>6394714.4700941434</v>
      </c>
      <c r="BQ648" s="8">
        <v>-3655372.1513250777</v>
      </c>
      <c r="BR648" s="8" t="str">
        <v>Yes</v>
      </c>
    </row>
    <row r="649" spans="54:70" x14ac:dyDescent="0.2">
      <c r="BB649" s="94"/>
      <c r="BL649" s="8">
        <v>600</v>
      </c>
      <c r="BM649" s="8">
        <v>18950819.316360027</v>
      </c>
      <c r="BN649" s="8">
        <v>20099912.901245106</v>
      </c>
      <c r="BO649" s="8">
        <v>39050732.217605129</v>
      </c>
      <c r="BP649" s="8">
        <v>4270042.9504655953</v>
      </c>
      <c r="BQ649" s="8">
        <v>-34780689.267139532</v>
      </c>
      <c r="BR649" s="8" t="str">
        <v>Yes</v>
      </c>
    </row>
    <row r="650" spans="54:70" x14ac:dyDescent="0.2">
      <c r="BB650" s="94"/>
      <c r="BL650" s="8">
        <v>601</v>
      </c>
      <c r="BM650" s="8">
        <v>2561113.2103562094</v>
      </c>
      <c r="BN650" s="8">
        <v>3440073.4345712434</v>
      </c>
      <c r="BO650" s="8">
        <v>6001186.6449274532</v>
      </c>
      <c r="BP650" s="8">
        <v>3320414.357173847</v>
      </c>
      <c r="BQ650" s="8">
        <v>-2680772.2877536062</v>
      </c>
      <c r="BR650" s="8" t="str">
        <v>Yes</v>
      </c>
    </row>
    <row r="651" spans="54:70" x14ac:dyDescent="0.2">
      <c r="BB651" s="94"/>
      <c r="BL651" s="8">
        <v>602</v>
      </c>
      <c r="BM651" s="8">
        <v>5824465.577810918</v>
      </c>
      <c r="BN651" s="8">
        <v>0</v>
      </c>
      <c r="BO651" s="8">
        <v>5824465.577810918</v>
      </c>
      <c r="BP651" s="8">
        <v>4948331.0071967011</v>
      </c>
      <c r="BQ651" s="8">
        <v>-876134.57061421685</v>
      </c>
      <c r="BR651" s="8" t="str">
        <v>Yes</v>
      </c>
    </row>
    <row r="652" spans="54:70" x14ac:dyDescent="0.2">
      <c r="BB652" s="94"/>
      <c r="BL652" s="8">
        <v>603</v>
      </c>
      <c r="BM652" s="8">
        <v>4252844.8520174604</v>
      </c>
      <c r="BN652" s="8">
        <v>8672194.3064374439</v>
      </c>
      <c r="BO652" s="8">
        <v>12925039.158454904</v>
      </c>
      <c r="BP652" s="8">
        <v>6097577.8177893367</v>
      </c>
      <c r="BQ652" s="8">
        <v>-6827461.3406655677</v>
      </c>
      <c r="BR652" s="8" t="str">
        <v>Yes</v>
      </c>
    </row>
    <row r="653" spans="54:70" x14ac:dyDescent="0.2">
      <c r="BB653" s="94"/>
      <c r="BL653" s="8">
        <v>604</v>
      </c>
      <c r="BM653" s="8">
        <v>3040657.3870449117</v>
      </c>
      <c r="BN653" s="8">
        <v>3014434.5859454712</v>
      </c>
      <c r="BO653" s="8">
        <v>6055091.9729903825</v>
      </c>
      <c r="BP653" s="8">
        <v>4172960.7819959605</v>
      </c>
      <c r="BQ653" s="8">
        <v>-1882131.190994422</v>
      </c>
      <c r="BR653" s="8" t="str">
        <v>Yes</v>
      </c>
    </row>
    <row r="654" spans="54:70" x14ac:dyDescent="0.2">
      <c r="BB654" s="94"/>
      <c r="BL654" s="8">
        <v>605</v>
      </c>
      <c r="BM654" s="8">
        <v>1989618.0923675983</v>
      </c>
      <c r="BN654" s="8">
        <v>3330121.5081837182</v>
      </c>
      <c r="BO654" s="8">
        <v>5319739.6005513165</v>
      </c>
      <c r="BP654" s="8">
        <v>2205631.8742180145</v>
      </c>
      <c r="BQ654" s="8">
        <v>-3114107.726333302</v>
      </c>
      <c r="BR654" s="8" t="str">
        <v>Yes</v>
      </c>
    </row>
    <row r="655" spans="54:70" x14ac:dyDescent="0.2">
      <c r="BB655" s="94"/>
      <c r="BL655" s="8">
        <v>606</v>
      </c>
      <c r="BM655" s="8">
        <v>2991826.3924659262</v>
      </c>
      <c r="BN655" s="8">
        <v>1081581.5574999067</v>
      </c>
      <c r="BO655" s="8">
        <v>4073407.9499658328</v>
      </c>
      <c r="BP655" s="8">
        <v>3877150.4131757226</v>
      </c>
      <c r="BQ655" s="8">
        <v>-196257.53679011017</v>
      </c>
      <c r="BR655" s="8" t="str">
        <v>Yes</v>
      </c>
    </row>
    <row r="656" spans="54:70" x14ac:dyDescent="0.2">
      <c r="BB656" s="94"/>
      <c r="BL656" s="8">
        <v>607</v>
      </c>
      <c r="BM656" s="8">
        <v>6550280.6941332193</v>
      </c>
      <c r="BN656" s="8">
        <v>0</v>
      </c>
      <c r="BO656" s="8">
        <v>6550280.6941332193</v>
      </c>
      <c r="BP656" s="8">
        <v>2122561.0772230546</v>
      </c>
      <c r="BQ656" s="8">
        <v>-4427719.6169101652</v>
      </c>
      <c r="BR656" s="8" t="str">
        <v>Yes</v>
      </c>
    </row>
    <row r="657" spans="54:70" x14ac:dyDescent="0.2">
      <c r="BB657" s="94"/>
      <c r="BL657" s="8">
        <v>608</v>
      </c>
      <c r="BM657" s="8">
        <v>2637471.1799962251</v>
      </c>
      <c r="BN657" s="8">
        <v>0</v>
      </c>
      <c r="BO657" s="8">
        <v>2637471.1799962251</v>
      </c>
      <c r="BP657" s="8">
        <v>3409722.7361589936</v>
      </c>
      <c r="BQ657" s="8">
        <v>772251.55616276851</v>
      </c>
      <c r="BR657" s="8" t="str">
        <v>No</v>
      </c>
    </row>
    <row r="658" spans="54:70" x14ac:dyDescent="0.2">
      <c r="BB658" s="94"/>
      <c r="BL658" s="8">
        <v>609</v>
      </c>
      <c r="BM658" s="8">
        <v>2910539.6473311777</v>
      </c>
      <c r="BN658" s="8">
        <v>0</v>
      </c>
      <c r="BO658" s="8">
        <v>2910539.6473311777</v>
      </c>
      <c r="BP658" s="8">
        <v>2460585.5775923701</v>
      </c>
      <c r="BQ658" s="8">
        <v>-449954.06973880762</v>
      </c>
      <c r="BR658" s="8" t="str">
        <v>Yes</v>
      </c>
    </row>
    <row r="659" spans="54:70" x14ac:dyDescent="0.2">
      <c r="BB659" s="94"/>
      <c r="BL659" s="8">
        <v>610</v>
      </c>
      <c r="BM659" s="8">
        <v>5326101.7947092596</v>
      </c>
      <c r="BN659" s="8">
        <v>0</v>
      </c>
      <c r="BO659" s="8">
        <v>5326101.7947092596</v>
      </c>
      <c r="BP659" s="8">
        <v>6493776.2780284351</v>
      </c>
      <c r="BQ659" s="8">
        <v>1167674.4833191754</v>
      </c>
      <c r="BR659" s="8" t="str">
        <v>No</v>
      </c>
    </row>
    <row r="660" spans="54:70" x14ac:dyDescent="0.2">
      <c r="BB660" s="94"/>
      <c r="BL660" s="8">
        <v>611</v>
      </c>
      <c r="BM660" s="8">
        <v>13843558.386935793</v>
      </c>
      <c r="BN660" s="8">
        <v>0</v>
      </c>
      <c r="BO660" s="8">
        <v>13843558.386935793</v>
      </c>
      <c r="BP660" s="8">
        <v>6353556.2658988219</v>
      </c>
      <c r="BQ660" s="8">
        <v>-7490002.121036971</v>
      </c>
      <c r="BR660" s="8" t="str">
        <v>Yes</v>
      </c>
    </row>
    <row r="661" spans="54:70" x14ac:dyDescent="0.2">
      <c r="BB661" s="94"/>
      <c r="BL661" s="8">
        <v>612</v>
      </c>
      <c r="BM661" s="8">
        <v>2187949.2480935622</v>
      </c>
      <c r="BN661" s="8">
        <v>0</v>
      </c>
      <c r="BO661" s="8">
        <v>2187949.2480935622</v>
      </c>
      <c r="BP661" s="8">
        <v>2253459.6163281077</v>
      </c>
      <c r="BQ661" s="8">
        <v>65510.368234545458</v>
      </c>
      <c r="BR661" s="8" t="str">
        <v>No</v>
      </c>
    </row>
    <row r="662" spans="54:70" x14ac:dyDescent="0.2">
      <c r="BB662" s="94"/>
      <c r="BL662" s="8">
        <v>613</v>
      </c>
      <c r="BM662" s="8">
        <v>4985121.622763779</v>
      </c>
      <c r="BN662" s="8">
        <v>0</v>
      </c>
      <c r="BO662" s="8">
        <v>4985121.622763779</v>
      </c>
      <c r="BP662" s="8">
        <v>4029740.8206846723</v>
      </c>
      <c r="BQ662" s="8">
        <v>-955380.80207910668</v>
      </c>
      <c r="BR662" s="8" t="str">
        <v>Yes</v>
      </c>
    </row>
    <row r="663" spans="54:70" x14ac:dyDescent="0.2">
      <c r="BB663" s="94"/>
      <c r="BL663" s="8">
        <v>614</v>
      </c>
      <c r="BM663" s="8">
        <v>6407785.8371465718</v>
      </c>
      <c r="BN663" s="8">
        <v>0</v>
      </c>
      <c r="BO663" s="8">
        <v>6407785.8371465718</v>
      </c>
      <c r="BP663" s="8">
        <v>6164288.0697543574</v>
      </c>
      <c r="BQ663" s="8">
        <v>-243497.76739221439</v>
      </c>
      <c r="BR663" s="8" t="str">
        <v>Yes</v>
      </c>
    </row>
    <row r="664" spans="54:70" x14ac:dyDescent="0.2">
      <c r="BB664" s="94"/>
      <c r="BL664" s="8">
        <v>615</v>
      </c>
      <c r="BM664" s="8">
        <v>4692320.7254829537</v>
      </c>
      <c r="BN664" s="8">
        <v>0</v>
      </c>
      <c r="BO664" s="8">
        <v>4692320.7254829537</v>
      </c>
      <c r="BP664" s="8">
        <v>4146805.5772225228</v>
      </c>
      <c r="BQ664" s="8">
        <v>-545515.1482604309</v>
      </c>
      <c r="BR664" s="8" t="str">
        <v>Yes</v>
      </c>
    </row>
    <row r="665" spans="54:70" x14ac:dyDescent="0.2">
      <c r="BB665" s="94"/>
      <c r="BL665" s="8">
        <v>616</v>
      </c>
      <c r="BM665" s="8">
        <v>6509583.8642974347</v>
      </c>
      <c r="BN665" s="8">
        <v>5004135.2603081316</v>
      </c>
      <c r="BO665" s="8">
        <v>11513719.124605566</v>
      </c>
      <c r="BP665" s="8">
        <v>3167942.6840200867</v>
      </c>
      <c r="BQ665" s="8">
        <v>-8345776.4405854791</v>
      </c>
      <c r="BR665" s="8" t="str">
        <v>Yes</v>
      </c>
    </row>
    <row r="666" spans="54:70" x14ac:dyDescent="0.2">
      <c r="BB666" s="94"/>
      <c r="BL666" s="8">
        <v>617</v>
      </c>
      <c r="BM666" s="8">
        <v>3969545.5622858615</v>
      </c>
      <c r="BN666" s="8">
        <v>3185971.477261689</v>
      </c>
      <c r="BO666" s="8">
        <v>7155517.0395475505</v>
      </c>
      <c r="BP666" s="8">
        <v>4511773.9585299781</v>
      </c>
      <c r="BQ666" s="8">
        <v>-2643743.0810175724</v>
      </c>
      <c r="BR666" s="8" t="str">
        <v>Yes</v>
      </c>
    </row>
    <row r="667" spans="54:70" x14ac:dyDescent="0.2">
      <c r="BB667" s="94"/>
      <c r="BL667" s="8">
        <v>618</v>
      </c>
      <c r="BM667" s="8">
        <v>4329802.00700932</v>
      </c>
      <c r="BN667" s="8">
        <v>0</v>
      </c>
      <c r="BO667" s="8">
        <v>4329802.00700932</v>
      </c>
      <c r="BP667" s="8">
        <v>3378837.0944459881</v>
      </c>
      <c r="BQ667" s="8">
        <v>-950964.91256333189</v>
      </c>
      <c r="BR667" s="8" t="str">
        <v>Yes</v>
      </c>
    </row>
    <row r="668" spans="54:70" x14ac:dyDescent="0.2">
      <c r="BB668" s="94"/>
      <c r="BL668" s="8">
        <v>619</v>
      </c>
      <c r="BM668" s="8">
        <v>5773080.7438206375</v>
      </c>
      <c r="BN668" s="8">
        <v>0</v>
      </c>
      <c r="BO668" s="8">
        <v>5773080.7438206375</v>
      </c>
      <c r="BP668" s="8">
        <v>3224071.1750770733</v>
      </c>
      <c r="BQ668" s="8">
        <v>-2549009.5687435642</v>
      </c>
      <c r="BR668" s="8" t="str">
        <v>Yes</v>
      </c>
    </row>
    <row r="669" spans="54:70" x14ac:dyDescent="0.2">
      <c r="BB669" s="94"/>
      <c r="BL669" s="8">
        <v>620</v>
      </c>
      <c r="BM669" s="8">
        <v>3450341.1785191298</v>
      </c>
      <c r="BN669" s="8">
        <v>2327608.1139172078</v>
      </c>
      <c r="BO669" s="8">
        <v>5777949.2924363371</v>
      </c>
      <c r="BP669" s="8">
        <v>2474111.4190345109</v>
      </c>
      <c r="BQ669" s="8">
        <v>-3303837.8734018262</v>
      </c>
      <c r="BR669" s="8" t="str">
        <v>Yes</v>
      </c>
    </row>
    <row r="670" spans="54:70" x14ac:dyDescent="0.2">
      <c r="BB670" s="94"/>
      <c r="BL670" s="8">
        <v>621</v>
      </c>
      <c r="BM670" s="8">
        <v>2802147.12847526</v>
      </c>
      <c r="BN670" s="8">
        <v>0</v>
      </c>
      <c r="BO670" s="8">
        <v>2802147.12847526</v>
      </c>
      <c r="BP670" s="8">
        <v>4293336.1204839628</v>
      </c>
      <c r="BQ670" s="8">
        <v>1491188.9920087028</v>
      </c>
      <c r="BR670" s="8" t="str">
        <v>No</v>
      </c>
    </row>
    <row r="671" spans="54:70" x14ac:dyDescent="0.2">
      <c r="BB671" s="94"/>
      <c r="BL671" s="8">
        <v>622</v>
      </c>
      <c r="BM671" s="8">
        <v>3045080.2912812517</v>
      </c>
      <c r="BN671" s="8">
        <v>0</v>
      </c>
      <c r="BO671" s="8">
        <v>3045080.2912812517</v>
      </c>
      <c r="BP671" s="8">
        <v>6506223.0147614265</v>
      </c>
      <c r="BQ671" s="8">
        <v>3461142.7234801748</v>
      </c>
      <c r="BR671" s="8" t="str">
        <v>No</v>
      </c>
    </row>
    <row r="672" spans="54:70" x14ac:dyDescent="0.2">
      <c r="BB672" s="94"/>
      <c r="BL672" s="8">
        <v>623</v>
      </c>
      <c r="BM672" s="8">
        <v>2624941.4938973747</v>
      </c>
      <c r="BN672" s="8">
        <v>1825593.3909098478</v>
      </c>
      <c r="BO672" s="8">
        <v>4450534.8848072225</v>
      </c>
      <c r="BP672" s="8">
        <v>3198349.9483262566</v>
      </c>
      <c r="BQ672" s="8">
        <v>-1252184.9364809659</v>
      </c>
      <c r="BR672" s="8" t="str">
        <v>Yes</v>
      </c>
    </row>
    <row r="673" spans="54:70" x14ac:dyDescent="0.2">
      <c r="BB673" s="94"/>
      <c r="BL673" s="8">
        <v>624</v>
      </c>
      <c r="BM673" s="8">
        <v>2684951.639964296</v>
      </c>
      <c r="BN673" s="8">
        <v>0</v>
      </c>
      <c r="BO673" s="8">
        <v>2684951.639964296</v>
      </c>
      <c r="BP673" s="8">
        <v>3356328.7228905396</v>
      </c>
      <c r="BQ673" s="8">
        <v>671377.08292624354</v>
      </c>
      <c r="BR673" s="8" t="str">
        <v>No</v>
      </c>
    </row>
    <row r="674" spans="54:70" x14ac:dyDescent="0.2">
      <c r="BB674" s="94"/>
      <c r="BL674" s="8">
        <v>625</v>
      </c>
      <c r="BM674" s="8">
        <v>4483436.5653617689</v>
      </c>
      <c r="BN674" s="8">
        <v>0</v>
      </c>
      <c r="BO674" s="8">
        <v>4483436.5653617689</v>
      </c>
      <c r="BP674" s="8">
        <v>4611202.8291875981</v>
      </c>
      <c r="BQ674" s="8">
        <v>127766.26382582914</v>
      </c>
      <c r="BR674" s="8" t="str">
        <v>No</v>
      </c>
    </row>
    <row r="675" spans="54:70" x14ac:dyDescent="0.2">
      <c r="BB675" s="94"/>
      <c r="BL675" s="8">
        <v>626</v>
      </c>
      <c r="BM675" s="8">
        <v>2217004.395092756</v>
      </c>
      <c r="BN675" s="8">
        <v>1454399.7223373449</v>
      </c>
      <c r="BO675" s="8">
        <v>3671404.1174301011</v>
      </c>
      <c r="BP675" s="8">
        <v>4001075.4434833983</v>
      </c>
      <c r="BQ675" s="8">
        <v>329671.32605329715</v>
      </c>
      <c r="BR675" s="8" t="str">
        <v>No</v>
      </c>
    </row>
    <row r="676" spans="54:70" x14ac:dyDescent="0.2">
      <c r="BB676" s="94"/>
      <c r="BL676" s="8">
        <v>627</v>
      </c>
      <c r="BM676" s="8">
        <v>6858799.1187362857</v>
      </c>
      <c r="BN676" s="8">
        <v>0</v>
      </c>
      <c r="BO676" s="8">
        <v>6858799.1187362857</v>
      </c>
      <c r="BP676" s="8">
        <v>2228311.5894458843</v>
      </c>
      <c r="BQ676" s="8">
        <v>-4630487.5292904014</v>
      </c>
      <c r="BR676" s="8" t="str">
        <v>Yes</v>
      </c>
    </row>
    <row r="677" spans="54:70" x14ac:dyDescent="0.2">
      <c r="BB677" s="94"/>
      <c r="BL677" s="8">
        <v>628</v>
      </c>
      <c r="BM677" s="8">
        <v>4849909.9063160196</v>
      </c>
      <c r="BN677" s="8">
        <v>2252445.6953399554</v>
      </c>
      <c r="BO677" s="8">
        <v>7102355.601655975</v>
      </c>
      <c r="BP677" s="8">
        <v>5557489.728731934</v>
      </c>
      <c r="BQ677" s="8">
        <v>-1544865.872924041</v>
      </c>
      <c r="BR677" s="8" t="str">
        <v>Yes</v>
      </c>
    </row>
    <row r="678" spans="54:70" x14ac:dyDescent="0.2">
      <c r="BB678" s="94"/>
      <c r="BL678" s="8">
        <v>629</v>
      </c>
      <c r="BM678" s="8">
        <v>12931149.157033645</v>
      </c>
      <c r="BN678" s="8">
        <v>0</v>
      </c>
      <c r="BO678" s="8">
        <v>12931149.157033645</v>
      </c>
      <c r="BP678" s="8">
        <v>4055634.279043688</v>
      </c>
      <c r="BQ678" s="8">
        <v>-8875514.8779899571</v>
      </c>
      <c r="BR678" s="8" t="str">
        <v>Yes</v>
      </c>
    </row>
    <row r="679" spans="54:70" x14ac:dyDescent="0.2">
      <c r="BB679" s="94"/>
      <c r="BL679" s="8">
        <v>630</v>
      </c>
      <c r="BM679" s="8">
        <v>5500565.3408577014</v>
      </c>
      <c r="BN679" s="8">
        <v>0</v>
      </c>
      <c r="BO679" s="8">
        <v>5500565.3408577014</v>
      </c>
      <c r="BP679" s="8">
        <v>3467060.7565570781</v>
      </c>
      <c r="BQ679" s="8">
        <v>-2033504.5843006233</v>
      </c>
      <c r="BR679" s="8" t="str">
        <v>Yes</v>
      </c>
    </row>
    <row r="680" spans="54:70" x14ac:dyDescent="0.2">
      <c r="BB680" s="94"/>
      <c r="BL680" s="8">
        <v>631</v>
      </c>
      <c r="BM680" s="8">
        <v>4410062.2173641901</v>
      </c>
      <c r="BN680" s="8">
        <v>0</v>
      </c>
      <c r="BO680" s="8">
        <v>4410062.2173641901</v>
      </c>
      <c r="BP680" s="8">
        <v>3246345.644663326</v>
      </c>
      <c r="BQ680" s="8">
        <v>-1163716.5727008642</v>
      </c>
      <c r="BR680" s="8" t="str">
        <v>Yes</v>
      </c>
    </row>
    <row r="681" spans="54:70" x14ac:dyDescent="0.2">
      <c r="BB681" s="94"/>
      <c r="BL681" s="8">
        <v>632</v>
      </c>
      <c r="BM681" s="8">
        <v>6932431.9360907106</v>
      </c>
      <c r="BN681" s="8">
        <v>0</v>
      </c>
      <c r="BO681" s="8">
        <v>6932431.9360907106</v>
      </c>
      <c r="BP681" s="8">
        <v>4088862.2577332389</v>
      </c>
      <c r="BQ681" s="8">
        <v>-2843569.6783574717</v>
      </c>
      <c r="BR681" s="8" t="str">
        <v>Yes</v>
      </c>
    </row>
    <row r="682" spans="54:70" x14ac:dyDescent="0.2">
      <c r="BB682" s="94"/>
      <c r="BL682" s="8">
        <v>633</v>
      </c>
      <c r="BM682" s="8">
        <v>4157058.906034871</v>
      </c>
      <c r="BN682" s="8">
        <v>0</v>
      </c>
      <c r="BO682" s="8">
        <v>4157058.906034871</v>
      </c>
      <c r="BP682" s="8">
        <v>4567844.0265421225</v>
      </c>
      <c r="BQ682" s="8">
        <v>410785.12050725147</v>
      </c>
      <c r="BR682" s="8" t="str">
        <v>No</v>
      </c>
    </row>
    <row r="683" spans="54:70" x14ac:dyDescent="0.2">
      <c r="BB683" s="94"/>
      <c r="BL683" s="8">
        <v>634</v>
      </c>
      <c r="BM683" s="8">
        <v>3129930.4076389405</v>
      </c>
      <c r="BN683" s="8">
        <v>0</v>
      </c>
      <c r="BO683" s="8">
        <v>3129930.4076389405</v>
      </c>
      <c r="BP683" s="8">
        <v>2169850.8193521341</v>
      </c>
      <c r="BQ683" s="8">
        <v>-960079.58828680636</v>
      </c>
      <c r="BR683" s="8" t="str">
        <v>Yes</v>
      </c>
    </row>
    <row r="684" spans="54:70" x14ac:dyDescent="0.2">
      <c r="BB684" s="94"/>
      <c r="BL684" s="8">
        <v>635</v>
      </c>
      <c r="BM684" s="8">
        <v>2611211.2596153775</v>
      </c>
      <c r="BN684" s="8">
        <v>0</v>
      </c>
      <c r="BO684" s="8">
        <v>2611211.2596153775</v>
      </c>
      <c r="BP684" s="8">
        <v>6297527.2174047651</v>
      </c>
      <c r="BQ684" s="8">
        <v>3686315.9577893876</v>
      </c>
      <c r="BR684" s="8" t="str">
        <v>No</v>
      </c>
    </row>
    <row r="685" spans="54:70" x14ac:dyDescent="0.2">
      <c r="BB685" s="94"/>
      <c r="BL685" s="8">
        <v>636</v>
      </c>
      <c r="BM685" s="8">
        <v>2513845.8064006162</v>
      </c>
      <c r="BN685" s="8">
        <v>2011797.0866996963</v>
      </c>
      <c r="BO685" s="8">
        <v>4525642.893100312</v>
      </c>
      <c r="BP685" s="8">
        <v>2351716.6364569603</v>
      </c>
      <c r="BQ685" s="8">
        <v>-2173926.2566433516</v>
      </c>
      <c r="BR685" s="8" t="str">
        <v>Yes</v>
      </c>
    </row>
    <row r="686" spans="54:70" x14ac:dyDescent="0.2">
      <c r="BB686" s="94"/>
      <c r="BL686" s="8">
        <v>637</v>
      </c>
      <c r="BM686" s="8">
        <v>2240869.8370981487</v>
      </c>
      <c r="BN686" s="8">
        <v>0</v>
      </c>
      <c r="BO686" s="8">
        <v>2240869.8370981487</v>
      </c>
      <c r="BP686" s="8">
        <v>2322788.3472917415</v>
      </c>
      <c r="BQ686" s="8">
        <v>81918.510193592869</v>
      </c>
      <c r="BR686" s="8" t="str">
        <v>No</v>
      </c>
    </row>
    <row r="687" spans="54:70" x14ac:dyDescent="0.2">
      <c r="BB687" s="94"/>
      <c r="BL687" s="8">
        <v>638</v>
      </c>
      <c r="BM687" s="8">
        <v>3443672.014215474</v>
      </c>
      <c r="BN687" s="8">
        <v>0</v>
      </c>
      <c r="BO687" s="8">
        <v>3443672.014215474</v>
      </c>
      <c r="BP687" s="8">
        <v>4405818.4056168348</v>
      </c>
      <c r="BQ687" s="8">
        <v>962146.39140136074</v>
      </c>
      <c r="BR687" s="8" t="str">
        <v>No</v>
      </c>
    </row>
    <row r="688" spans="54:70" x14ac:dyDescent="0.2">
      <c r="BB688" s="94"/>
      <c r="BL688" s="8">
        <v>639</v>
      </c>
      <c r="BM688" s="8">
        <v>2234228.7921603168</v>
      </c>
      <c r="BN688" s="8">
        <v>2184397.1070811539</v>
      </c>
      <c r="BO688" s="8">
        <v>4418625.8992414707</v>
      </c>
      <c r="BP688" s="8">
        <v>3110559.8102642801</v>
      </c>
      <c r="BQ688" s="8">
        <v>-1308066.0889771907</v>
      </c>
      <c r="BR688" s="8" t="str">
        <v>Yes</v>
      </c>
    </row>
    <row r="689" spans="54:70" x14ac:dyDescent="0.2">
      <c r="BB689" s="94"/>
      <c r="BL689" s="8">
        <v>640</v>
      </c>
      <c r="BM689" s="8">
        <v>4055084.988589331</v>
      </c>
      <c r="BN689" s="8">
        <v>2750929.2418147987</v>
      </c>
      <c r="BO689" s="8">
        <v>6806014.2304041293</v>
      </c>
      <c r="BP689" s="8">
        <v>2283319.4643733054</v>
      </c>
      <c r="BQ689" s="8">
        <v>-4522694.7660308238</v>
      </c>
      <c r="BR689" s="8" t="str">
        <v>Yes</v>
      </c>
    </row>
    <row r="690" spans="54:70" x14ac:dyDescent="0.2">
      <c r="BB690" s="94"/>
      <c r="BL690" s="8">
        <v>641</v>
      </c>
      <c r="BM690" s="8">
        <v>2420714.1743979892</v>
      </c>
      <c r="BN690" s="8">
        <v>1989646.7723702199</v>
      </c>
      <c r="BO690" s="8">
        <v>4410360.9467682093</v>
      </c>
      <c r="BP690" s="8">
        <v>2334968.8996005985</v>
      </c>
      <c r="BQ690" s="8">
        <v>-2075392.0471676108</v>
      </c>
      <c r="BR690" s="8" t="str">
        <v>Yes</v>
      </c>
    </row>
    <row r="691" spans="54:70" x14ac:dyDescent="0.2">
      <c r="BB691" s="94"/>
      <c r="BL691" s="8">
        <v>642</v>
      </c>
      <c r="BM691" s="8">
        <v>11058276.588840382</v>
      </c>
      <c r="BN691" s="8">
        <v>0</v>
      </c>
      <c r="BO691" s="8">
        <v>11058276.588840382</v>
      </c>
      <c r="BP691" s="8">
        <v>3238982.7284533423</v>
      </c>
      <c r="BQ691" s="8">
        <v>-7819293.8603870403</v>
      </c>
      <c r="BR691" s="8" t="str">
        <v>Yes</v>
      </c>
    </row>
    <row r="692" spans="54:70" x14ac:dyDescent="0.2">
      <c r="BB692" s="94"/>
      <c r="BL692" s="8">
        <v>643</v>
      </c>
      <c r="BM692" s="8">
        <v>5131686.3141049584</v>
      </c>
      <c r="BN692" s="8">
        <v>0</v>
      </c>
      <c r="BO692" s="8">
        <v>5131686.3141049584</v>
      </c>
      <c r="BP692" s="8">
        <v>6110472.3539765067</v>
      </c>
      <c r="BQ692" s="8">
        <v>978786.0398715483</v>
      </c>
      <c r="BR692" s="8" t="str">
        <v>No</v>
      </c>
    </row>
    <row r="693" spans="54:70" x14ac:dyDescent="0.2">
      <c r="BB693" s="94"/>
      <c r="BL693" s="8">
        <v>644</v>
      </c>
      <c r="BM693" s="8">
        <v>3901165.1622701362</v>
      </c>
      <c r="BN693" s="8">
        <v>0</v>
      </c>
      <c r="BO693" s="8">
        <v>3901165.1622701362</v>
      </c>
      <c r="BP693" s="8">
        <v>6354107.020077059</v>
      </c>
      <c r="BQ693" s="8">
        <v>2452941.8578069229</v>
      </c>
      <c r="BR693" s="8" t="str">
        <v>No</v>
      </c>
    </row>
    <row r="694" spans="54:70" x14ac:dyDescent="0.2">
      <c r="BB694" s="94"/>
      <c r="BL694" s="8">
        <v>645</v>
      </c>
      <c r="BM694" s="8">
        <v>1993038.1310601905</v>
      </c>
      <c r="BN694" s="8">
        <v>0</v>
      </c>
      <c r="BO694" s="8">
        <v>1993038.1310601905</v>
      </c>
      <c r="BP694" s="8">
        <v>6283781.1838043761</v>
      </c>
      <c r="BQ694" s="8">
        <v>4290743.0527441856</v>
      </c>
      <c r="BR694" s="8" t="str">
        <v>No</v>
      </c>
    </row>
    <row r="695" spans="54:70" x14ac:dyDescent="0.2">
      <c r="BB695" s="94"/>
      <c r="BL695" s="8">
        <v>646</v>
      </c>
      <c r="BM695" s="8">
        <v>8107151.4756376268</v>
      </c>
      <c r="BN695" s="8">
        <v>8652267.0726464242</v>
      </c>
      <c r="BO695" s="8">
        <v>16759418.54828405</v>
      </c>
      <c r="BP695" s="8">
        <v>6130376.6562176207</v>
      </c>
      <c r="BQ695" s="8">
        <v>-10629041.89206643</v>
      </c>
      <c r="BR695" s="8" t="str">
        <v>Yes</v>
      </c>
    </row>
    <row r="696" spans="54:70" x14ac:dyDescent="0.2">
      <c r="BB696" s="94"/>
      <c r="BL696" s="8">
        <v>647</v>
      </c>
      <c r="BM696" s="8">
        <v>2744849.1885140045</v>
      </c>
      <c r="BN696" s="8">
        <v>245480.4708981596</v>
      </c>
      <c r="BO696" s="8">
        <v>2990329.6594121642</v>
      </c>
      <c r="BP696" s="8">
        <v>3244760.026265901</v>
      </c>
      <c r="BQ696" s="8">
        <v>254430.36685373681</v>
      </c>
      <c r="BR696" s="8" t="str">
        <v>No</v>
      </c>
    </row>
    <row r="697" spans="54:70" x14ac:dyDescent="0.2">
      <c r="BB697" s="94"/>
      <c r="BL697" s="8">
        <v>648</v>
      </c>
      <c r="BM697" s="8">
        <v>4187272.6855577505</v>
      </c>
      <c r="BN697" s="8">
        <v>1273109.2593446411</v>
      </c>
      <c r="BO697" s="8">
        <v>5460381.9449023921</v>
      </c>
      <c r="BP697" s="8">
        <v>3164817.160621319</v>
      </c>
      <c r="BQ697" s="8">
        <v>-2295564.7842810731</v>
      </c>
      <c r="BR697" s="8" t="str">
        <v>Yes</v>
      </c>
    </row>
    <row r="698" spans="54:70" x14ac:dyDescent="0.2">
      <c r="BB698" s="94"/>
      <c r="BL698" s="8">
        <v>649</v>
      </c>
      <c r="BM698" s="8">
        <v>4416907.7335367901</v>
      </c>
      <c r="BN698" s="8">
        <v>2142401.3234743811</v>
      </c>
      <c r="BO698" s="8">
        <v>6559309.0570111712</v>
      </c>
      <c r="BP698" s="8">
        <v>4174825.2839075243</v>
      </c>
      <c r="BQ698" s="8">
        <v>-2384483.7731036469</v>
      </c>
      <c r="BR698" s="8" t="str">
        <v>Yes</v>
      </c>
    </row>
    <row r="699" spans="54:70" x14ac:dyDescent="0.2">
      <c r="BB699" s="94"/>
      <c r="BL699" s="8">
        <v>650</v>
      </c>
      <c r="BM699" s="8">
        <v>5562202.6954972511</v>
      </c>
      <c r="BN699" s="8">
        <v>4323526.94223605</v>
      </c>
      <c r="BO699" s="8">
        <v>9885729.6377333011</v>
      </c>
      <c r="BP699" s="8">
        <v>5953555.8237834135</v>
      </c>
      <c r="BQ699" s="8">
        <v>-3932173.8139498876</v>
      </c>
      <c r="BR699" s="8" t="str">
        <v>Yes</v>
      </c>
    </row>
    <row r="700" spans="54:70" x14ac:dyDescent="0.2">
      <c r="BB700" s="94"/>
      <c r="BL700" s="8">
        <v>651</v>
      </c>
      <c r="BM700" s="8">
        <v>5382325.10988463</v>
      </c>
      <c r="BN700" s="8">
        <v>5262571.0877624555</v>
      </c>
      <c r="BO700" s="8">
        <v>10644896.197647085</v>
      </c>
      <c r="BP700" s="8">
        <v>3291781.6827351614</v>
      </c>
      <c r="BQ700" s="8">
        <v>-7353114.5149119236</v>
      </c>
      <c r="BR700" s="8" t="str">
        <v>Yes</v>
      </c>
    </row>
    <row r="701" spans="54:70" x14ac:dyDescent="0.2">
      <c r="BB701" s="94"/>
      <c r="BL701" s="8">
        <v>652</v>
      </c>
      <c r="BM701" s="8">
        <v>2445760.53300791</v>
      </c>
      <c r="BN701" s="8">
        <v>0</v>
      </c>
      <c r="BO701" s="8">
        <v>2445760.53300791</v>
      </c>
      <c r="BP701" s="8">
        <v>2318643.4255194115</v>
      </c>
      <c r="BQ701" s="8">
        <v>-127117.10748849856</v>
      </c>
      <c r="BR701" s="8" t="str">
        <v>Yes</v>
      </c>
    </row>
    <row r="702" spans="54:70" x14ac:dyDescent="0.2">
      <c r="BB702" s="94"/>
      <c r="BL702" s="8">
        <v>653</v>
      </c>
      <c r="BM702" s="8">
        <v>6380986.2517367117</v>
      </c>
      <c r="BN702" s="8">
        <v>0</v>
      </c>
      <c r="BO702" s="8">
        <v>6380986.2517367117</v>
      </c>
      <c r="BP702" s="8">
        <v>3394183.1192981228</v>
      </c>
      <c r="BQ702" s="8">
        <v>-2986803.1324385889</v>
      </c>
      <c r="BR702" s="8" t="str">
        <v>Yes</v>
      </c>
    </row>
    <row r="703" spans="54:70" x14ac:dyDescent="0.2">
      <c r="BB703" s="94"/>
      <c r="BL703" s="8">
        <v>654</v>
      </c>
      <c r="BM703" s="8">
        <v>3766866.4774140045</v>
      </c>
      <c r="BN703" s="8">
        <v>3311294.1441968903</v>
      </c>
      <c r="BO703" s="8">
        <v>7078160.6216108948</v>
      </c>
      <c r="BP703" s="8">
        <v>3366070.9718007958</v>
      </c>
      <c r="BQ703" s="8">
        <v>-3712089.649810099</v>
      </c>
      <c r="BR703" s="8" t="str">
        <v>Yes</v>
      </c>
    </row>
    <row r="704" spans="54:70" x14ac:dyDescent="0.2">
      <c r="BB704" s="94"/>
      <c r="BL704" s="8">
        <v>655</v>
      </c>
      <c r="BM704" s="8">
        <v>1741520.7804842503</v>
      </c>
      <c r="BN704" s="8">
        <v>1107098.9865719506</v>
      </c>
      <c r="BO704" s="8">
        <v>2848619.7670562007</v>
      </c>
      <c r="BP704" s="8">
        <v>3108950.8593704738</v>
      </c>
      <c r="BQ704" s="8">
        <v>260331.09231427312</v>
      </c>
      <c r="BR704" s="8" t="str">
        <v>No</v>
      </c>
    </row>
    <row r="705" spans="54:70" x14ac:dyDescent="0.2">
      <c r="BB705" s="94"/>
      <c r="BL705" s="8">
        <v>656</v>
      </c>
      <c r="BM705" s="8">
        <v>2476054.2305471385</v>
      </c>
      <c r="BN705" s="8">
        <v>0</v>
      </c>
      <c r="BO705" s="8">
        <v>2476054.2305471385</v>
      </c>
      <c r="BP705" s="8">
        <v>4330968.0694192983</v>
      </c>
      <c r="BQ705" s="8">
        <v>1854913.8388721598</v>
      </c>
      <c r="BR705" s="8" t="str">
        <v>No</v>
      </c>
    </row>
    <row r="706" spans="54:70" x14ac:dyDescent="0.2">
      <c r="BB706" s="94"/>
      <c r="BL706" s="8">
        <v>657</v>
      </c>
      <c r="BM706" s="8">
        <v>3141897.4950718214</v>
      </c>
      <c r="BN706" s="8">
        <v>1364958.4039603884</v>
      </c>
      <c r="BO706" s="8">
        <v>4506855.89903221</v>
      </c>
      <c r="BP706" s="8">
        <v>4388587.3923452366</v>
      </c>
      <c r="BQ706" s="8">
        <v>-118268.50668697339</v>
      </c>
      <c r="BR706" s="8" t="str">
        <v>Yes</v>
      </c>
    </row>
    <row r="707" spans="54:70" x14ac:dyDescent="0.2">
      <c r="BB707" s="94"/>
      <c r="BL707" s="8">
        <v>658</v>
      </c>
      <c r="BM707" s="8">
        <v>4680947.6409606533</v>
      </c>
      <c r="BN707" s="8">
        <v>0</v>
      </c>
      <c r="BO707" s="8">
        <v>4680947.6409606533</v>
      </c>
      <c r="BP707" s="8">
        <v>5866624.4926570626</v>
      </c>
      <c r="BQ707" s="8">
        <v>1185676.8516964093</v>
      </c>
      <c r="BR707" s="8" t="str">
        <v>No</v>
      </c>
    </row>
    <row r="708" spans="54:70" x14ac:dyDescent="0.2">
      <c r="BB708" s="94"/>
      <c r="BL708" s="8">
        <v>659</v>
      </c>
      <c r="BM708" s="8">
        <v>3159588.4800085882</v>
      </c>
      <c r="BN708" s="8">
        <v>783575.2533038602</v>
      </c>
      <c r="BO708" s="8">
        <v>3943163.7333124485</v>
      </c>
      <c r="BP708" s="8">
        <v>4415490.1844483549</v>
      </c>
      <c r="BQ708" s="8">
        <v>472326.45113590639</v>
      </c>
      <c r="BR708" s="8" t="str">
        <v>No</v>
      </c>
    </row>
    <row r="709" spans="54:70" x14ac:dyDescent="0.2">
      <c r="BB709" s="94"/>
      <c r="BL709" s="8">
        <v>660</v>
      </c>
      <c r="BM709" s="8">
        <v>8240822.1240821406</v>
      </c>
      <c r="BN709" s="8">
        <v>10534657.349887406</v>
      </c>
      <c r="BO709" s="8">
        <v>18775479.473969549</v>
      </c>
      <c r="BP709" s="8">
        <v>2260966.1289767534</v>
      </c>
      <c r="BQ709" s="8">
        <v>-16514513.344992796</v>
      </c>
      <c r="BR709" s="8" t="str">
        <v>Yes</v>
      </c>
    </row>
    <row r="710" spans="54:70" x14ac:dyDescent="0.2">
      <c r="BB710" s="94"/>
      <c r="BL710" s="8">
        <v>661</v>
      </c>
      <c r="BM710" s="8">
        <v>4881170.6689030696</v>
      </c>
      <c r="BN710" s="8">
        <v>0</v>
      </c>
      <c r="BO710" s="8">
        <v>4881170.6689030696</v>
      </c>
      <c r="BP710" s="8">
        <v>2225589.9811834944</v>
      </c>
      <c r="BQ710" s="8">
        <v>-2655580.6877195751</v>
      </c>
      <c r="BR710" s="8" t="str">
        <v>Yes</v>
      </c>
    </row>
    <row r="711" spans="54:70" x14ac:dyDescent="0.2">
      <c r="BB711" s="94"/>
      <c r="BL711" s="8">
        <v>662</v>
      </c>
      <c r="BM711" s="8">
        <v>3883549.0203744983</v>
      </c>
      <c r="BN711" s="8">
        <v>0</v>
      </c>
      <c r="BO711" s="8">
        <v>3883549.0203744983</v>
      </c>
      <c r="BP711" s="8">
        <v>2258964.6808194052</v>
      </c>
      <c r="BQ711" s="8">
        <v>-1624584.3395550931</v>
      </c>
      <c r="BR711" s="8" t="str">
        <v>Yes</v>
      </c>
    </row>
    <row r="712" spans="54:70" x14ac:dyDescent="0.2">
      <c r="BB712" s="94"/>
      <c r="BL712" s="8">
        <v>663</v>
      </c>
      <c r="BM712" s="8">
        <v>6186769.4816715736</v>
      </c>
      <c r="BN712" s="8">
        <v>8787258.3887059633</v>
      </c>
      <c r="BO712" s="8">
        <v>14974027.870377537</v>
      </c>
      <c r="BP712" s="8">
        <v>4084949.6297929962</v>
      </c>
      <c r="BQ712" s="8">
        <v>-10889078.240584541</v>
      </c>
      <c r="BR712" s="8" t="str">
        <v>Yes</v>
      </c>
    </row>
    <row r="713" spans="54:70" x14ac:dyDescent="0.2">
      <c r="BB713" s="94"/>
      <c r="BL713" s="8">
        <v>664</v>
      </c>
      <c r="BM713" s="8">
        <v>4197570.3952178936</v>
      </c>
      <c r="BN713" s="8">
        <v>0</v>
      </c>
      <c r="BO713" s="8">
        <v>4197570.3952178936</v>
      </c>
      <c r="BP713" s="8">
        <v>4374182.9225040115</v>
      </c>
      <c r="BQ713" s="8">
        <v>176612.5272861179</v>
      </c>
      <c r="BR713" s="8" t="str">
        <v>No</v>
      </c>
    </row>
    <row r="714" spans="54:70" x14ac:dyDescent="0.2">
      <c r="BB714" s="94"/>
      <c r="BL714" s="8">
        <v>665</v>
      </c>
      <c r="BM714" s="8">
        <v>8539097.7010012139</v>
      </c>
      <c r="BN714" s="8">
        <v>590762.64280795283</v>
      </c>
      <c r="BO714" s="8">
        <v>9129860.3438091669</v>
      </c>
      <c r="BP714" s="8">
        <v>5881348.1429836741</v>
      </c>
      <c r="BQ714" s="8">
        <v>-3248512.2008254929</v>
      </c>
      <c r="BR714" s="8" t="str">
        <v>Yes</v>
      </c>
    </row>
    <row r="715" spans="54:70" x14ac:dyDescent="0.2">
      <c r="BB715" s="94"/>
      <c r="BL715" s="8">
        <v>666</v>
      </c>
      <c r="BM715" s="8">
        <v>2950015.9145456036</v>
      </c>
      <c r="BN715" s="8">
        <v>0</v>
      </c>
      <c r="BO715" s="8">
        <v>2950015.9145456036</v>
      </c>
      <c r="BP715" s="8">
        <v>3517482.244427769</v>
      </c>
      <c r="BQ715" s="8">
        <v>567466.32988216542</v>
      </c>
      <c r="BR715" s="8" t="str">
        <v>No</v>
      </c>
    </row>
    <row r="716" spans="54:70" x14ac:dyDescent="0.2">
      <c r="BB716" s="94"/>
      <c r="BL716" s="8">
        <v>667</v>
      </c>
      <c r="BM716" s="8">
        <v>8187798.6598846158</v>
      </c>
      <c r="BN716" s="8">
        <v>8834145.1495085414</v>
      </c>
      <c r="BO716" s="8">
        <v>17021943.809393156</v>
      </c>
      <c r="BP716" s="8">
        <v>2255916.0986286486</v>
      </c>
      <c r="BQ716" s="8">
        <v>-14766027.710764509</v>
      </c>
      <c r="BR716" s="8" t="str">
        <v>Yes</v>
      </c>
    </row>
    <row r="717" spans="54:70" x14ac:dyDescent="0.2">
      <c r="BB717" s="94"/>
      <c r="BL717" s="8">
        <v>668</v>
      </c>
      <c r="BM717" s="8">
        <v>3394851.9762699315</v>
      </c>
      <c r="BN717" s="8">
        <v>0</v>
      </c>
      <c r="BO717" s="8">
        <v>3394851.9762699315</v>
      </c>
      <c r="BP717" s="8">
        <v>6389575.3448962159</v>
      </c>
      <c r="BQ717" s="8">
        <v>2994723.3686262844</v>
      </c>
      <c r="BR717" s="8" t="str">
        <v>No</v>
      </c>
    </row>
    <row r="718" spans="54:70" x14ac:dyDescent="0.2">
      <c r="BB718" s="94"/>
      <c r="BL718" s="8">
        <v>669</v>
      </c>
      <c r="BM718" s="8">
        <v>2489422.9121474726</v>
      </c>
      <c r="BN718" s="8">
        <v>0</v>
      </c>
      <c r="BO718" s="8">
        <v>2489422.9121474726</v>
      </c>
      <c r="BP718" s="8">
        <v>6479803.9223296819</v>
      </c>
      <c r="BQ718" s="8">
        <v>3990381.0101822093</v>
      </c>
      <c r="BR718" s="8" t="str">
        <v>No</v>
      </c>
    </row>
    <row r="719" spans="54:70" x14ac:dyDescent="0.2">
      <c r="BB719" s="94"/>
      <c r="BL719" s="8">
        <v>670</v>
      </c>
      <c r="BM719" s="8">
        <v>3815986.9636875074</v>
      </c>
      <c r="BN719" s="8">
        <v>2227487.3853646051</v>
      </c>
      <c r="BO719" s="8">
        <v>6043474.3490521125</v>
      </c>
      <c r="BP719" s="8">
        <v>3476449.9797646566</v>
      </c>
      <c r="BQ719" s="8">
        <v>-2567024.3692874559</v>
      </c>
      <c r="BR719" s="8" t="str">
        <v>Yes</v>
      </c>
    </row>
    <row r="720" spans="54:70" x14ac:dyDescent="0.2">
      <c r="BB720" s="94"/>
      <c r="BL720" s="8">
        <v>671</v>
      </c>
      <c r="BM720" s="8">
        <v>2689487.3096467098</v>
      </c>
      <c r="BN720" s="8">
        <v>1400259.2122107567</v>
      </c>
      <c r="BO720" s="8">
        <v>4089746.5218574665</v>
      </c>
      <c r="BP720" s="8">
        <v>3534599.3244482852</v>
      </c>
      <c r="BQ720" s="8">
        <v>-555147.19740918139</v>
      </c>
      <c r="BR720" s="8" t="str">
        <v>Yes</v>
      </c>
    </row>
    <row r="721" spans="54:70" x14ac:dyDescent="0.2">
      <c r="BB721" s="94"/>
      <c r="BL721" s="8">
        <v>672</v>
      </c>
      <c r="BM721" s="8">
        <v>3967403.2475327933</v>
      </c>
      <c r="BN721" s="8">
        <v>0</v>
      </c>
      <c r="BO721" s="8">
        <v>3967403.2475327933</v>
      </c>
      <c r="BP721" s="8">
        <v>3374867.6266878764</v>
      </c>
      <c r="BQ721" s="8">
        <v>-592535.62084491691</v>
      </c>
      <c r="BR721" s="8" t="str">
        <v>Yes</v>
      </c>
    </row>
    <row r="722" spans="54:70" x14ac:dyDescent="0.2">
      <c r="BB722" s="94"/>
      <c r="BL722" s="8">
        <v>673</v>
      </c>
      <c r="BM722" s="8">
        <v>3130527.9414036609</v>
      </c>
      <c r="BN722" s="8">
        <v>0</v>
      </c>
      <c r="BO722" s="8">
        <v>3130527.9414036609</v>
      </c>
      <c r="BP722" s="8">
        <v>2191446.3003103528</v>
      </c>
      <c r="BQ722" s="8">
        <v>-939081.64109330811</v>
      </c>
      <c r="BR722" s="8" t="str">
        <v>Yes</v>
      </c>
    </row>
    <row r="723" spans="54:70" x14ac:dyDescent="0.2">
      <c r="BB723" s="94"/>
      <c r="BL723" s="8">
        <v>674</v>
      </c>
      <c r="BM723" s="8">
        <v>1989082.399059295</v>
      </c>
      <c r="BN723" s="8">
        <v>1562651.8566852391</v>
      </c>
      <c r="BO723" s="8">
        <v>3551734.2557445341</v>
      </c>
      <c r="BP723" s="8">
        <v>4161319.7897387925</v>
      </c>
      <c r="BQ723" s="8">
        <v>609585.53399425838</v>
      </c>
      <c r="BR723" s="8" t="str">
        <v>No</v>
      </c>
    </row>
    <row r="724" spans="54:70" x14ac:dyDescent="0.2">
      <c r="BB724" s="94"/>
      <c r="BL724" s="8">
        <v>675</v>
      </c>
      <c r="BM724" s="8">
        <v>3884814.3087536185</v>
      </c>
      <c r="BN724" s="8">
        <v>0</v>
      </c>
      <c r="BO724" s="8">
        <v>3884814.3087536185</v>
      </c>
      <c r="BP724" s="8">
        <v>5940323.3977531409</v>
      </c>
      <c r="BQ724" s="8">
        <v>2055509.0889995224</v>
      </c>
      <c r="BR724" s="8" t="str">
        <v>No</v>
      </c>
    </row>
    <row r="725" spans="54:70" x14ac:dyDescent="0.2">
      <c r="BB725" s="94"/>
      <c r="BL725" s="8">
        <v>676</v>
      </c>
      <c r="BM725" s="8">
        <v>2487196.9918455402</v>
      </c>
      <c r="BN725" s="8">
        <v>1505445.352243931</v>
      </c>
      <c r="BO725" s="8">
        <v>3992642.3440894713</v>
      </c>
      <c r="BP725" s="8">
        <v>3409444.6200492005</v>
      </c>
      <c r="BQ725" s="8">
        <v>-583197.72404027078</v>
      </c>
      <c r="BR725" s="8" t="str">
        <v>Yes</v>
      </c>
    </row>
    <row r="726" spans="54:70" x14ac:dyDescent="0.2">
      <c r="BB726" s="94"/>
      <c r="BL726" s="8">
        <v>677</v>
      </c>
      <c r="BM726" s="8">
        <v>8528353.0344251189</v>
      </c>
      <c r="BN726" s="8">
        <v>0</v>
      </c>
      <c r="BO726" s="8">
        <v>8528353.0344251189</v>
      </c>
      <c r="BP726" s="8">
        <v>4249078.1544255111</v>
      </c>
      <c r="BQ726" s="8">
        <v>-4279274.8799996078</v>
      </c>
      <c r="BR726" s="8" t="str">
        <v>Yes</v>
      </c>
    </row>
    <row r="727" spans="54:70" x14ac:dyDescent="0.2">
      <c r="BB727" s="94"/>
      <c r="BL727" s="8">
        <v>678</v>
      </c>
      <c r="BM727" s="8">
        <v>5150550.9464587495</v>
      </c>
      <c r="BN727" s="8">
        <v>188148.6563079679</v>
      </c>
      <c r="BO727" s="8">
        <v>5338699.6027667178</v>
      </c>
      <c r="BP727" s="8">
        <v>6104113.9352202835</v>
      </c>
      <c r="BQ727" s="8">
        <v>765414.33245356567</v>
      </c>
      <c r="BR727" s="8" t="str">
        <v>No</v>
      </c>
    </row>
    <row r="728" spans="54:70" x14ac:dyDescent="0.2">
      <c r="BB728" s="94"/>
      <c r="BL728" s="8">
        <v>679</v>
      </c>
      <c r="BM728" s="8">
        <v>3654208.1074340697</v>
      </c>
      <c r="BN728" s="8">
        <v>0</v>
      </c>
      <c r="BO728" s="8">
        <v>3654208.1074340697</v>
      </c>
      <c r="BP728" s="8">
        <v>6196764.4723429531</v>
      </c>
      <c r="BQ728" s="8">
        <v>2542556.3649088833</v>
      </c>
      <c r="BR728" s="8" t="str">
        <v>No</v>
      </c>
    </row>
    <row r="729" spans="54:70" x14ac:dyDescent="0.2">
      <c r="BB729" s="94"/>
      <c r="BL729" s="8">
        <v>680</v>
      </c>
      <c r="BM729" s="8">
        <v>6537392.5771798752</v>
      </c>
      <c r="BN729" s="8">
        <v>2774137.4197260989</v>
      </c>
      <c r="BO729" s="8">
        <v>9311529.996905975</v>
      </c>
      <c r="BP729" s="8">
        <v>3989852.8487702743</v>
      </c>
      <c r="BQ729" s="8">
        <v>-5321677.1481357012</v>
      </c>
      <c r="BR729" s="8" t="str">
        <v>Yes</v>
      </c>
    </row>
    <row r="730" spans="54:70" x14ac:dyDescent="0.2">
      <c r="BB730" s="94"/>
      <c r="BL730" s="8">
        <v>681</v>
      </c>
      <c r="BM730" s="8">
        <v>5453114.6230941024</v>
      </c>
      <c r="BN730" s="8">
        <v>2750141.4551408263</v>
      </c>
      <c r="BO730" s="8">
        <v>8203256.0782349287</v>
      </c>
      <c r="BP730" s="8">
        <v>2391482.7379344087</v>
      </c>
      <c r="BQ730" s="8">
        <v>-5811773.34030052</v>
      </c>
      <c r="BR730" s="8" t="str">
        <v>Yes</v>
      </c>
    </row>
    <row r="731" spans="54:70" x14ac:dyDescent="0.2">
      <c r="BB731" s="94"/>
      <c r="BL731" s="8">
        <v>682</v>
      </c>
      <c r="BM731" s="8">
        <v>3526383.614466371</v>
      </c>
      <c r="BN731" s="8">
        <v>0</v>
      </c>
      <c r="BO731" s="8">
        <v>3526383.614466371</v>
      </c>
      <c r="BP731" s="8">
        <v>5963561.9109673984</v>
      </c>
      <c r="BQ731" s="8">
        <v>2437178.2965010274</v>
      </c>
      <c r="BR731" s="8" t="str">
        <v>No</v>
      </c>
    </row>
    <row r="732" spans="54:70" x14ac:dyDescent="0.2">
      <c r="BB732" s="94"/>
      <c r="BL732" s="8">
        <v>683</v>
      </c>
      <c r="BM732" s="8">
        <v>4218788.7927655727</v>
      </c>
      <c r="BN732" s="8">
        <v>0</v>
      </c>
      <c r="BO732" s="8">
        <v>4218788.7927655727</v>
      </c>
      <c r="BP732" s="8">
        <v>3487019.5093650389</v>
      </c>
      <c r="BQ732" s="8">
        <v>-731769.28340053372</v>
      </c>
      <c r="BR732" s="8" t="str">
        <v>Yes</v>
      </c>
    </row>
    <row r="733" spans="54:70" x14ac:dyDescent="0.2">
      <c r="BB733" s="94"/>
      <c r="BL733" s="8">
        <v>684</v>
      </c>
      <c r="BM733" s="8">
        <v>2526496.4154345323</v>
      </c>
      <c r="BN733" s="8">
        <v>-212960.55629834527</v>
      </c>
      <c r="BO733" s="8">
        <v>2313535.859136187</v>
      </c>
      <c r="BP733" s="8">
        <v>6385926.5270618433</v>
      </c>
      <c r="BQ733" s="8">
        <v>4072390.6679256563</v>
      </c>
      <c r="BR733" s="8" t="str">
        <v>No</v>
      </c>
    </row>
    <row r="734" spans="54:70" x14ac:dyDescent="0.2">
      <c r="BB734" s="94"/>
      <c r="BL734" s="8">
        <v>685</v>
      </c>
      <c r="BM734" s="8">
        <v>2809713.6349013932</v>
      </c>
      <c r="BN734" s="8">
        <v>0</v>
      </c>
      <c r="BO734" s="8">
        <v>2809713.6349013932</v>
      </c>
      <c r="BP734" s="8">
        <v>4559709.2115896391</v>
      </c>
      <c r="BQ734" s="8">
        <v>1749995.5766882459</v>
      </c>
      <c r="BR734" s="8" t="str">
        <v>No</v>
      </c>
    </row>
    <row r="735" spans="54:70" x14ac:dyDescent="0.2">
      <c r="BB735" s="94"/>
      <c r="BL735" s="8">
        <v>686</v>
      </c>
      <c r="BM735" s="8">
        <v>2518341.5904146992</v>
      </c>
      <c r="BN735" s="8">
        <v>617092.38160460361</v>
      </c>
      <c r="BO735" s="8">
        <v>3135433.9720193027</v>
      </c>
      <c r="BP735" s="8">
        <v>3731386.0656637959</v>
      </c>
      <c r="BQ735" s="8">
        <v>595952.09364449326</v>
      </c>
      <c r="BR735" s="8" t="str">
        <v>No</v>
      </c>
    </row>
    <row r="736" spans="54:70" x14ac:dyDescent="0.2">
      <c r="BB736" s="94"/>
      <c r="BL736" s="8">
        <v>687</v>
      </c>
      <c r="BM736" s="8">
        <v>3441707.4968777369</v>
      </c>
      <c r="BN736" s="8">
        <v>0</v>
      </c>
      <c r="BO736" s="8">
        <v>3441707.4968777369</v>
      </c>
      <c r="BP736" s="8">
        <v>2237466.3926050509</v>
      </c>
      <c r="BQ736" s="8">
        <v>-1204241.1042726859</v>
      </c>
      <c r="BR736" s="8" t="str">
        <v>Yes</v>
      </c>
    </row>
    <row r="737" spans="54:70" x14ac:dyDescent="0.2">
      <c r="BB737" s="94"/>
      <c r="BL737" s="8">
        <v>688</v>
      </c>
      <c r="BM737" s="8">
        <v>7828331.7626759</v>
      </c>
      <c r="BN737" s="8">
        <v>3387291.0332670305</v>
      </c>
      <c r="BO737" s="8">
        <v>11215622.795942931</v>
      </c>
      <c r="BP737" s="8">
        <v>2448567.6963842679</v>
      </c>
      <c r="BQ737" s="8">
        <v>-8767055.0995586626</v>
      </c>
      <c r="BR737" s="8" t="str">
        <v>Yes</v>
      </c>
    </row>
    <row r="738" spans="54:70" x14ac:dyDescent="0.2">
      <c r="BB738" s="94"/>
      <c r="BL738" s="8">
        <v>689</v>
      </c>
      <c r="BM738" s="8">
        <v>1912165.2443000043</v>
      </c>
      <c r="BN738" s="8">
        <v>0</v>
      </c>
      <c r="BO738" s="8">
        <v>1912165.2443000043</v>
      </c>
      <c r="BP738" s="8">
        <v>2245829.5449574422</v>
      </c>
      <c r="BQ738" s="8">
        <v>333664.30065743788</v>
      </c>
      <c r="BR738" s="8" t="str">
        <v>No</v>
      </c>
    </row>
    <row r="739" spans="54:70" x14ac:dyDescent="0.2">
      <c r="BB739" s="94"/>
      <c r="BL739" s="8">
        <v>690</v>
      </c>
      <c r="BM739" s="8">
        <v>1889650.5642300881</v>
      </c>
      <c r="BN739" s="8">
        <v>1605569.0333077793</v>
      </c>
      <c r="BO739" s="8">
        <v>3495219.5975378677</v>
      </c>
      <c r="BP739" s="8">
        <v>2340393.9987159623</v>
      </c>
      <c r="BQ739" s="8">
        <v>-1154825.5988219054</v>
      </c>
      <c r="BR739" s="8" t="str">
        <v>Yes</v>
      </c>
    </row>
    <row r="740" spans="54:70" x14ac:dyDescent="0.2">
      <c r="BB740" s="94"/>
      <c r="BL740" s="8">
        <v>691</v>
      </c>
      <c r="BM740" s="8">
        <v>7637235.2403125092</v>
      </c>
      <c r="BN740" s="8">
        <v>8414347.2816142831</v>
      </c>
      <c r="BO740" s="8">
        <v>16051582.521926792</v>
      </c>
      <c r="BP740" s="8">
        <v>2209300.5568048367</v>
      </c>
      <c r="BQ740" s="8">
        <v>-13842281.965121955</v>
      </c>
      <c r="BR740" s="8" t="str">
        <v>Yes</v>
      </c>
    </row>
    <row r="741" spans="54:70" x14ac:dyDescent="0.2">
      <c r="BB741" s="94"/>
      <c r="BL741" s="8">
        <v>692</v>
      </c>
      <c r="BM741" s="8">
        <v>7198958.5652951282</v>
      </c>
      <c r="BN741" s="8">
        <v>8929467.2752487492</v>
      </c>
      <c r="BO741" s="8">
        <v>16128425.840543877</v>
      </c>
      <c r="BP741" s="8">
        <v>3265362.1485295189</v>
      </c>
      <c r="BQ741" s="8">
        <v>-12863063.692014359</v>
      </c>
      <c r="BR741" s="8" t="str">
        <v>Yes</v>
      </c>
    </row>
    <row r="742" spans="54:70" x14ac:dyDescent="0.2">
      <c r="BB742" s="94"/>
      <c r="BL742" s="8">
        <v>693</v>
      </c>
      <c r="BM742" s="8">
        <v>6375984.4713980965</v>
      </c>
      <c r="BN742" s="8">
        <v>0</v>
      </c>
      <c r="BO742" s="8">
        <v>6375984.4713980965</v>
      </c>
      <c r="BP742" s="8">
        <v>5881256.4186414499</v>
      </c>
      <c r="BQ742" s="8">
        <v>-494728.05275664665</v>
      </c>
      <c r="BR742" s="8" t="str">
        <v>Yes</v>
      </c>
    </row>
    <row r="743" spans="54:70" x14ac:dyDescent="0.2">
      <c r="BB743" s="94"/>
      <c r="BL743" s="8">
        <v>694</v>
      </c>
      <c r="BM743" s="8">
        <v>3203407.0456499979</v>
      </c>
      <c r="BN743" s="8">
        <v>1894741.0372699888</v>
      </c>
      <c r="BO743" s="8">
        <v>5098148.0829199869</v>
      </c>
      <c r="BP743" s="8">
        <v>3108603.8021086473</v>
      </c>
      <c r="BQ743" s="8">
        <v>-1989544.2808113396</v>
      </c>
      <c r="BR743" s="8" t="str">
        <v>Yes</v>
      </c>
    </row>
    <row r="744" spans="54:70" x14ac:dyDescent="0.2">
      <c r="BB744" s="94"/>
      <c r="BL744" s="8">
        <v>695</v>
      </c>
      <c r="BM744" s="8">
        <v>2879371.9484108873</v>
      </c>
      <c r="BN744" s="8">
        <v>0</v>
      </c>
      <c r="BO744" s="8">
        <v>2879371.9484108873</v>
      </c>
      <c r="BP744" s="8">
        <v>2202791.1346328063</v>
      </c>
      <c r="BQ744" s="8">
        <v>-676580.81377808098</v>
      </c>
      <c r="BR744" s="8" t="str">
        <v>Yes</v>
      </c>
    </row>
    <row r="745" spans="54:70" x14ac:dyDescent="0.2">
      <c r="BB745" s="94"/>
      <c r="BL745" s="8">
        <v>696</v>
      </c>
      <c r="BM745" s="8">
        <v>2356791.8103619358</v>
      </c>
      <c r="BN745" s="8">
        <v>0</v>
      </c>
      <c r="BO745" s="8">
        <v>2356791.8103619358</v>
      </c>
      <c r="BP745" s="8">
        <v>6557851.4611136764</v>
      </c>
      <c r="BQ745" s="8">
        <v>4201059.6507517407</v>
      </c>
      <c r="BR745" s="8" t="str">
        <v>No</v>
      </c>
    </row>
    <row r="746" spans="54:70" x14ac:dyDescent="0.2">
      <c r="BB746" s="94"/>
      <c r="BL746" s="8">
        <v>697</v>
      </c>
      <c r="BM746" s="8">
        <v>8176965.3128759768</v>
      </c>
      <c r="BN746" s="8">
        <v>9595297.6424471252</v>
      </c>
      <c r="BO746" s="8">
        <v>17772262.9553231</v>
      </c>
      <c r="BP746" s="8">
        <v>6432615.2074950729</v>
      </c>
      <c r="BQ746" s="8">
        <v>-11339647.747828027</v>
      </c>
      <c r="BR746" s="8" t="str">
        <v>Yes</v>
      </c>
    </row>
    <row r="747" spans="54:70" x14ac:dyDescent="0.2">
      <c r="BB747" s="94"/>
      <c r="BL747" s="8">
        <v>698</v>
      </c>
      <c r="BM747" s="8">
        <v>5382664.0051864684</v>
      </c>
      <c r="BN747" s="8">
        <v>0</v>
      </c>
      <c r="BO747" s="8">
        <v>5382664.0051864684</v>
      </c>
      <c r="BP747" s="8">
        <v>4260114.9084966592</v>
      </c>
      <c r="BQ747" s="8">
        <v>-1122549.0966898091</v>
      </c>
      <c r="BR747" s="8" t="str">
        <v>Yes</v>
      </c>
    </row>
    <row r="748" spans="54:70" x14ac:dyDescent="0.2">
      <c r="BB748" s="94"/>
      <c r="BL748" s="8">
        <v>699</v>
      </c>
      <c r="BM748" s="8">
        <v>11543637.001906995</v>
      </c>
      <c r="BN748" s="8">
        <v>0</v>
      </c>
      <c r="BO748" s="8">
        <v>11543637.001906995</v>
      </c>
      <c r="BP748" s="8">
        <v>4316416.8719396899</v>
      </c>
      <c r="BQ748" s="8">
        <v>-7227220.1299673049</v>
      </c>
      <c r="BR748" s="8" t="str">
        <v>Yes</v>
      </c>
    </row>
    <row r="749" spans="54:70" x14ac:dyDescent="0.2">
      <c r="BB749" s="94"/>
      <c r="BL749" s="8">
        <v>700</v>
      </c>
      <c r="BM749" s="8">
        <v>2723961.5643257163</v>
      </c>
      <c r="BN749" s="8">
        <v>2104175.916119813</v>
      </c>
      <c r="BO749" s="8">
        <v>4828137.4804455293</v>
      </c>
      <c r="BP749" s="8">
        <v>2338282.2901804172</v>
      </c>
      <c r="BQ749" s="8">
        <v>-2489855.1902651121</v>
      </c>
      <c r="BR749" s="8" t="str">
        <v>Yes</v>
      </c>
    </row>
    <row r="750" spans="54:70" x14ac:dyDescent="0.2">
      <c r="BB750" s="94"/>
      <c r="BL750" s="8">
        <v>701</v>
      </c>
      <c r="BM750" s="8">
        <v>8203828.3960050847</v>
      </c>
      <c r="BN750" s="8">
        <v>0</v>
      </c>
      <c r="BO750" s="8">
        <v>8203828.3960050847</v>
      </c>
      <c r="BP750" s="8">
        <v>6743354.6473386874</v>
      </c>
      <c r="BQ750" s="8">
        <v>-1460473.7486663973</v>
      </c>
      <c r="BR750" s="8" t="str">
        <v>Yes</v>
      </c>
    </row>
    <row r="751" spans="54:70" x14ac:dyDescent="0.2">
      <c r="BB751" s="94"/>
      <c r="BL751" s="8">
        <v>702</v>
      </c>
      <c r="BM751" s="8">
        <v>3974563.5926733012</v>
      </c>
      <c r="BN751" s="8">
        <v>1595538.1203090397</v>
      </c>
      <c r="BO751" s="8">
        <v>5570101.7129823407</v>
      </c>
      <c r="BP751" s="8">
        <v>6464215.6140719475</v>
      </c>
      <c r="BQ751" s="8">
        <v>894113.90108960681</v>
      </c>
      <c r="BR751" s="8" t="str">
        <v>No</v>
      </c>
    </row>
    <row r="752" spans="54:70" x14ac:dyDescent="0.2">
      <c r="BB752" s="94"/>
      <c r="BL752" s="8">
        <v>703</v>
      </c>
      <c r="BM752" s="8">
        <v>2156858.3117655544</v>
      </c>
      <c r="BN752" s="8">
        <v>607398.27725480031</v>
      </c>
      <c r="BO752" s="8">
        <v>2764256.5890203547</v>
      </c>
      <c r="BP752" s="8">
        <v>6271058.8054692885</v>
      </c>
      <c r="BQ752" s="8">
        <v>3506802.2164489338</v>
      </c>
      <c r="BR752" s="8" t="str">
        <v>No</v>
      </c>
    </row>
    <row r="753" spans="54:70" x14ac:dyDescent="0.2">
      <c r="BB753" s="94"/>
      <c r="BL753" s="8">
        <v>704</v>
      </c>
      <c r="BM753" s="8">
        <v>4467694.0598428529</v>
      </c>
      <c r="BN753" s="8">
        <v>0</v>
      </c>
      <c r="BO753" s="8">
        <v>4467694.0598428529</v>
      </c>
      <c r="BP753" s="8">
        <v>3612971.9319243766</v>
      </c>
      <c r="BQ753" s="8">
        <v>-854722.12791847624</v>
      </c>
      <c r="BR753" s="8" t="str">
        <v>Yes</v>
      </c>
    </row>
    <row r="754" spans="54:70" x14ac:dyDescent="0.2">
      <c r="BB754" s="94"/>
      <c r="BL754" s="8">
        <v>705</v>
      </c>
      <c r="BM754" s="8">
        <v>4460574.2179495245</v>
      </c>
      <c r="BN754" s="8">
        <v>7374297.0646946412</v>
      </c>
      <c r="BO754" s="8">
        <v>11834871.282644166</v>
      </c>
      <c r="BP754" s="8">
        <v>6081965.2457468444</v>
      </c>
      <c r="BQ754" s="8">
        <v>-5752906.0368973212</v>
      </c>
      <c r="BR754" s="8" t="str">
        <v>Yes</v>
      </c>
    </row>
    <row r="755" spans="54:70" x14ac:dyDescent="0.2">
      <c r="BB755" s="94"/>
      <c r="BL755" s="8">
        <v>706</v>
      </c>
      <c r="BM755" s="8">
        <v>5912236.8964713858</v>
      </c>
      <c r="BN755" s="8">
        <v>4402533.1134075187</v>
      </c>
      <c r="BO755" s="8">
        <v>10314770.009878904</v>
      </c>
      <c r="BP755" s="8">
        <v>6126181.9668613235</v>
      </c>
      <c r="BQ755" s="8">
        <v>-4188588.0430175802</v>
      </c>
      <c r="BR755" s="8" t="str">
        <v>Yes</v>
      </c>
    </row>
    <row r="756" spans="54:70" x14ac:dyDescent="0.2">
      <c r="BB756" s="94"/>
      <c r="BL756" s="8">
        <v>707</v>
      </c>
      <c r="BM756" s="8">
        <v>4584668.1041495344</v>
      </c>
      <c r="BN756" s="8">
        <v>0</v>
      </c>
      <c r="BO756" s="8">
        <v>4584668.1041495344</v>
      </c>
      <c r="BP756" s="8">
        <v>4403069.4325276092</v>
      </c>
      <c r="BQ756" s="8">
        <v>-181598.6716219252</v>
      </c>
      <c r="BR756" s="8" t="str">
        <v>Yes</v>
      </c>
    </row>
    <row r="757" spans="54:70" x14ac:dyDescent="0.2">
      <c r="BB757" s="94"/>
      <c r="BL757" s="8">
        <v>708</v>
      </c>
      <c r="BM757" s="8">
        <v>4038871.7107354719</v>
      </c>
      <c r="BN757" s="8">
        <v>0</v>
      </c>
      <c r="BO757" s="8">
        <v>4038871.7107354719</v>
      </c>
      <c r="BP757" s="8">
        <v>2286732.8670708789</v>
      </c>
      <c r="BQ757" s="8">
        <v>-1752138.8436645931</v>
      </c>
      <c r="BR757" s="8" t="str">
        <v>Yes</v>
      </c>
    </row>
    <row r="758" spans="54:70" x14ac:dyDescent="0.2">
      <c r="BB758" s="94"/>
      <c r="BL758" s="8">
        <v>709</v>
      </c>
      <c r="BM758" s="8">
        <v>4329946.2156608375</v>
      </c>
      <c r="BN758" s="8">
        <v>0</v>
      </c>
      <c r="BO758" s="8">
        <v>4329946.2156608375</v>
      </c>
      <c r="BP758" s="8">
        <v>3821988.8408651091</v>
      </c>
      <c r="BQ758" s="8">
        <v>-507957.37479572836</v>
      </c>
      <c r="BR758" s="8" t="str">
        <v>Yes</v>
      </c>
    </row>
    <row r="759" spans="54:70" x14ac:dyDescent="0.2">
      <c r="BB759" s="94"/>
      <c r="BL759" s="8">
        <v>710</v>
      </c>
      <c r="BM759" s="8">
        <v>18532500.493514091</v>
      </c>
      <c r="BN759" s="8">
        <v>17257849.505906068</v>
      </c>
      <c r="BO759" s="8">
        <v>35790349.999420159</v>
      </c>
      <c r="BP759" s="8">
        <v>3695187.5811211085</v>
      </c>
      <c r="BQ759" s="8">
        <v>-32095162.418299049</v>
      </c>
      <c r="BR759" s="8" t="str">
        <v>Yes</v>
      </c>
    </row>
    <row r="760" spans="54:70" x14ac:dyDescent="0.2">
      <c r="BB760" s="94"/>
      <c r="BL760" s="8">
        <v>711</v>
      </c>
      <c r="BM760" s="8">
        <v>5216208.8472235138</v>
      </c>
      <c r="BN760" s="8">
        <v>0</v>
      </c>
      <c r="BO760" s="8">
        <v>5216208.8472235138</v>
      </c>
      <c r="BP760" s="8">
        <v>6402926.724687974</v>
      </c>
      <c r="BQ760" s="8">
        <v>1186717.8774644602</v>
      </c>
      <c r="BR760" s="8" t="str">
        <v>No</v>
      </c>
    </row>
    <row r="761" spans="54:70" x14ac:dyDescent="0.2">
      <c r="BB761" s="94"/>
      <c r="BL761" s="8">
        <v>712</v>
      </c>
      <c r="BM761" s="8">
        <v>6489787.7512442982</v>
      </c>
      <c r="BN761" s="8">
        <v>4083845.454205818</v>
      </c>
      <c r="BO761" s="8">
        <v>10573633.205450116</v>
      </c>
      <c r="BP761" s="8">
        <v>5922308.0013879761</v>
      </c>
      <c r="BQ761" s="8">
        <v>-4651325.2040621396</v>
      </c>
      <c r="BR761" s="8" t="str">
        <v>Yes</v>
      </c>
    </row>
    <row r="762" spans="54:70" x14ac:dyDescent="0.2">
      <c r="BB762" s="94"/>
      <c r="BL762" s="8">
        <v>713</v>
      </c>
      <c r="BM762" s="8">
        <v>3315440.8133111247</v>
      </c>
      <c r="BN762" s="8">
        <v>4873771.1317718588</v>
      </c>
      <c r="BO762" s="8">
        <v>8189211.945082983</v>
      </c>
      <c r="BP762" s="8">
        <v>4307154.9165589977</v>
      </c>
      <c r="BQ762" s="8">
        <v>-3882057.0285239853</v>
      </c>
      <c r="BR762" s="8" t="str">
        <v>Yes</v>
      </c>
    </row>
    <row r="763" spans="54:70" x14ac:dyDescent="0.2">
      <c r="BB763" s="94"/>
      <c r="BL763" s="8">
        <v>714</v>
      </c>
      <c r="BM763" s="8">
        <v>2477845.2595155127</v>
      </c>
      <c r="BN763" s="8">
        <v>1134033.804596195</v>
      </c>
      <c r="BO763" s="8">
        <v>3611879.0641117077</v>
      </c>
      <c r="BP763" s="8">
        <v>6126491.3145494377</v>
      </c>
      <c r="BQ763" s="8">
        <v>2514612.25043773</v>
      </c>
      <c r="BR763" s="8" t="str">
        <v>No</v>
      </c>
    </row>
    <row r="764" spans="54:70" x14ac:dyDescent="0.2">
      <c r="BB764" s="94"/>
      <c r="BL764" s="8">
        <v>715</v>
      </c>
      <c r="BM764" s="8">
        <v>3185713.6114667989</v>
      </c>
      <c r="BN764" s="8">
        <v>0</v>
      </c>
      <c r="BO764" s="8">
        <v>3185713.6114667989</v>
      </c>
      <c r="BP764" s="8">
        <v>3260346.9847270497</v>
      </c>
      <c r="BQ764" s="8">
        <v>74633.373260250781</v>
      </c>
      <c r="BR764" s="8" t="str">
        <v>No</v>
      </c>
    </row>
    <row r="765" spans="54:70" x14ac:dyDescent="0.2">
      <c r="BB765" s="94"/>
      <c r="BL765" s="8">
        <v>716</v>
      </c>
      <c r="BM765" s="8">
        <v>2554349.791209857</v>
      </c>
      <c r="BN765" s="8">
        <v>0</v>
      </c>
      <c r="BO765" s="8">
        <v>2554349.791209857</v>
      </c>
      <c r="BP765" s="8">
        <v>7054386.5829877555</v>
      </c>
      <c r="BQ765" s="8">
        <v>4500036.7917778986</v>
      </c>
      <c r="BR765" s="8" t="str">
        <v>No</v>
      </c>
    </row>
    <row r="766" spans="54:70" x14ac:dyDescent="0.2">
      <c r="BB766" s="94"/>
      <c r="BL766" s="8">
        <v>717</v>
      </c>
      <c r="BM766" s="8">
        <v>4830449.7035878589</v>
      </c>
      <c r="BN766" s="8">
        <v>7106592.0550906872</v>
      </c>
      <c r="BO766" s="8">
        <v>11937041.758678546</v>
      </c>
      <c r="BP766" s="8">
        <v>4382358.2544981819</v>
      </c>
      <c r="BQ766" s="8">
        <v>-7554683.5041803643</v>
      </c>
      <c r="BR766" s="8" t="str">
        <v>Yes</v>
      </c>
    </row>
    <row r="767" spans="54:70" x14ac:dyDescent="0.2">
      <c r="BB767" s="94"/>
      <c r="BL767" s="8">
        <v>718</v>
      </c>
      <c r="BM767" s="8">
        <v>1932978.6248488533</v>
      </c>
      <c r="BN767" s="8">
        <v>0</v>
      </c>
      <c r="BO767" s="8">
        <v>1932978.6248488533</v>
      </c>
      <c r="BP767" s="8">
        <v>4869127.2701298222</v>
      </c>
      <c r="BQ767" s="8">
        <v>2936148.6452809689</v>
      </c>
      <c r="BR767" s="8" t="str">
        <v>No</v>
      </c>
    </row>
    <row r="768" spans="54:70" x14ac:dyDescent="0.2">
      <c r="BB768" s="94"/>
      <c r="BL768" s="8">
        <v>719</v>
      </c>
      <c r="BM768" s="8">
        <v>6610795.0989809074</v>
      </c>
      <c r="BN768" s="8">
        <v>2253135.482184513</v>
      </c>
      <c r="BO768" s="8">
        <v>8863930.5811654199</v>
      </c>
      <c r="BP768" s="8">
        <v>6456804.7077925801</v>
      </c>
      <c r="BQ768" s="8">
        <v>-2407125.8733728398</v>
      </c>
      <c r="BR768" s="8" t="str">
        <v>Yes</v>
      </c>
    </row>
    <row r="769" spans="54:70" x14ac:dyDescent="0.2">
      <c r="BB769" s="94"/>
      <c r="BL769" s="8">
        <v>720</v>
      </c>
      <c r="BM769" s="8">
        <v>3138922.2370322989</v>
      </c>
      <c r="BN769" s="8">
        <v>0</v>
      </c>
      <c r="BO769" s="8">
        <v>3138922.2370322989</v>
      </c>
      <c r="BP769" s="8">
        <v>6179658.7340383604</v>
      </c>
      <c r="BQ769" s="8">
        <v>3040736.4970060615</v>
      </c>
      <c r="BR769" s="8" t="str">
        <v>No</v>
      </c>
    </row>
    <row r="770" spans="54:70" x14ac:dyDescent="0.2">
      <c r="BB770" s="94"/>
      <c r="BL770" s="8">
        <v>721</v>
      </c>
      <c r="BM770" s="8">
        <v>9892119.186968077</v>
      </c>
      <c r="BN770" s="8">
        <v>0</v>
      </c>
      <c r="BO770" s="8">
        <v>9892119.186968077</v>
      </c>
      <c r="BP770" s="8">
        <v>3361374.5894819964</v>
      </c>
      <c r="BQ770" s="8">
        <v>-6530744.5974860806</v>
      </c>
      <c r="BR770" s="8" t="str">
        <v>Yes</v>
      </c>
    </row>
    <row r="771" spans="54:70" x14ac:dyDescent="0.2">
      <c r="BB771" s="94"/>
      <c r="BL771" s="8">
        <v>722</v>
      </c>
      <c r="BM771" s="8">
        <v>5617260.7847538367</v>
      </c>
      <c r="BN771" s="8">
        <v>7663669.2799828416</v>
      </c>
      <c r="BO771" s="8">
        <v>13280930.064736679</v>
      </c>
      <c r="BP771" s="8">
        <v>3442837.5271941549</v>
      </c>
      <c r="BQ771" s="8">
        <v>-9838092.5375425238</v>
      </c>
      <c r="BR771" s="8" t="str">
        <v>Yes</v>
      </c>
    </row>
    <row r="772" spans="54:70" x14ac:dyDescent="0.2">
      <c r="BB772" s="94"/>
      <c r="BL772" s="8">
        <v>723</v>
      </c>
      <c r="BM772" s="8">
        <v>5013834.7786135357</v>
      </c>
      <c r="BN772" s="8">
        <v>5014003.2174374573</v>
      </c>
      <c r="BO772" s="8">
        <v>10027837.996050993</v>
      </c>
      <c r="BP772" s="8">
        <v>3435506.3748369259</v>
      </c>
      <c r="BQ772" s="8">
        <v>-6592331.6212140676</v>
      </c>
      <c r="BR772" s="8" t="str">
        <v>Yes</v>
      </c>
    </row>
    <row r="773" spans="54:70" x14ac:dyDescent="0.2">
      <c r="BB773" s="94"/>
      <c r="BL773" s="8">
        <v>724</v>
      </c>
      <c r="BM773" s="8">
        <v>1595124.0861742741</v>
      </c>
      <c r="BN773" s="8">
        <v>0</v>
      </c>
      <c r="BO773" s="8">
        <v>1595124.0861742741</v>
      </c>
      <c r="BP773" s="8">
        <v>2231132.5977138383</v>
      </c>
      <c r="BQ773" s="8">
        <v>636008.51153956424</v>
      </c>
      <c r="BR773" s="8" t="str">
        <v>No</v>
      </c>
    </row>
    <row r="774" spans="54:70" x14ac:dyDescent="0.2">
      <c r="BB774" s="94"/>
      <c r="BL774" s="8">
        <v>725</v>
      </c>
      <c r="BM774" s="8">
        <v>3162499.5225732462</v>
      </c>
      <c r="BN774" s="8">
        <v>2985169.3478508238</v>
      </c>
      <c r="BO774" s="8">
        <v>6147668.8704240695</v>
      </c>
      <c r="BP774" s="8">
        <v>3201251.8338104701</v>
      </c>
      <c r="BQ774" s="8">
        <v>-2946417.0366135994</v>
      </c>
      <c r="BR774" s="8" t="str">
        <v>Yes</v>
      </c>
    </row>
    <row r="775" spans="54:70" x14ac:dyDescent="0.2">
      <c r="BB775" s="94"/>
      <c r="BL775" s="8">
        <v>726</v>
      </c>
      <c r="BM775" s="8">
        <v>4602866.7104444746</v>
      </c>
      <c r="BN775" s="8">
        <v>4734632.780855462</v>
      </c>
      <c r="BO775" s="8">
        <v>9337499.4912999365</v>
      </c>
      <c r="BP775" s="8">
        <v>4120257.790345856</v>
      </c>
      <c r="BQ775" s="8">
        <v>-5217241.7009540806</v>
      </c>
      <c r="BR775" s="8" t="str">
        <v>Yes</v>
      </c>
    </row>
    <row r="776" spans="54:70" x14ac:dyDescent="0.2">
      <c r="BB776" s="94"/>
      <c r="BL776" s="8">
        <v>727</v>
      </c>
      <c r="BM776" s="8">
        <v>2617292.1683018678</v>
      </c>
      <c r="BN776" s="8">
        <v>0</v>
      </c>
      <c r="BO776" s="8">
        <v>2617292.1683018678</v>
      </c>
      <c r="BP776" s="8">
        <v>3473580.0518811708</v>
      </c>
      <c r="BQ776" s="8">
        <v>856287.88357930304</v>
      </c>
      <c r="BR776" s="8" t="str">
        <v>No</v>
      </c>
    </row>
    <row r="777" spans="54:70" x14ac:dyDescent="0.2">
      <c r="BB777" s="94"/>
      <c r="BL777" s="8">
        <v>728</v>
      </c>
      <c r="BM777" s="8">
        <v>3058424.4009245811</v>
      </c>
      <c r="BN777" s="8">
        <v>0</v>
      </c>
      <c r="BO777" s="8">
        <v>3058424.4009245811</v>
      </c>
      <c r="BP777" s="8">
        <v>2171253.0214002728</v>
      </c>
      <c r="BQ777" s="8">
        <v>-887171.37952430826</v>
      </c>
      <c r="BR777" s="8" t="str">
        <v>Yes</v>
      </c>
    </row>
    <row r="778" spans="54:70" x14ac:dyDescent="0.2">
      <c r="BB778" s="94"/>
      <c r="BL778" s="8">
        <v>729</v>
      </c>
      <c r="BM778" s="8">
        <v>9269901.6273144074</v>
      </c>
      <c r="BN778" s="8">
        <v>16951919.218633626</v>
      </c>
      <c r="BO778" s="8">
        <v>26221820.845948033</v>
      </c>
      <c r="BP778" s="8">
        <v>5866498.3631686615</v>
      </c>
      <c r="BQ778" s="8">
        <v>-20355322.482779372</v>
      </c>
      <c r="BR778" s="8" t="str">
        <v>Yes</v>
      </c>
    </row>
    <row r="779" spans="54:70" x14ac:dyDescent="0.2">
      <c r="BB779" s="94"/>
      <c r="BL779" s="8">
        <v>730</v>
      </c>
      <c r="BM779" s="8">
        <v>7761935.4994771192</v>
      </c>
      <c r="BN779" s="8">
        <v>0</v>
      </c>
      <c r="BO779" s="8">
        <v>7761935.4994771192</v>
      </c>
      <c r="BP779" s="8">
        <v>4150137.948498005</v>
      </c>
      <c r="BQ779" s="8">
        <v>-3611797.5509791141</v>
      </c>
      <c r="BR779" s="8" t="str">
        <v>Yes</v>
      </c>
    </row>
    <row r="780" spans="54:70" x14ac:dyDescent="0.2">
      <c r="BB780" s="94"/>
      <c r="BL780" s="8">
        <v>731</v>
      </c>
      <c r="BM780" s="8">
        <v>3192004.2002867702</v>
      </c>
      <c r="BN780" s="8">
        <v>0</v>
      </c>
      <c r="BO780" s="8">
        <v>3192004.2002867702</v>
      </c>
      <c r="BP780" s="8">
        <v>6011096.2681575008</v>
      </c>
      <c r="BQ780" s="8">
        <v>2819092.0678707305</v>
      </c>
      <c r="BR780" s="8" t="str">
        <v>No</v>
      </c>
    </row>
    <row r="781" spans="54:70" x14ac:dyDescent="0.2">
      <c r="BB781" s="94"/>
      <c r="BL781" s="8">
        <v>732</v>
      </c>
      <c r="BM781" s="8">
        <v>1808350.559623885</v>
      </c>
      <c r="BN781" s="8">
        <v>0</v>
      </c>
      <c r="BO781" s="8">
        <v>1808350.559623885</v>
      </c>
      <c r="BP781" s="8">
        <v>3912857.9196867598</v>
      </c>
      <c r="BQ781" s="8">
        <v>2104507.3600628749</v>
      </c>
      <c r="BR781" s="8" t="str">
        <v>No</v>
      </c>
    </row>
    <row r="782" spans="54:70" x14ac:dyDescent="0.2">
      <c r="BB782" s="94"/>
      <c r="BL782" s="8">
        <v>733</v>
      </c>
      <c r="BM782" s="8">
        <v>12473176.96733512</v>
      </c>
      <c r="BN782" s="8">
        <v>12911886.148800373</v>
      </c>
      <c r="BO782" s="8">
        <v>25385063.116135493</v>
      </c>
      <c r="BP782" s="8">
        <v>6178679.0953699602</v>
      </c>
      <c r="BQ782" s="8">
        <v>-19206384.020765532</v>
      </c>
      <c r="BR782" s="8" t="str">
        <v>Yes</v>
      </c>
    </row>
    <row r="783" spans="54:70" x14ac:dyDescent="0.2">
      <c r="BB783" s="94"/>
      <c r="BL783" s="8">
        <v>734</v>
      </c>
      <c r="BM783" s="8">
        <v>5905514.3198339753</v>
      </c>
      <c r="BN783" s="8">
        <v>0</v>
      </c>
      <c r="BO783" s="8">
        <v>5905514.3198339753</v>
      </c>
      <c r="BP783" s="8">
        <v>2401014.8873108076</v>
      </c>
      <c r="BQ783" s="8">
        <v>-3504499.4325231677</v>
      </c>
      <c r="BR783" s="8" t="str">
        <v>Yes</v>
      </c>
    </row>
    <row r="784" spans="54:70" x14ac:dyDescent="0.2">
      <c r="BB784" s="94"/>
      <c r="BL784" s="8">
        <v>735</v>
      </c>
      <c r="BM784" s="8">
        <v>4662019.7269402575</v>
      </c>
      <c r="BN784" s="8">
        <v>0</v>
      </c>
      <c r="BO784" s="8">
        <v>4662019.7269402575</v>
      </c>
      <c r="BP784" s="8">
        <v>3421425.8650498716</v>
      </c>
      <c r="BQ784" s="8">
        <v>-1240593.8618903859</v>
      </c>
      <c r="BR784" s="8" t="str">
        <v>Yes</v>
      </c>
    </row>
    <row r="785" spans="54:70" x14ac:dyDescent="0.2">
      <c r="BB785" s="94"/>
      <c r="BL785" s="8">
        <v>736</v>
      </c>
      <c r="BM785" s="8">
        <v>3023091.3519350025</v>
      </c>
      <c r="BN785" s="8">
        <v>2697278.4508929607</v>
      </c>
      <c r="BO785" s="8">
        <v>5720369.8028279636</v>
      </c>
      <c r="BP785" s="8">
        <v>3345178.4955926696</v>
      </c>
      <c r="BQ785" s="8">
        <v>-2375191.307235294</v>
      </c>
      <c r="BR785" s="8" t="str">
        <v>Yes</v>
      </c>
    </row>
    <row r="786" spans="54:70" x14ac:dyDescent="0.2">
      <c r="BB786" s="94"/>
      <c r="BL786" s="8">
        <v>737</v>
      </c>
      <c r="BM786" s="8">
        <v>4791805.3752610665</v>
      </c>
      <c r="BN786" s="8">
        <v>1812137.7255190862</v>
      </c>
      <c r="BO786" s="8">
        <v>6603943.1007801527</v>
      </c>
      <c r="BP786" s="8">
        <v>4499981.2128645759</v>
      </c>
      <c r="BQ786" s="8">
        <v>-2103961.8879155768</v>
      </c>
      <c r="BR786" s="8" t="str">
        <v>Yes</v>
      </c>
    </row>
    <row r="787" spans="54:70" x14ac:dyDescent="0.2">
      <c r="BB787" s="94"/>
      <c r="BL787" s="8">
        <v>738</v>
      </c>
      <c r="BM787" s="8">
        <v>5298971.4095230959</v>
      </c>
      <c r="BN787" s="8">
        <v>4904431.2735957913</v>
      </c>
      <c r="BO787" s="8">
        <v>10203402.683118887</v>
      </c>
      <c r="BP787" s="8">
        <v>3567599.3756226404</v>
      </c>
      <c r="BQ787" s="8">
        <v>-6635803.3074962469</v>
      </c>
      <c r="BR787" s="8" t="str">
        <v>Yes</v>
      </c>
    </row>
    <row r="788" spans="54:70" x14ac:dyDescent="0.2">
      <c r="BB788" s="94"/>
      <c r="BL788" s="8">
        <v>739</v>
      </c>
      <c r="BM788" s="8">
        <v>1894494.0779559868</v>
      </c>
      <c r="BN788" s="8">
        <v>1398185.7221393432</v>
      </c>
      <c r="BO788" s="8">
        <v>3292679.80009533</v>
      </c>
      <c r="BP788" s="8">
        <v>3337788.9814319005</v>
      </c>
      <c r="BQ788" s="8">
        <v>45109.181336570531</v>
      </c>
      <c r="BR788" s="8" t="str">
        <v>No</v>
      </c>
    </row>
    <row r="789" spans="54:70" x14ac:dyDescent="0.2">
      <c r="BB789" s="94"/>
      <c r="BL789" s="8">
        <v>740</v>
      </c>
      <c r="BM789" s="8">
        <v>6444195.6496493686</v>
      </c>
      <c r="BN789" s="8">
        <v>0</v>
      </c>
      <c r="BO789" s="8">
        <v>6444195.6496493686</v>
      </c>
      <c r="BP789" s="8">
        <v>4138816.932735512</v>
      </c>
      <c r="BQ789" s="8">
        <v>-2305378.7169138566</v>
      </c>
      <c r="BR789" s="8" t="str">
        <v>Yes</v>
      </c>
    </row>
    <row r="790" spans="54:70" x14ac:dyDescent="0.2">
      <c r="BB790" s="94"/>
      <c r="BL790" s="8">
        <v>741</v>
      </c>
      <c r="BM790" s="8">
        <v>4858821.6096453685</v>
      </c>
      <c r="BN790" s="8">
        <v>0</v>
      </c>
      <c r="BO790" s="8">
        <v>4858821.6096453685</v>
      </c>
      <c r="BP790" s="8">
        <v>3469225.7849738565</v>
      </c>
      <c r="BQ790" s="8">
        <v>-1389595.824671512</v>
      </c>
      <c r="BR790" s="8" t="str">
        <v>Yes</v>
      </c>
    </row>
    <row r="791" spans="54:70" x14ac:dyDescent="0.2">
      <c r="BB791" s="94"/>
      <c r="BL791" s="8">
        <v>742</v>
      </c>
      <c r="BM791" s="8">
        <v>4299982.8905924205</v>
      </c>
      <c r="BN791" s="8">
        <v>0</v>
      </c>
      <c r="BO791" s="8">
        <v>4299982.8905924205</v>
      </c>
      <c r="BP791" s="8">
        <v>4570628.8529165136</v>
      </c>
      <c r="BQ791" s="8">
        <v>270645.9623240931</v>
      </c>
      <c r="BR791" s="8" t="str">
        <v>No</v>
      </c>
    </row>
    <row r="792" spans="54:70" x14ac:dyDescent="0.2">
      <c r="BB792" s="94"/>
      <c r="BL792" s="8">
        <v>743</v>
      </c>
      <c r="BM792" s="8">
        <v>2348910.56654154</v>
      </c>
      <c r="BN792" s="8">
        <v>0</v>
      </c>
      <c r="BO792" s="8">
        <v>2348910.56654154</v>
      </c>
      <c r="BP792" s="8">
        <v>2265521.9124624529</v>
      </c>
      <c r="BQ792" s="8">
        <v>-83388.654079087079</v>
      </c>
      <c r="BR792" s="8" t="str">
        <v>Yes</v>
      </c>
    </row>
    <row r="793" spans="54:70" x14ac:dyDescent="0.2">
      <c r="BB793" s="94"/>
      <c r="BL793" s="8">
        <v>744</v>
      </c>
      <c r="BM793" s="8">
        <v>4576253.9636880727</v>
      </c>
      <c r="BN793" s="8">
        <v>4760044.690136672</v>
      </c>
      <c r="BO793" s="8">
        <v>9336298.6538247447</v>
      </c>
      <c r="BP793" s="8">
        <v>3091765.9259521328</v>
      </c>
      <c r="BQ793" s="8">
        <v>-6244532.727872612</v>
      </c>
      <c r="BR793" s="8" t="str">
        <v>Yes</v>
      </c>
    </row>
    <row r="794" spans="54:70" x14ac:dyDescent="0.2">
      <c r="BB794" s="94"/>
      <c r="BL794" s="8">
        <v>745</v>
      </c>
      <c r="BM794" s="8">
        <v>2178498.5173563166</v>
      </c>
      <c r="BN794" s="8">
        <v>0</v>
      </c>
      <c r="BO794" s="8">
        <v>2178498.5173563166</v>
      </c>
      <c r="BP794" s="8">
        <v>3619571.0566813187</v>
      </c>
      <c r="BQ794" s="8">
        <v>1441072.5393250021</v>
      </c>
      <c r="BR794" s="8" t="str">
        <v>No</v>
      </c>
    </row>
    <row r="795" spans="54:70" x14ac:dyDescent="0.2">
      <c r="BB795" s="94"/>
      <c r="BL795" s="8">
        <v>746</v>
      </c>
      <c r="BM795" s="8">
        <v>1858806.1424369919</v>
      </c>
      <c r="BN795" s="8">
        <v>1589048.7174096073</v>
      </c>
      <c r="BO795" s="8">
        <v>3447854.8598465994</v>
      </c>
      <c r="BP795" s="8">
        <v>2999043.7364674518</v>
      </c>
      <c r="BQ795" s="8">
        <v>-448811.12337914761</v>
      </c>
      <c r="BR795" s="8" t="str">
        <v>Yes</v>
      </c>
    </row>
    <row r="796" spans="54:70" x14ac:dyDescent="0.2">
      <c r="BB796" s="94"/>
      <c r="BL796" s="8">
        <v>747</v>
      </c>
      <c r="BM796" s="8">
        <v>3189027.3225052408</v>
      </c>
      <c r="BN796" s="8">
        <v>0</v>
      </c>
      <c r="BO796" s="8">
        <v>3189027.3225052408</v>
      </c>
      <c r="BP796" s="8">
        <v>3193650.4589244435</v>
      </c>
      <c r="BQ796" s="8">
        <v>4623.1364192026667</v>
      </c>
      <c r="BR796" s="8" t="str">
        <v>No</v>
      </c>
    </row>
    <row r="797" spans="54:70" x14ac:dyDescent="0.2">
      <c r="BB797" s="94"/>
      <c r="BL797" s="8">
        <v>748</v>
      </c>
      <c r="BM797" s="8">
        <v>3187434.9685181072</v>
      </c>
      <c r="BN797" s="8">
        <v>0</v>
      </c>
      <c r="BO797" s="8">
        <v>3187434.9685181072</v>
      </c>
      <c r="BP797" s="8">
        <v>3036720.4627192151</v>
      </c>
      <c r="BQ797" s="8">
        <v>-150714.50579889212</v>
      </c>
      <c r="BR797" s="8" t="str">
        <v>Yes</v>
      </c>
    </row>
    <row r="798" spans="54:70" x14ac:dyDescent="0.2">
      <c r="BB798" s="94"/>
      <c r="BL798" s="8">
        <v>749</v>
      </c>
      <c r="BM798" s="8">
        <v>5139054.8468698747</v>
      </c>
      <c r="BN798" s="8">
        <v>0</v>
      </c>
      <c r="BO798" s="8">
        <v>5139054.8468698747</v>
      </c>
      <c r="BP798" s="8">
        <v>3331100.5987153687</v>
      </c>
      <c r="BQ798" s="8">
        <v>-1807954.2481545061</v>
      </c>
      <c r="BR798" s="8" t="str">
        <v>Yes</v>
      </c>
    </row>
    <row r="799" spans="54:70" x14ac:dyDescent="0.2">
      <c r="BB799" s="94"/>
      <c r="BL799" s="8">
        <v>750</v>
      </c>
      <c r="BM799" s="8">
        <v>2023749.7469906481</v>
      </c>
      <c r="BN799" s="8">
        <v>0</v>
      </c>
      <c r="BO799" s="8">
        <v>2023749.7469906481</v>
      </c>
      <c r="BP799" s="8">
        <v>3387311.2158783553</v>
      </c>
      <c r="BQ799" s="8">
        <v>1363561.4688877072</v>
      </c>
      <c r="BR799" s="8" t="str">
        <v>No</v>
      </c>
    </row>
    <row r="800" spans="54:70" x14ac:dyDescent="0.2">
      <c r="BB800" s="94"/>
      <c r="BL800" s="8">
        <v>751</v>
      </c>
      <c r="BM800" s="8">
        <v>3441099.2531885286</v>
      </c>
      <c r="BN800" s="8">
        <v>4702645.0913882311</v>
      </c>
      <c r="BO800" s="8">
        <v>8143744.3445767593</v>
      </c>
      <c r="BP800" s="8">
        <v>3370794.1238768273</v>
      </c>
      <c r="BQ800" s="8">
        <v>-4772950.2206999324</v>
      </c>
      <c r="BR800" s="8" t="str">
        <v>Yes</v>
      </c>
    </row>
    <row r="801" spans="54:70" x14ac:dyDescent="0.2">
      <c r="BB801" s="94"/>
      <c r="BL801" s="8">
        <v>752</v>
      </c>
      <c r="BM801" s="8">
        <v>3840836.7662435584</v>
      </c>
      <c r="BN801" s="8">
        <v>0</v>
      </c>
      <c r="BO801" s="8">
        <v>3840836.7662435584</v>
      </c>
      <c r="BP801" s="8">
        <v>2126914.137356434</v>
      </c>
      <c r="BQ801" s="8">
        <v>-1713922.6288871244</v>
      </c>
      <c r="BR801" s="8" t="str">
        <v>Yes</v>
      </c>
    </row>
    <row r="802" spans="54:70" x14ac:dyDescent="0.2">
      <c r="BB802" s="94"/>
      <c r="BL802" s="8">
        <v>753</v>
      </c>
      <c r="BM802" s="8">
        <v>12526420.811582318</v>
      </c>
      <c r="BN802" s="8">
        <v>0</v>
      </c>
      <c r="BO802" s="8">
        <v>12526420.811582318</v>
      </c>
      <c r="BP802" s="8">
        <v>3309410.5133125824</v>
      </c>
      <c r="BQ802" s="8">
        <v>-9217010.2982697356</v>
      </c>
      <c r="BR802" s="8" t="str">
        <v>Yes</v>
      </c>
    </row>
    <row r="803" spans="54:70" x14ac:dyDescent="0.2">
      <c r="BB803" s="94"/>
      <c r="BL803" s="8">
        <v>754</v>
      </c>
      <c r="BM803" s="8">
        <v>3709289.4493721379</v>
      </c>
      <c r="BN803" s="8">
        <v>0</v>
      </c>
      <c r="BO803" s="8">
        <v>3709289.4493721379</v>
      </c>
      <c r="BP803" s="8">
        <v>4060356.948122506</v>
      </c>
      <c r="BQ803" s="8">
        <v>351067.49875036813</v>
      </c>
      <c r="BR803" s="8" t="str">
        <v>No</v>
      </c>
    </row>
    <row r="804" spans="54:70" x14ac:dyDescent="0.2">
      <c r="BB804" s="94"/>
      <c r="BL804" s="8">
        <v>755</v>
      </c>
      <c r="BM804" s="8">
        <v>2400483.3322593276</v>
      </c>
      <c r="BN804" s="8">
        <v>1933287.3573084457</v>
      </c>
      <c r="BO804" s="8">
        <v>4333770.6895677736</v>
      </c>
      <c r="BP804" s="8">
        <v>2575735.5943746334</v>
      </c>
      <c r="BQ804" s="8">
        <v>-1758035.0951931402</v>
      </c>
      <c r="BR804" s="8" t="str">
        <v>Yes</v>
      </c>
    </row>
    <row r="805" spans="54:70" x14ac:dyDescent="0.2">
      <c r="BB805" s="94"/>
      <c r="BL805" s="8">
        <v>756</v>
      </c>
      <c r="BM805" s="8">
        <v>6291415.500141765</v>
      </c>
      <c r="BN805" s="8">
        <v>10932142.912359985</v>
      </c>
      <c r="BO805" s="8">
        <v>17223558.412501749</v>
      </c>
      <c r="BP805" s="8">
        <v>4541876.9458037708</v>
      </c>
      <c r="BQ805" s="8">
        <v>-12681681.466697978</v>
      </c>
      <c r="BR805" s="8" t="str">
        <v>Yes</v>
      </c>
    </row>
    <row r="806" spans="54:70" x14ac:dyDescent="0.2">
      <c r="BB806" s="94"/>
      <c r="BL806" s="8">
        <v>757</v>
      </c>
      <c r="BM806" s="8">
        <v>5727465.2363059921</v>
      </c>
      <c r="BN806" s="8">
        <v>0</v>
      </c>
      <c r="BO806" s="8">
        <v>5727465.2363059921</v>
      </c>
      <c r="BP806" s="8">
        <v>6043705.8010659302</v>
      </c>
      <c r="BQ806" s="8">
        <v>316240.56475993805</v>
      </c>
      <c r="BR806" s="8" t="str">
        <v>No</v>
      </c>
    </row>
    <row r="807" spans="54:70" x14ac:dyDescent="0.2">
      <c r="BB807" s="94"/>
      <c r="BL807" s="8">
        <v>758</v>
      </c>
      <c r="BM807" s="8">
        <v>3850208.0134525802</v>
      </c>
      <c r="BN807" s="8">
        <v>0</v>
      </c>
      <c r="BO807" s="8">
        <v>3850208.0134525802</v>
      </c>
      <c r="BP807" s="8">
        <v>2263191.1592126419</v>
      </c>
      <c r="BQ807" s="8">
        <v>-1587016.8542399383</v>
      </c>
      <c r="BR807" s="8" t="str">
        <v>Yes</v>
      </c>
    </row>
    <row r="808" spans="54:70" x14ac:dyDescent="0.2">
      <c r="BB808" s="94"/>
      <c r="BL808" s="8">
        <v>759</v>
      </c>
      <c r="BM808" s="8">
        <v>7325366.1686913781</v>
      </c>
      <c r="BN808" s="8">
        <v>0</v>
      </c>
      <c r="BO808" s="8">
        <v>7325366.1686913781</v>
      </c>
      <c r="BP808" s="8">
        <v>2058532.7134359204</v>
      </c>
      <c r="BQ808" s="8">
        <v>-5266833.4552554581</v>
      </c>
      <c r="BR808" s="8" t="str">
        <v>Yes</v>
      </c>
    </row>
    <row r="809" spans="54:70" x14ac:dyDescent="0.2">
      <c r="BB809" s="94"/>
      <c r="BL809" s="8">
        <v>760</v>
      </c>
      <c r="BM809" s="8">
        <v>4238435.0054062996</v>
      </c>
      <c r="BN809" s="8">
        <v>0</v>
      </c>
      <c r="BO809" s="8">
        <v>4238435.0054062996</v>
      </c>
      <c r="BP809" s="8">
        <v>6415665.7602332784</v>
      </c>
      <c r="BQ809" s="8">
        <v>2177230.7548269788</v>
      </c>
      <c r="BR809" s="8" t="str">
        <v>No</v>
      </c>
    </row>
    <row r="810" spans="54:70" x14ac:dyDescent="0.2">
      <c r="BB810" s="94"/>
      <c r="BL810" s="8">
        <v>761</v>
      </c>
      <c r="BM810" s="8">
        <v>8667394.0795568321</v>
      </c>
      <c r="BN810" s="8">
        <v>0</v>
      </c>
      <c r="BO810" s="8">
        <v>8667394.0795568321</v>
      </c>
      <c r="BP810" s="8">
        <v>6357872.8122747494</v>
      </c>
      <c r="BQ810" s="8">
        <v>-2309521.2672820827</v>
      </c>
      <c r="BR810" s="8" t="str">
        <v>Yes</v>
      </c>
    </row>
    <row r="811" spans="54:70" x14ac:dyDescent="0.2">
      <c r="BB811" s="94"/>
      <c r="BL811" s="8">
        <v>762</v>
      </c>
      <c r="BM811" s="8">
        <v>7981234.6813966688</v>
      </c>
      <c r="BN811" s="8">
        <v>6759262.7486808132</v>
      </c>
      <c r="BO811" s="8">
        <v>14740497.430077482</v>
      </c>
      <c r="BP811" s="8">
        <v>4215403.5640278459</v>
      </c>
      <c r="BQ811" s="8">
        <v>-10525093.866049636</v>
      </c>
      <c r="BR811" s="8" t="str">
        <v>Yes</v>
      </c>
    </row>
    <row r="812" spans="54:70" x14ac:dyDescent="0.2">
      <c r="BB812" s="94"/>
      <c r="BL812" s="8">
        <v>763</v>
      </c>
      <c r="BM812" s="8">
        <v>7827007.447369487</v>
      </c>
      <c r="BN812" s="8">
        <v>0</v>
      </c>
      <c r="BO812" s="8">
        <v>7827007.447369487</v>
      </c>
      <c r="BP812" s="8">
        <v>2011383.5209793942</v>
      </c>
      <c r="BQ812" s="8">
        <v>-5815623.9263900928</v>
      </c>
      <c r="BR812" s="8" t="str">
        <v>Yes</v>
      </c>
    </row>
    <row r="813" spans="54:70" x14ac:dyDescent="0.2">
      <c r="BB813" s="94"/>
      <c r="BL813" s="8">
        <v>764</v>
      </c>
      <c r="BM813" s="8">
        <v>9541612.5624582563</v>
      </c>
      <c r="BN813" s="8">
        <v>0</v>
      </c>
      <c r="BO813" s="8">
        <v>9541612.5624582563</v>
      </c>
      <c r="BP813" s="8">
        <v>3685715.4603668167</v>
      </c>
      <c r="BQ813" s="8">
        <v>-5855897.1020914391</v>
      </c>
      <c r="BR813" s="8" t="str">
        <v>Yes</v>
      </c>
    </row>
    <row r="814" spans="54:70" x14ac:dyDescent="0.2">
      <c r="BB814" s="94"/>
      <c r="BL814" s="8">
        <v>765</v>
      </c>
      <c r="BM814" s="8">
        <v>1689028.8212857593</v>
      </c>
      <c r="BN814" s="8">
        <v>-8804.7373984741862</v>
      </c>
      <c r="BO814" s="8">
        <v>1680224.0838872851</v>
      </c>
      <c r="BP814" s="8">
        <v>6173535.2456100704</v>
      </c>
      <c r="BQ814" s="8">
        <v>4493311.1617227849</v>
      </c>
      <c r="BR814" s="8" t="str">
        <v>No</v>
      </c>
    </row>
    <row r="815" spans="54:70" x14ac:dyDescent="0.2">
      <c r="BB815" s="94"/>
      <c r="BL815" s="8">
        <v>766</v>
      </c>
      <c r="BM815" s="8">
        <v>2312491.4779578554</v>
      </c>
      <c r="BN815" s="8">
        <v>1406463.4184224058</v>
      </c>
      <c r="BO815" s="8">
        <v>3718954.8963802615</v>
      </c>
      <c r="BP815" s="8">
        <v>5990526.6786433356</v>
      </c>
      <c r="BQ815" s="8">
        <v>2271571.7822630741</v>
      </c>
      <c r="BR815" s="8" t="str">
        <v>No</v>
      </c>
    </row>
    <row r="816" spans="54:70" x14ac:dyDescent="0.2">
      <c r="BB816" s="94"/>
      <c r="BL816" s="8">
        <v>767</v>
      </c>
      <c r="BM816" s="8">
        <v>7258289.3217348829</v>
      </c>
      <c r="BN816" s="8">
        <v>9615874.8285085857</v>
      </c>
      <c r="BO816" s="8">
        <v>16874164.150243469</v>
      </c>
      <c r="BP816" s="8">
        <v>3310676.8177493773</v>
      </c>
      <c r="BQ816" s="8">
        <v>-13563487.332494091</v>
      </c>
      <c r="BR816" s="8" t="str">
        <v>Yes</v>
      </c>
    </row>
    <row r="817" spans="54:70" x14ac:dyDescent="0.2">
      <c r="BB817" s="94"/>
      <c r="BL817" s="8">
        <v>768</v>
      </c>
      <c r="BM817" s="8">
        <v>5073619.7207208592</v>
      </c>
      <c r="BN817" s="8">
        <v>0</v>
      </c>
      <c r="BO817" s="8">
        <v>5073619.7207208592</v>
      </c>
      <c r="BP817" s="8">
        <v>2086188.9975099687</v>
      </c>
      <c r="BQ817" s="8">
        <v>-2987430.7232108908</v>
      </c>
      <c r="BR817" s="8" t="str">
        <v>Yes</v>
      </c>
    </row>
    <row r="818" spans="54:70" x14ac:dyDescent="0.2">
      <c r="BB818" s="94"/>
      <c r="BL818" s="8">
        <v>769</v>
      </c>
      <c r="BM818" s="8">
        <v>1866240.7898255284</v>
      </c>
      <c r="BN818" s="8">
        <v>0</v>
      </c>
      <c r="BO818" s="8">
        <v>1866240.7898255284</v>
      </c>
      <c r="BP818" s="8">
        <v>4601339.5510248821</v>
      </c>
      <c r="BQ818" s="8">
        <v>2735098.7611993537</v>
      </c>
      <c r="BR818" s="8" t="str">
        <v>No</v>
      </c>
    </row>
    <row r="819" spans="54:70" x14ac:dyDescent="0.2">
      <c r="BB819" s="94"/>
      <c r="BL819" s="8">
        <v>770</v>
      </c>
      <c r="BM819" s="8">
        <v>4158235.3501772676</v>
      </c>
      <c r="BN819" s="8">
        <v>0</v>
      </c>
      <c r="BO819" s="8">
        <v>4158235.3501772676</v>
      </c>
      <c r="BP819" s="8">
        <v>2162547.3961478649</v>
      </c>
      <c r="BQ819" s="8">
        <v>-1995687.9540294027</v>
      </c>
      <c r="BR819" s="8" t="str">
        <v>Yes</v>
      </c>
    </row>
    <row r="820" spans="54:70" x14ac:dyDescent="0.2">
      <c r="BB820" s="94"/>
      <c r="BL820" s="8">
        <v>771</v>
      </c>
      <c r="BM820" s="8">
        <v>4790301.3944081888</v>
      </c>
      <c r="BN820" s="8">
        <v>0</v>
      </c>
      <c r="BO820" s="8">
        <v>4790301.3944081888</v>
      </c>
      <c r="BP820" s="8">
        <v>3539787.152071591</v>
      </c>
      <c r="BQ820" s="8">
        <v>-1250514.2423365978</v>
      </c>
      <c r="BR820" s="8" t="str">
        <v>Yes</v>
      </c>
    </row>
    <row r="821" spans="54:70" x14ac:dyDescent="0.2">
      <c r="BB821" s="94"/>
      <c r="BL821" s="8">
        <v>772</v>
      </c>
      <c r="BM821" s="8">
        <v>6037157.290852177</v>
      </c>
      <c r="BN821" s="8">
        <v>8418237.4085688237</v>
      </c>
      <c r="BO821" s="8">
        <v>14455394.699421</v>
      </c>
      <c r="BP821" s="8">
        <v>6262929.9793332182</v>
      </c>
      <c r="BQ821" s="8">
        <v>-8192464.7200877815</v>
      </c>
      <c r="BR821" s="8" t="str">
        <v>Yes</v>
      </c>
    </row>
    <row r="822" spans="54:70" x14ac:dyDescent="0.2">
      <c r="BB822" s="94"/>
      <c r="BL822" s="8">
        <v>773</v>
      </c>
      <c r="BM822" s="8">
        <v>10426649.024961637</v>
      </c>
      <c r="BN822" s="8">
        <v>0</v>
      </c>
      <c r="BO822" s="8">
        <v>10426649.024961637</v>
      </c>
      <c r="BP822" s="8">
        <v>3405543.7363478523</v>
      </c>
      <c r="BQ822" s="8">
        <v>-7021105.2886137851</v>
      </c>
      <c r="BR822" s="8" t="str">
        <v>Yes</v>
      </c>
    </row>
    <row r="823" spans="54:70" x14ac:dyDescent="0.2">
      <c r="BB823" s="94"/>
      <c r="BL823" s="8">
        <v>774</v>
      </c>
      <c r="BM823" s="8">
        <v>8739825.6987615228</v>
      </c>
      <c r="BN823" s="8">
        <v>4572116.3586348407</v>
      </c>
      <c r="BO823" s="8">
        <v>13311942.057396363</v>
      </c>
      <c r="BP823" s="8">
        <v>3804315.6419029911</v>
      </c>
      <c r="BQ823" s="8">
        <v>-9507626.4154933728</v>
      </c>
      <c r="BR823" s="8" t="str">
        <v>Yes</v>
      </c>
    </row>
    <row r="824" spans="54:70" x14ac:dyDescent="0.2">
      <c r="BB824" s="94"/>
      <c r="BL824" s="8">
        <v>775</v>
      </c>
      <c r="BM824" s="8">
        <v>8641797.5315187722</v>
      </c>
      <c r="BN824" s="8">
        <v>0</v>
      </c>
      <c r="BO824" s="8">
        <v>8641797.5315187722</v>
      </c>
      <c r="BP824" s="8">
        <v>6816120.5045815706</v>
      </c>
      <c r="BQ824" s="8">
        <v>-1825677.0269372016</v>
      </c>
      <c r="BR824" s="8" t="str">
        <v>Yes</v>
      </c>
    </row>
    <row r="825" spans="54:70" x14ac:dyDescent="0.2">
      <c r="BB825" s="94"/>
      <c r="BL825" s="8">
        <v>776</v>
      </c>
      <c r="BM825" s="8">
        <v>5921549.6565944748</v>
      </c>
      <c r="BN825" s="8">
        <v>2124277.2264729384</v>
      </c>
      <c r="BO825" s="8">
        <v>8045826.8830674132</v>
      </c>
      <c r="BP825" s="8">
        <v>4327224.3667608257</v>
      </c>
      <c r="BQ825" s="8">
        <v>-3718602.5163065875</v>
      </c>
      <c r="BR825" s="8" t="str">
        <v>Yes</v>
      </c>
    </row>
    <row r="826" spans="54:70" x14ac:dyDescent="0.2">
      <c r="BB826" s="94"/>
      <c r="BL826" s="8">
        <v>777</v>
      </c>
      <c r="BM826" s="8">
        <v>5519034.9221817702</v>
      </c>
      <c r="BN826" s="8">
        <v>0</v>
      </c>
      <c r="BO826" s="8">
        <v>5519034.9221817702</v>
      </c>
      <c r="BP826" s="8">
        <v>5909291.4902561996</v>
      </c>
      <c r="BQ826" s="8">
        <v>390256.56807442941</v>
      </c>
      <c r="BR826" s="8" t="str">
        <v>No</v>
      </c>
    </row>
    <row r="827" spans="54:70" x14ac:dyDescent="0.2">
      <c r="BB827" s="94"/>
      <c r="BL827" s="8">
        <v>778</v>
      </c>
      <c r="BM827" s="8">
        <v>7291467.7128223209</v>
      </c>
      <c r="BN827" s="8">
        <v>6611266.6764453072</v>
      </c>
      <c r="BO827" s="8">
        <v>13902734.389267627</v>
      </c>
      <c r="BP827" s="8">
        <v>3356421.8353968374</v>
      </c>
      <c r="BQ827" s="8">
        <v>-10546312.55387079</v>
      </c>
      <c r="BR827" s="8" t="str">
        <v>Yes</v>
      </c>
    </row>
    <row r="828" spans="54:70" x14ac:dyDescent="0.2">
      <c r="BB828" s="94"/>
      <c r="BL828" s="8">
        <v>779</v>
      </c>
      <c r="BM828" s="8">
        <v>5497186.9948674068</v>
      </c>
      <c r="BN828" s="8">
        <v>4318797.204941649</v>
      </c>
      <c r="BO828" s="8">
        <v>9815984.1998090558</v>
      </c>
      <c r="BP828" s="8">
        <v>2481709.0080901962</v>
      </c>
      <c r="BQ828" s="8">
        <v>-7334275.1917188596</v>
      </c>
      <c r="BR828" s="8" t="str">
        <v>Yes</v>
      </c>
    </row>
    <row r="829" spans="54:70" x14ac:dyDescent="0.2">
      <c r="BB829" s="94"/>
      <c r="BL829" s="8">
        <v>780</v>
      </c>
      <c r="BM829" s="8">
        <v>6753927.5233935751</v>
      </c>
      <c r="BN829" s="8">
        <v>0</v>
      </c>
      <c r="BO829" s="8">
        <v>6753927.5233935751</v>
      </c>
      <c r="BP829" s="8">
        <v>5794100.5474968562</v>
      </c>
      <c r="BQ829" s="8">
        <v>-959826.97589671891</v>
      </c>
      <c r="BR829" s="8" t="str">
        <v>Yes</v>
      </c>
    </row>
    <row r="830" spans="54:70" x14ac:dyDescent="0.2">
      <c r="BB830" s="94"/>
      <c r="BL830" s="8">
        <v>781</v>
      </c>
      <c r="BM830" s="8">
        <v>4679201.8129570512</v>
      </c>
      <c r="BN830" s="8">
        <v>1328457.4034543184</v>
      </c>
      <c r="BO830" s="8">
        <v>6007659.2164113699</v>
      </c>
      <c r="BP830" s="8">
        <v>3213779.054129668</v>
      </c>
      <c r="BQ830" s="8">
        <v>-2793880.1622817018</v>
      </c>
      <c r="BR830" s="8" t="str">
        <v>Yes</v>
      </c>
    </row>
    <row r="831" spans="54:70" x14ac:dyDescent="0.2">
      <c r="BB831" s="94"/>
      <c r="BL831" s="8">
        <v>782</v>
      </c>
      <c r="BM831" s="8">
        <v>3000666.2102185208</v>
      </c>
      <c r="BN831" s="8">
        <v>2753879.3352013966</v>
      </c>
      <c r="BO831" s="8">
        <v>5754545.5454199174</v>
      </c>
      <c r="BP831" s="8">
        <v>4510698.690251518</v>
      </c>
      <c r="BQ831" s="8">
        <v>-1243846.8551683994</v>
      </c>
      <c r="BR831" s="8" t="str">
        <v>Yes</v>
      </c>
    </row>
    <row r="832" spans="54:70" x14ac:dyDescent="0.2">
      <c r="BB832" s="94"/>
      <c r="BL832" s="8">
        <v>783</v>
      </c>
      <c r="BM832" s="8">
        <v>2697620.7402976514</v>
      </c>
      <c r="BN832" s="8">
        <v>1294061.5541846973</v>
      </c>
      <c r="BO832" s="8">
        <v>3991682.2944823485</v>
      </c>
      <c r="BP832" s="8">
        <v>6232377.1826794818</v>
      </c>
      <c r="BQ832" s="8">
        <v>2240694.8881971333</v>
      </c>
      <c r="BR832" s="8" t="str">
        <v>No</v>
      </c>
    </row>
    <row r="833" spans="54:70" x14ac:dyDescent="0.2">
      <c r="BB833" s="94"/>
      <c r="BL833" s="8">
        <v>784</v>
      </c>
      <c r="BM833" s="8">
        <v>7878009.4702393571</v>
      </c>
      <c r="BN833" s="8">
        <v>4018487.6777865202</v>
      </c>
      <c r="BO833" s="8">
        <v>11896497.148025878</v>
      </c>
      <c r="BP833" s="8">
        <v>4051039.3353542564</v>
      </c>
      <c r="BQ833" s="8">
        <v>-7845457.8126716213</v>
      </c>
      <c r="BR833" s="8" t="str">
        <v>Yes</v>
      </c>
    </row>
    <row r="834" spans="54:70" x14ac:dyDescent="0.2">
      <c r="BB834" s="94"/>
      <c r="BL834" s="8">
        <v>785</v>
      </c>
      <c r="BM834" s="8">
        <v>4114783.7450116244</v>
      </c>
      <c r="BN834" s="8">
        <v>0</v>
      </c>
      <c r="BO834" s="8">
        <v>4114783.7450116244</v>
      </c>
      <c r="BP834" s="8">
        <v>3449399.9022120633</v>
      </c>
      <c r="BQ834" s="8">
        <v>-665383.8427995611</v>
      </c>
      <c r="BR834" s="8" t="str">
        <v>Yes</v>
      </c>
    </row>
    <row r="835" spans="54:70" x14ac:dyDescent="0.2">
      <c r="BB835" s="94"/>
      <c r="BL835" s="8">
        <v>786</v>
      </c>
      <c r="BM835" s="8">
        <v>2327985.4013417615</v>
      </c>
      <c r="BN835" s="8">
        <v>0</v>
      </c>
      <c r="BO835" s="8">
        <v>2327985.4013417615</v>
      </c>
      <c r="BP835" s="8">
        <v>2362224.4819170292</v>
      </c>
      <c r="BQ835" s="8">
        <v>34239.080575267784</v>
      </c>
      <c r="BR835" s="8" t="str">
        <v>No</v>
      </c>
    </row>
    <row r="836" spans="54:70" x14ac:dyDescent="0.2">
      <c r="BB836" s="94"/>
      <c r="BL836" s="8">
        <v>787</v>
      </c>
      <c r="BM836" s="8">
        <v>4974058.2722548563</v>
      </c>
      <c r="BN836" s="8">
        <v>0</v>
      </c>
      <c r="BO836" s="8">
        <v>4974058.2722548563</v>
      </c>
      <c r="BP836" s="8">
        <v>4202631.9946008231</v>
      </c>
      <c r="BQ836" s="8">
        <v>-771426.27765403315</v>
      </c>
      <c r="BR836" s="8" t="str">
        <v>Yes</v>
      </c>
    </row>
    <row r="837" spans="54:70" x14ac:dyDescent="0.2">
      <c r="BB837" s="94"/>
      <c r="BL837" s="8">
        <v>788</v>
      </c>
      <c r="BM837" s="8">
        <v>7880996.8957919255</v>
      </c>
      <c r="BN837" s="8">
        <v>0</v>
      </c>
      <c r="BO837" s="8">
        <v>7880996.8957919255</v>
      </c>
      <c r="BP837" s="8">
        <v>6147504.6112532169</v>
      </c>
      <c r="BQ837" s="8">
        <v>-1733492.2845387086</v>
      </c>
      <c r="BR837" s="8" t="str">
        <v>Yes</v>
      </c>
    </row>
    <row r="838" spans="54:70" x14ac:dyDescent="0.2">
      <c r="BB838" s="94"/>
      <c r="BL838" s="8">
        <v>789</v>
      </c>
      <c r="BM838" s="8">
        <v>6287007.5269340351</v>
      </c>
      <c r="BN838" s="8">
        <v>0</v>
      </c>
      <c r="BO838" s="8">
        <v>6287007.5269340351</v>
      </c>
      <c r="BP838" s="8">
        <v>3957464.2455295152</v>
      </c>
      <c r="BQ838" s="8">
        <v>-2329543.2814045199</v>
      </c>
      <c r="BR838" s="8" t="str">
        <v>Yes</v>
      </c>
    </row>
    <row r="839" spans="54:70" x14ac:dyDescent="0.2">
      <c r="BB839" s="94"/>
      <c r="BL839" s="8">
        <v>790</v>
      </c>
      <c r="BM839" s="8">
        <v>4546916.4528390002</v>
      </c>
      <c r="BN839" s="8">
        <v>0</v>
      </c>
      <c r="BO839" s="8">
        <v>4546916.4528390002</v>
      </c>
      <c r="BP839" s="8">
        <v>6444672.2160649514</v>
      </c>
      <c r="BQ839" s="8">
        <v>1897755.7632259512</v>
      </c>
      <c r="BR839" s="8" t="str">
        <v>No</v>
      </c>
    </row>
    <row r="840" spans="54:70" x14ac:dyDescent="0.2">
      <c r="BB840" s="94"/>
      <c r="BL840" s="8">
        <v>791</v>
      </c>
      <c r="BM840" s="8">
        <v>4285947.4744080957</v>
      </c>
      <c r="BN840" s="8">
        <v>3844498.1945860642</v>
      </c>
      <c r="BO840" s="8">
        <v>8130445.6689941604</v>
      </c>
      <c r="BP840" s="8">
        <v>4403780.6848237962</v>
      </c>
      <c r="BQ840" s="8">
        <v>-3726664.9841703642</v>
      </c>
      <c r="BR840" s="8" t="str">
        <v>Yes</v>
      </c>
    </row>
    <row r="841" spans="54:70" x14ac:dyDescent="0.2">
      <c r="BB841" s="94"/>
      <c r="BL841" s="8">
        <v>792</v>
      </c>
      <c r="BM841" s="8">
        <v>4843413.9148600921</v>
      </c>
      <c r="BN841" s="8">
        <v>0</v>
      </c>
      <c r="BO841" s="8">
        <v>4843413.9148600921</v>
      </c>
      <c r="BP841" s="8">
        <v>5711967.091162879</v>
      </c>
      <c r="BQ841" s="8">
        <v>868553.17630278692</v>
      </c>
      <c r="BR841" s="8" t="str">
        <v>No</v>
      </c>
    </row>
    <row r="842" spans="54:70" x14ac:dyDescent="0.2">
      <c r="BB842" s="94"/>
      <c r="BL842" s="8">
        <v>793</v>
      </c>
      <c r="BM842" s="8">
        <v>4215779.5946680913</v>
      </c>
      <c r="BN842" s="8">
        <v>0</v>
      </c>
      <c r="BO842" s="8">
        <v>4215779.5946680913</v>
      </c>
      <c r="BP842" s="8">
        <v>4109252.6288172603</v>
      </c>
      <c r="BQ842" s="8">
        <v>-106526.96585083101</v>
      </c>
      <c r="BR842" s="8" t="str">
        <v>Yes</v>
      </c>
    </row>
    <row r="843" spans="54:70" x14ac:dyDescent="0.2">
      <c r="BB843" s="94"/>
      <c r="BL843" s="8">
        <v>794</v>
      </c>
      <c r="BM843" s="8">
        <v>6022050.9838280985</v>
      </c>
      <c r="BN843" s="8">
        <v>0</v>
      </c>
      <c r="BO843" s="8">
        <v>6022050.9838280985</v>
      </c>
      <c r="BP843" s="8">
        <v>3250481.0069184992</v>
      </c>
      <c r="BQ843" s="8">
        <v>-2771569.9769095993</v>
      </c>
      <c r="BR843" s="8" t="str">
        <v>Yes</v>
      </c>
    </row>
    <row r="844" spans="54:70" x14ac:dyDescent="0.2">
      <c r="BB844" s="94"/>
      <c r="BL844" s="8">
        <v>795</v>
      </c>
      <c r="BM844" s="8">
        <v>5103148.9904300813</v>
      </c>
      <c r="BN844" s="8">
        <v>0</v>
      </c>
      <c r="BO844" s="8">
        <v>5103148.9904300813</v>
      </c>
      <c r="BP844" s="8">
        <v>3642470.0720561869</v>
      </c>
      <c r="BQ844" s="8">
        <v>-1460678.9183738944</v>
      </c>
      <c r="BR844" s="8" t="str">
        <v>Yes</v>
      </c>
    </row>
    <row r="845" spans="54:70" x14ac:dyDescent="0.2">
      <c r="BB845" s="94"/>
      <c r="BL845" s="8">
        <v>796</v>
      </c>
      <c r="BM845" s="8">
        <v>1855201.4681337802</v>
      </c>
      <c r="BN845" s="8">
        <v>833695.52956472686</v>
      </c>
      <c r="BO845" s="8">
        <v>2688896.9976985073</v>
      </c>
      <c r="BP845" s="8">
        <v>3039037.7085510711</v>
      </c>
      <c r="BQ845" s="8">
        <v>350140.71085256385</v>
      </c>
      <c r="BR845" s="8" t="str">
        <v>No</v>
      </c>
    </row>
    <row r="846" spans="54:70" x14ac:dyDescent="0.2">
      <c r="BB846" s="94"/>
      <c r="BL846" s="8">
        <v>797</v>
      </c>
      <c r="BM846" s="8">
        <v>5134842.139882179</v>
      </c>
      <c r="BN846" s="8">
        <v>0</v>
      </c>
      <c r="BO846" s="8">
        <v>5134842.139882179</v>
      </c>
      <c r="BP846" s="8">
        <v>4251004.839661641</v>
      </c>
      <c r="BQ846" s="8">
        <v>-883837.30022053793</v>
      </c>
      <c r="BR846" s="8" t="str">
        <v>Yes</v>
      </c>
    </row>
    <row r="847" spans="54:70" x14ac:dyDescent="0.2">
      <c r="BB847" s="94"/>
      <c r="BL847" s="8">
        <v>798</v>
      </c>
      <c r="BM847" s="8">
        <v>4821170.8803221807</v>
      </c>
      <c r="BN847" s="8">
        <v>4728769.3963632025</v>
      </c>
      <c r="BO847" s="8">
        <v>9549940.2766853832</v>
      </c>
      <c r="BP847" s="8">
        <v>6382510.725571706</v>
      </c>
      <c r="BQ847" s="8">
        <v>-3167429.5511136772</v>
      </c>
      <c r="BR847" s="8" t="str">
        <v>Yes</v>
      </c>
    </row>
    <row r="848" spans="54:70" x14ac:dyDescent="0.2">
      <c r="BB848" s="94"/>
      <c r="BL848" s="8">
        <v>799</v>
      </c>
      <c r="BM848" s="8">
        <v>6027738.6985821566</v>
      </c>
      <c r="BN848" s="8">
        <v>0</v>
      </c>
      <c r="BO848" s="8">
        <v>6027738.6985821566</v>
      </c>
      <c r="BP848" s="8">
        <v>5949520.3938760497</v>
      </c>
      <c r="BQ848" s="8">
        <v>-78218.304706106894</v>
      </c>
      <c r="BR848" s="8" t="str">
        <v>Yes</v>
      </c>
    </row>
    <row r="849" spans="54:70" x14ac:dyDescent="0.2">
      <c r="BB849" s="94"/>
      <c r="BL849" s="8">
        <v>800</v>
      </c>
      <c r="BM849" s="8">
        <v>1477190.0395711816</v>
      </c>
      <c r="BN849" s="8">
        <v>1171796.7404197599</v>
      </c>
      <c r="BO849" s="8">
        <v>2648986.7799909413</v>
      </c>
      <c r="BP849" s="8">
        <v>3346272.3221215829</v>
      </c>
      <c r="BQ849" s="8">
        <v>697285.54213064164</v>
      </c>
      <c r="BR849" s="8" t="str">
        <v>No</v>
      </c>
    </row>
    <row r="850" spans="54:70" x14ac:dyDescent="0.2">
      <c r="BB850" s="94"/>
      <c r="BL850" s="8">
        <v>801</v>
      </c>
      <c r="BM850" s="8">
        <v>2924634.701100227</v>
      </c>
      <c r="BN850" s="8">
        <v>2443913.4696118347</v>
      </c>
      <c r="BO850" s="8">
        <v>5368548.1707120612</v>
      </c>
      <c r="BP850" s="8">
        <v>3501478.289132331</v>
      </c>
      <c r="BQ850" s="8">
        <v>-1867069.8815797302</v>
      </c>
      <c r="BR850" s="8" t="str">
        <v>Yes</v>
      </c>
    </row>
    <row r="851" spans="54:70" x14ac:dyDescent="0.2">
      <c r="BB851" s="94"/>
      <c r="BL851" s="8">
        <v>802</v>
      </c>
      <c r="BM851" s="8">
        <v>2994578.5727293547</v>
      </c>
      <c r="BN851" s="8">
        <v>0</v>
      </c>
      <c r="BO851" s="8">
        <v>2994578.5727293547</v>
      </c>
      <c r="BP851" s="8">
        <v>3370996.2543868348</v>
      </c>
      <c r="BQ851" s="8">
        <v>376417.68165748008</v>
      </c>
      <c r="BR851" s="8" t="str">
        <v>No</v>
      </c>
    </row>
    <row r="852" spans="54:70" x14ac:dyDescent="0.2">
      <c r="BB852" s="94"/>
      <c r="BL852" s="8">
        <v>803</v>
      </c>
      <c r="BM852" s="8">
        <v>4110592.5644579502</v>
      </c>
      <c r="BN852" s="8">
        <v>0</v>
      </c>
      <c r="BO852" s="8">
        <v>4110592.5644579502</v>
      </c>
      <c r="BP852" s="8">
        <v>4110185.232167582</v>
      </c>
      <c r="BQ852" s="8">
        <v>-407.33229036815464</v>
      </c>
      <c r="BR852" s="8" t="str">
        <v>Yes</v>
      </c>
    </row>
    <row r="853" spans="54:70" x14ac:dyDescent="0.2">
      <c r="BB853" s="94"/>
      <c r="BL853" s="8">
        <v>804</v>
      </c>
      <c r="BM853" s="8">
        <v>4522276.4054544102</v>
      </c>
      <c r="BN853" s="8">
        <v>0</v>
      </c>
      <c r="BO853" s="8">
        <v>4522276.4054544102</v>
      </c>
      <c r="BP853" s="8">
        <v>5976564.7787941638</v>
      </c>
      <c r="BQ853" s="8">
        <v>1454288.3733397536</v>
      </c>
      <c r="BR853" s="8" t="str">
        <v>No</v>
      </c>
    </row>
    <row r="854" spans="54:70" x14ac:dyDescent="0.2">
      <c r="BB854" s="94"/>
      <c r="BL854" s="8">
        <v>805</v>
      </c>
      <c r="BM854" s="8">
        <v>6824568.8171005296</v>
      </c>
      <c r="BN854" s="8">
        <v>0</v>
      </c>
      <c r="BO854" s="8">
        <v>6824568.8171005296</v>
      </c>
      <c r="BP854" s="8">
        <v>3429458.3412646214</v>
      </c>
      <c r="BQ854" s="8">
        <v>-3395110.4758359082</v>
      </c>
      <c r="BR854" s="8" t="str">
        <v>Yes</v>
      </c>
    </row>
    <row r="855" spans="54:70" x14ac:dyDescent="0.2">
      <c r="BB855" s="94"/>
      <c r="BL855" s="8">
        <v>806</v>
      </c>
      <c r="BM855" s="8">
        <v>2754095.0976918139</v>
      </c>
      <c r="BN855" s="8">
        <v>0</v>
      </c>
      <c r="BO855" s="8">
        <v>2754095.0976918139</v>
      </c>
      <c r="BP855" s="8">
        <v>2404079.3834179658</v>
      </c>
      <c r="BQ855" s="8">
        <v>-350015.71427384811</v>
      </c>
      <c r="BR855" s="8" t="str">
        <v>Yes</v>
      </c>
    </row>
    <row r="856" spans="54:70" x14ac:dyDescent="0.2">
      <c r="BB856" s="94"/>
      <c r="BL856" s="8">
        <v>807</v>
      </c>
      <c r="BM856" s="8">
        <v>3458382.3960163463</v>
      </c>
      <c r="BN856" s="8">
        <v>3455044.4946153825</v>
      </c>
      <c r="BO856" s="8">
        <v>6913426.8906317288</v>
      </c>
      <c r="BP856" s="8">
        <v>4236871.6902695596</v>
      </c>
      <c r="BQ856" s="8">
        <v>-2676555.2003621692</v>
      </c>
      <c r="BR856" s="8" t="str">
        <v>Yes</v>
      </c>
    </row>
    <row r="857" spans="54:70" x14ac:dyDescent="0.2">
      <c r="BB857" s="94"/>
      <c r="BL857" s="8">
        <v>808</v>
      </c>
      <c r="BM857" s="8">
        <v>7768752.5340627516</v>
      </c>
      <c r="BN857" s="8">
        <v>0</v>
      </c>
      <c r="BO857" s="8">
        <v>7768752.5340627516</v>
      </c>
      <c r="BP857" s="8">
        <v>5849402.3702897113</v>
      </c>
      <c r="BQ857" s="8">
        <v>-1919350.1637730403</v>
      </c>
      <c r="BR857" s="8" t="str">
        <v>Yes</v>
      </c>
    </row>
    <row r="858" spans="54:70" x14ac:dyDescent="0.2">
      <c r="BB858" s="94"/>
      <c r="BL858" s="8">
        <v>809</v>
      </c>
      <c r="BM858" s="8">
        <v>6587091.5191650391</v>
      </c>
      <c r="BN858" s="8">
        <v>0</v>
      </c>
      <c r="BO858" s="8">
        <v>6587091.5191650391</v>
      </c>
      <c r="BP858" s="8">
        <v>6088125.636099075</v>
      </c>
      <c r="BQ858" s="8">
        <v>-498965.8830659641</v>
      </c>
      <c r="BR858" s="8" t="str">
        <v>Yes</v>
      </c>
    </row>
    <row r="859" spans="54:70" x14ac:dyDescent="0.2">
      <c r="BB859" s="94"/>
      <c r="BL859" s="8">
        <v>810</v>
      </c>
      <c r="BM859" s="8">
        <v>7390086.4349841718</v>
      </c>
      <c r="BN859" s="8">
        <v>0</v>
      </c>
      <c r="BO859" s="8">
        <v>7390086.4349841718</v>
      </c>
      <c r="BP859" s="8">
        <v>6152146.4607364871</v>
      </c>
      <c r="BQ859" s="8">
        <v>-1237939.9742476847</v>
      </c>
      <c r="BR859" s="8" t="str">
        <v>Yes</v>
      </c>
    </row>
    <row r="860" spans="54:70" x14ac:dyDescent="0.2">
      <c r="BB860" s="94"/>
      <c r="BL860" s="8">
        <v>811</v>
      </c>
      <c r="BM860" s="8">
        <v>5450095.5904270597</v>
      </c>
      <c r="BN860" s="8">
        <v>0</v>
      </c>
      <c r="BO860" s="8">
        <v>5450095.5904270597</v>
      </c>
      <c r="BP860" s="8">
        <v>6133341.1279066205</v>
      </c>
      <c r="BQ860" s="8">
        <v>683245.53747956082</v>
      </c>
      <c r="BR860" s="8" t="str">
        <v>No</v>
      </c>
    </row>
    <row r="861" spans="54:70" x14ac:dyDescent="0.2">
      <c r="BB861" s="94"/>
      <c r="BL861" s="8">
        <v>812</v>
      </c>
      <c r="BM861" s="8">
        <v>7098733.2884097192</v>
      </c>
      <c r="BN861" s="8">
        <v>0</v>
      </c>
      <c r="BO861" s="8">
        <v>7098733.2884097192</v>
      </c>
      <c r="BP861" s="8">
        <v>2578177.4946624911</v>
      </c>
      <c r="BQ861" s="8">
        <v>-4520555.7937472276</v>
      </c>
      <c r="BR861" s="8" t="str">
        <v>Yes</v>
      </c>
    </row>
    <row r="862" spans="54:70" x14ac:dyDescent="0.2">
      <c r="BB862" s="94"/>
      <c r="BL862" s="8">
        <v>813</v>
      </c>
      <c r="BM862" s="8">
        <v>2094134.2374620799</v>
      </c>
      <c r="BN862" s="8">
        <v>241075.8480962051</v>
      </c>
      <c r="BO862" s="8">
        <v>2335210.085558285</v>
      </c>
      <c r="BP862" s="8">
        <v>6563587.9246135233</v>
      </c>
      <c r="BQ862" s="8">
        <v>4228377.8390552383</v>
      </c>
      <c r="BR862" s="8" t="str">
        <v>No</v>
      </c>
    </row>
    <row r="863" spans="54:70" x14ac:dyDescent="0.2">
      <c r="BB863" s="94"/>
      <c r="BL863" s="8">
        <v>814</v>
      </c>
      <c r="BM863" s="8">
        <v>4030915.3087387411</v>
      </c>
      <c r="BN863" s="8">
        <v>5684822.4908732753</v>
      </c>
      <c r="BO863" s="8">
        <v>9715737.7996120155</v>
      </c>
      <c r="BP863" s="8">
        <v>2352628.6994628948</v>
      </c>
      <c r="BQ863" s="8">
        <v>-7363109.1001491211</v>
      </c>
      <c r="BR863" s="8" t="str">
        <v>Yes</v>
      </c>
    </row>
    <row r="864" spans="54:70" x14ac:dyDescent="0.2">
      <c r="BB864" s="94"/>
      <c r="BL864" s="8">
        <v>815</v>
      </c>
      <c r="BM864" s="8">
        <v>4443736.1623868896</v>
      </c>
      <c r="BN864" s="8">
        <v>0</v>
      </c>
      <c r="BO864" s="8">
        <v>4443736.1623868896</v>
      </c>
      <c r="BP864" s="8">
        <v>3642436.4988464806</v>
      </c>
      <c r="BQ864" s="8">
        <v>-801299.66354040895</v>
      </c>
      <c r="BR864" s="8" t="str">
        <v>Yes</v>
      </c>
    </row>
    <row r="865" spans="54:70" x14ac:dyDescent="0.2">
      <c r="BB865" s="94"/>
      <c r="BL865" s="8">
        <v>816</v>
      </c>
      <c r="BM865" s="8">
        <v>5144494.5146490894</v>
      </c>
      <c r="BN865" s="8">
        <v>3161201.2820294471</v>
      </c>
      <c r="BO865" s="8">
        <v>8305695.7966785366</v>
      </c>
      <c r="BP865" s="8">
        <v>3417111.6366132987</v>
      </c>
      <c r="BQ865" s="8">
        <v>-4888584.1600652374</v>
      </c>
      <c r="BR865" s="8" t="str">
        <v>Yes</v>
      </c>
    </row>
    <row r="866" spans="54:70" x14ac:dyDescent="0.2">
      <c r="BB866" s="94"/>
      <c r="BL866" s="8">
        <v>817</v>
      </c>
      <c r="BM866" s="8">
        <v>2964482.3624059809</v>
      </c>
      <c r="BN866" s="8">
        <v>0</v>
      </c>
      <c r="BO866" s="8">
        <v>2964482.3624059809</v>
      </c>
      <c r="BP866" s="8">
        <v>2866058.3737875652</v>
      </c>
      <c r="BQ866" s="8">
        <v>-98423.98861841578</v>
      </c>
      <c r="BR866" s="8" t="str">
        <v>Yes</v>
      </c>
    </row>
    <row r="867" spans="54:70" x14ac:dyDescent="0.2">
      <c r="BB867" s="94"/>
      <c r="BL867" s="8">
        <v>818</v>
      </c>
      <c r="BM867" s="8">
        <v>5786737.8299400536</v>
      </c>
      <c r="BN867" s="8">
        <v>9654553.4811024517</v>
      </c>
      <c r="BO867" s="8">
        <v>15441291.311042506</v>
      </c>
      <c r="BP867" s="8">
        <v>6295369.8186603002</v>
      </c>
      <c r="BQ867" s="8">
        <v>-9145921.492382206</v>
      </c>
      <c r="BR867" s="8" t="str">
        <v>Yes</v>
      </c>
    </row>
    <row r="868" spans="54:70" x14ac:dyDescent="0.2">
      <c r="BB868" s="94"/>
      <c r="BL868" s="8">
        <v>819</v>
      </c>
      <c r="BM868" s="8">
        <v>6765732.3492503706</v>
      </c>
      <c r="BN868" s="8">
        <v>0</v>
      </c>
      <c r="BO868" s="8">
        <v>6765732.3492503706</v>
      </c>
      <c r="BP868" s="8">
        <v>6297289.4264426362</v>
      </c>
      <c r="BQ868" s="8">
        <v>-468442.92280773446</v>
      </c>
      <c r="BR868" s="8" t="str">
        <v>Yes</v>
      </c>
    </row>
    <row r="869" spans="54:70" x14ac:dyDescent="0.2">
      <c r="BB869" s="94"/>
      <c r="BL869" s="8">
        <v>820</v>
      </c>
      <c r="BM869" s="8">
        <v>2164416.1028025104</v>
      </c>
      <c r="BN869" s="8">
        <v>2160930.7874963577</v>
      </c>
      <c r="BO869" s="8">
        <v>4325346.8902988676</v>
      </c>
      <c r="BP869" s="8">
        <v>2310740.2911286219</v>
      </c>
      <c r="BQ869" s="8">
        <v>-2014606.5991702457</v>
      </c>
      <c r="BR869" s="8" t="str">
        <v>Yes</v>
      </c>
    </row>
    <row r="870" spans="54:70" x14ac:dyDescent="0.2">
      <c r="BB870" s="94"/>
      <c r="BL870" s="8">
        <v>821</v>
      </c>
      <c r="BM870" s="8">
        <v>8636218.9192552287</v>
      </c>
      <c r="BN870" s="8">
        <v>9987630.7513350789</v>
      </c>
      <c r="BO870" s="8">
        <v>18623849.670590308</v>
      </c>
      <c r="BP870" s="8">
        <v>3271647.6173196044</v>
      </c>
      <c r="BQ870" s="8">
        <v>-15352202.053270703</v>
      </c>
      <c r="BR870" s="8" t="str">
        <v>Yes</v>
      </c>
    </row>
    <row r="871" spans="54:70" x14ac:dyDescent="0.2">
      <c r="BB871" s="94"/>
      <c r="BL871" s="8">
        <v>822</v>
      </c>
      <c r="BM871" s="8">
        <v>5713679.0503837429</v>
      </c>
      <c r="BN871" s="8">
        <v>0</v>
      </c>
      <c r="BO871" s="8">
        <v>5713679.0503837429</v>
      </c>
      <c r="BP871" s="8">
        <v>3230282.153756958</v>
      </c>
      <c r="BQ871" s="8">
        <v>-2483396.8966267849</v>
      </c>
      <c r="BR871" s="8" t="str">
        <v>Yes</v>
      </c>
    </row>
    <row r="872" spans="54:70" x14ac:dyDescent="0.2">
      <c r="BB872" s="94"/>
      <c r="BL872" s="8">
        <v>823</v>
      </c>
      <c r="BM872" s="8">
        <v>1656082.9675657593</v>
      </c>
      <c r="BN872" s="8">
        <v>1986324.1828921302</v>
      </c>
      <c r="BO872" s="8">
        <v>3642407.1504578898</v>
      </c>
      <c r="BP872" s="8">
        <v>2398327.1785885566</v>
      </c>
      <c r="BQ872" s="8">
        <v>-1244079.9718693332</v>
      </c>
      <c r="BR872" s="8" t="str">
        <v>Yes</v>
      </c>
    </row>
    <row r="873" spans="54:70" x14ac:dyDescent="0.2">
      <c r="BB873" s="94"/>
      <c r="BL873" s="8">
        <v>824</v>
      </c>
      <c r="BM873" s="8">
        <v>3976456.5102033163</v>
      </c>
      <c r="BN873" s="8">
        <v>4175643.2004244304</v>
      </c>
      <c r="BO873" s="8">
        <v>8152099.7106277468</v>
      </c>
      <c r="BP873" s="8">
        <v>3249511.4616543544</v>
      </c>
      <c r="BQ873" s="8">
        <v>-4902588.248973392</v>
      </c>
      <c r="BR873" s="8" t="str">
        <v>Yes</v>
      </c>
    </row>
    <row r="874" spans="54:70" x14ac:dyDescent="0.2">
      <c r="BB874" s="94"/>
      <c r="BL874" s="8">
        <v>825</v>
      </c>
      <c r="BM874" s="8">
        <v>4262508.6665180912</v>
      </c>
      <c r="BN874" s="8">
        <v>5077202.5634084688</v>
      </c>
      <c r="BO874" s="8">
        <v>9339711.2299265601</v>
      </c>
      <c r="BP874" s="8">
        <v>2510806.5980599746</v>
      </c>
      <c r="BQ874" s="8">
        <v>-6828904.6318665855</v>
      </c>
      <c r="BR874" s="8" t="str">
        <v>Yes</v>
      </c>
    </row>
    <row r="875" spans="54:70" x14ac:dyDescent="0.2">
      <c r="BB875" s="94"/>
      <c r="BL875" s="8">
        <v>826</v>
      </c>
      <c r="BM875" s="8">
        <v>4467948.7766767414</v>
      </c>
      <c r="BN875" s="8">
        <v>0</v>
      </c>
      <c r="BO875" s="8">
        <v>4467948.7766767414</v>
      </c>
      <c r="BP875" s="8">
        <v>3298412.7976358598</v>
      </c>
      <c r="BQ875" s="8">
        <v>-1169535.9790408816</v>
      </c>
      <c r="BR875" s="8" t="str">
        <v>Yes</v>
      </c>
    </row>
    <row r="876" spans="54:70" x14ac:dyDescent="0.2">
      <c r="BB876" s="94"/>
      <c r="BL876" s="8">
        <v>827</v>
      </c>
      <c r="BM876" s="8">
        <v>7092369.584453485</v>
      </c>
      <c r="BN876" s="8">
        <v>3927739.5593435713</v>
      </c>
      <c r="BO876" s="8">
        <v>11020109.143797057</v>
      </c>
      <c r="BP876" s="8">
        <v>3995582.8351856582</v>
      </c>
      <c r="BQ876" s="8">
        <v>-7024526.3086113986</v>
      </c>
      <c r="BR876" s="8" t="str">
        <v>Yes</v>
      </c>
    </row>
    <row r="877" spans="54:70" x14ac:dyDescent="0.2">
      <c r="BB877" s="94"/>
      <c r="BL877" s="8">
        <v>828</v>
      </c>
      <c r="BM877" s="8">
        <v>4267723.6683148071</v>
      </c>
      <c r="BN877" s="8">
        <v>3717458.1307760291</v>
      </c>
      <c r="BO877" s="8">
        <v>7985181.7990908362</v>
      </c>
      <c r="BP877" s="8">
        <v>3394521.1032128329</v>
      </c>
      <c r="BQ877" s="8">
        <v>-4590660.6958780028</v>
      </c>
      <c r="BR877" s="8" t="str">
        <v>Yes</v>
      </c>
    </row>
    <row r="878" spans="54:70" x14ac:dyDescent="0.2">
      <c r="BB878" s="94"/>
      <c r="BL878" s="8">
        <v>829</v>
      </c>
      <c r="BM878" s="8">
        <v>4766254.88949404</v>
      </c>
      <c r="BN878" s="8">
        <v>8116369.6778657548</v>
      </c>
      <c r="BO878" s="8">
        <v>12882624.567359794</v>
      </c>
      <c r="BP878" s="8">
        <v>2473897.663394385</v>
      </c>
      <c r="BQ878" s="8">
        <v>-10408726.90396541</v>
      </c>
      <c r="BR878" s="8" t="str">
        <v>Yes</v>
      </c>
    </row>
    <row r="879" spans="54:70" x14ac:dyDescent="0.2">
      <c r="BB879" s="94"/>
      <c r="BL879" s="8">
        <v>830</v>
      </c>
      <c r="BM879" s="8">
        <v>2502178.7942988607</v>
      </c>
      <c r="BN879" s="8">
        <v>3054428.270413063</v>
      </c>
      <c r="BO879" s="8">
        <v>5556607.0647119237</v>
      </c>
      <c r="BP879" s="8">
        <v>2379289.9148810827</v>
      </c>
      <c r="BQ879" s="8">
        <v>-3177317.149830841</v>
      </c>
      <c r="BR879" s="8" t="str">
        <v>Yes</v>
      </c>
    </row>
    <row r="880" spans="54:70" x14ac:dyDescent="0.2">
      <c r="BB880" s="94"/>
      <c r="BL880" s="8">
        <v>831</v>
      </c>
      <c r="BM880" s="8">
        <v>5219342.3549569696</v>
      </c>
      <c r="BN880" s="8">
        <v>5674472.7493302654</v>
      </c>
      <c r="BO880" s="8">
        <v>10893815.104287235</v>
      </c>
      <c r="BP880" s="8">
        <v>6279691.4317763494</v>
      </c>
      <c r="BQ880" s="8">
        <v>-4614123.6725108856</v>
      </c>
      <c r="BR880" s="8" t="str">
        <v>Yes</v>
      </c>
    </row>
    <row r="881" spans="54:70" x14ac:dyDescent="0.2">
      <c r="BB881" s="94"/>
      <c r="BL881" s="8">
        <v>832</v>
      </c>
      <c r="BM881" s="8">
        <v>3652533.1813947456</v>
      </c>
      <c r="BN881" s="8">
        <v>4811243.6984303258</v>
      </c>
      <c r="BO881" s="8">
        <v>8463776.8798250705</v>
      </c>
      <c r="BP881" s="8">
        <v>4222028.9493444692</v>
      </c>
      <c r="BQ881" s="8">
        <v>-4241747.9304806013</v>
      </c>
      <c r="BR881" s="8" t="str">
        <v>Yes</v>
      </c>
    </row>
    <row r="882" spans="54:70" x14ac:dyDescent="0.2">
      <c r="BB882" s="94"/>
      <c r="BL882" s="8">
        <v>833</v>
      </c>
      <c r="BM882" s="8">
        <v>4077349.2125156079</v>
      </c>
      <c r="BN882" s="8">
        <v>0</v>
      </c>
      <c r="BO882" s="8">
        <v>4077349.2125156079</v>
      </c>
      <c r="BP882" s="8">
        <v>4146928.2733908193</v>
      </c>
      <c r="BQ882" s="8">
        <v>69579.060875211377</v>
      </c>
      <c r="BR882" s="8" t="str">
        <v>No</v>
      </c>
    </row>
    <row r="883" spans="54:70" x14ac:dyDescent="0.2">
      <c r="BB883" s="94"/>
      <c r="BL883" s="8">
        <v>834</v>
      </c>
      <c r="BM883" s="8">
        <v>9471598.3772117849</v>
      </c>
      <c r="BN883" s="8">
        <v>3201367.6325037046</v>
      </c>
      <c r="BO883" s="8">
        <v>12672966.00971549</v>
      </c>
      <c r="BP883" s="8">
        <v>6571881.2729330789</v>
      </c>
      <c r="BQ883" s="8">
        <v>-6101084.7367824111</v>
      </c>
      <c r="BR883" s="8" t="str">
        <v>Yes</v>
      </c>
    </row>
    <row r="884" spans="54:70" x14ac:dyDescent="0.2">
      <c r="BB884" s="94"/>
      <c r="BL884" s="8">
        <v>835</v>
      </c>
      <c r="BM884" s="8">
        <v>4322222.6380897406</v>
      </c>
      <c r="BN884" s="8">
        <v>0</v>
      </c>
      <c r="BO884" s="8">
        <v>4322222.6380897406</v>
      </c>
      <c r="BP884" s="8">
        <v>5771612.3900966896</v>
      </c>
      <c r="BQ884" s="8">
        <v>1449389.7520069489</v>
      </c>
      <c r="BR884" s="8" t="str">
        <v>No</v>
      </c>
    </row>
    <row r="885" spans="54:70" x14ac:dyDescent="0.2">
      <c r="BB885" s="94"/>
      <c r="BL885" s="8">
        <v>836</v>
      </c>
      <c r="BM885" s="8">
        <v>5896381.543791458</v>
      </c>
      <c r="BN885" s="8">
        <v>0</v>
      </c>
      <c r="BO885" s="8">
        <v>5896381.543791458</v>
      </c>
      <c r="BP885" s="8">
        <v>6190244.8668563329</v>
      </c>
      <c r="BQ885" s="8">
        <v>293863.32306487486</v>
      </c>
      <c r="BR885" s="8" t="str">
        <v>No</v>
      </c>
    </row>
    <row r="886" spans="54:70" x14ac:dyDescent="0.2">
      <c r="BB886" s="94"/>
      <c r="BL886" s="8">
        <v>837</v>
      </c>
      <c r="BM886" s="8">
        <v>3513487.7815655158</v>
      </c>
      <c r="BN886" s="8">
        <v>2317997.7844670624</v>
      </c>
      <c r="BO886" s="8">
        <v>5831485.5660325782</v>
      </c>
      <c r="BP886" s="8">
        <v>6430203.3596639354</v>
      </c>
      <c r="BQ886" s="8">
        <v>598717.79363135714</v>
      </c>
      <c r="BR886" s="8" t="str">
        <v>No</v>
      </c>
    </row>
    <row r="887" spans="54:70" x14ac:dyDescent="0.2">
      <c r="BB887" s="94"/>
      <c r="BL887" s="8">
        <v>838</v>
      </c>
      <c r="BM887" s="8">
        <v>1806632.2604537352</v>
      </c>
      <c r="BN887" s="8">
        <v>0</v>
      </c>
      <c r="BO887" s="8">
        <v>1806632.2604537352</v>
      </c>
      <c r="BP887" s="8">
        <v>3398968.6111664055</v>
      </c>
      <c r="BQ887" s="8">
        <v>1592336.3507126702</v>
      </c>
      <c r="BR887" s="8" t="str">
        <v>No</v>
      </c>
    </row>
    <row r="888" spans="54:70" x14ac:dyDescent="0.2">
      <c r="BB888" s="94"/>
      <c r="BL888" s="8">
        <v>839</v>
      </c>
      <c r="BM888" s="8">
        <v>3592371.098852023</v>
      </c>
      <c r="BN888" s="8">
        <v>0</v>
      </c>
      <c r="BO888" s="8">
        <v>3592371.098852023</v>
      </c>
      <c r="BP888" s="8">
        <v>2312148.9400482713</v>
      </c>
      <c r="BQ888" s="8">
        <v>-1280222.1588037517</v>
      </c>
      <c r="BR888" s="8" t="str">
        <v>Yes</v>
      </c>
    </row>
    <row r="889" spans="54:70" x14ac:dyDescent="0.2">
      <c r="BB889" s="94"/>
      <c r="BL889" s="8">
        <v>840</v>
      </c>
      <c r="BM889" s="8">
        <v>6174874.0116171911</v>
      </c>
      <c r="BN889" s="8">
        <v>5017602.2970918417</v>
      </c>
      <c r="BO889" s="8">
        <v>11192476.308709033</v>
      </c>
      <c r="BP889" s="8">
        <v>3775338.7583339885</v>
      </c>
      <c r="BQ889" s="8">
        <v>-7417137.5503750443</v>
      </c>
      <c r="BR889" s="8" t="str">
        <v>Yes</v>
      </c>
    </row>
    <row r="890" spans="54:70" x14ac:dyDescent="0.2">
      <c r="BB890" s="94"/>
      <c r="BL890" s="8">
        <v>841</v>
      </c>
      <c r="BM890" s="8">
        <v>4147170.2376696588</v>
      </c>
      <c r="BN890" s="8">
        <v>2506329.586867359</v>
      </c>
      <c r="BO890" s="8">
        <v>6653499.8245370183</v>
      </c>
      <c r="BP890" s="8">
        <v>4143957.1163746733</v>
      </c>
      <c r="BQ890" s="8">
        <v>-2509542.708162345</v>
      </c>
      <c r="BR890" s="8" t="str">
        <v>Yes</v>
      </c>
    </row>
    <row r="891" spans="54:70" x14ac:dyDescent="0.2">
      <c r="BB891" s="94"/>
      <c r="BL891" s="8">
        <v>842</v>
      </c>
      <c r="BM891" s="8">
        <v>5718840.9382752171</v>
      </c>
      <c r="BN891" s="8">
        <v>0</v>
      </c>
      <c r="BO891" s="8">
        <v>5718840.9382752171</v>
      </c>
      <c r="BP891" s="8">
        <v>3316279.8337027989</v>
      </c>
      <c r="BQ891" s="8">
        <v>-2402561.1045724181</v>
      </c>
      <c r="BR891" s="8" t="str">
        <v>Yes</v>
      </c>
    </row>
    <row r="892" spans="54:70" x14ac:dyDescent="0.2">
      <c r="BB892" s="94"/>
      <c r="BL892" s="8">
        <v>843</v>
      </c>
      <c r="BM892" s="8">
        <v>5553460.4801010536</v>
      </c>
      <c r="BN892" s="8">
        <v>839810.05440639891</v>
      </c>
      <c r="BO892" s="8">
        <v>6393270.5345074525</v>
      </c>
      <c r="BP892" s="8">
        <v>2351271.938606075</v>
      </c>
      <c r="BQ892" s="8">
        <v>-4041998.5959013775</v>
      </c>
      <c r="BR892" s="8" t="str">
        <v>Yes</v>
      </c>
    </row>
    <row r="893" spans="54:70" x14ac:dyDescent="0.2">
      <c r="BB893" s="94"/>
      <c r="BL893" s="8">
        <v>844</v>
      </c>
      <c r="BM893" s="8">
        <v>2225743.261059761</v>
      </c>
      <c r="BN893" s="8">
        <v>1799213.248743311</v>
      </c>
      <c r="BO893" s="8">
        <v>4024956.5098030721</v>
      </c>
      <c r="BP893" s="8">
        <v>2173024.2984212507</v>
      </c>
      <c r="BQ893" s="8">
        <v>-1851932.2113818214</v>
      </c>
      <c r="BR893" s="8" t="str">
        <v>Yes</v>
      </c>
    </row>
    <row r="894" spans="54:70" x14ac:dyDescent="0.2">
      <c r="BB894" s="94"/>
      <c r="BL894" s="8">
        <v>845</v>
      </c>
      <c r="BM894" s="8">
        <v>6740707.6748650577</v>
      </c>
      <c r="BN894" s="8">
        <v>0</v>
      </c>
      <c r="BO894" s="8">
        <v>6740707.6748650577</v>
      </c>
      <c r="BP894" s="8">
        <v>6269954.758287237</v>
      </c>
      <c r="BQ894" s="8">
        <v>-470752.91657782067</v>
      </c>
      <c r="BR894" s="8" t="str">
        <v>Yes</v>
      </c>
    </row>
    <row r="895" spans="54:70" x14ac:dyDescent="0.2">
      <c r="BB895" s="94"/>
      <c r="BL895" s="8">
        <v>846</v>
      </c>
      <c r="BM895" s="8">
        <v>2937328.7109827688</v>
      </c>
      <c r="BN895" s="8">
        <v>1612386.2401315048</v>
      </c>
      <c r="BO895" s="8">
        <v>4549714.9511142736</v>
      </c>
      <c r="BP895" s="8">
        <v>3426808.7531877207</v>
      </c>
      <c r="BQ895" s="8">
        <v>-1122906.197926553</v>
      </c>
      <c r="BR895" s="8" t="str">
        <v>Yes</v>
      </c>
    </row>
    <row r="896" spans="54:70" x14ac:dyDescent="0.2">
      <c r="BB896" s="94"/>
      <c r="BL896" s="8">
        <v>847</v>
      </c>
      <c r="BM896" s="8">
        <v>5258933.4024285432</v>
      </c>
      <c r="BN896" s="8">
        <v>0</v>
      </c>
      <c r="BO896" s="8">
        <v>5258933.4024285432</v>
      </c>
      <c r="BP896" s="8">
        <v>5410363.1104990235</v>
      </c>
      <c r="BQ896" s="8">
        <v>151429.70807048026</v>
      </c>
      <c r="BR896" s="8" t="str">
        <v>No</v>
      </c>
    </row>
    <row r="897" spans="54:70" x14ac:dyDescent="0.2">
      <c r="BB897" s="94"/>
      <c r="BL897" s="8">
        <v>848</v>
      </c>
      <c r="BM897" s="8">
        <v>2489994.0948824887</v>
      </c>
      <c r="BN897" s="8">
        <v>1747500.8202778692</v>
      </c>
      <c r="BO897" s="8">
        <v>4237494.915160358</v>
      </c>
      <c r="BP897" s="8">
        <v>3473221.8661831198</v>
      </c>
      <c r="BQ897" s="8">
        <v>-764273.04897723813</v>
      </c>
      <c r="BR897" s="8" t="str">
        <v>Yes</v>
      </c>
    </row>
    <row r="898" spans="54:70" x14ac:dyDescent="0.2">
      <c r="BB898" s="94"/>
      <c r="BL898" s="8">
        <v>849</v>
      </c>
      <c r="BM898" s="8">
        <v>7558198.8569385894</v>
      </c>
      <c r="BN898" s="8">
        <v>0</v>
      </c>
      <c r="BO898" s="8">
        <v>7558198.8569385894</v>
      </c>
      <c r="BP898" s="8">
        <v>3354054.738132087</v>
      </c>
      <c r="BQ898" s="8">
        <v>-4204144.1188065019</v>
      </c>
      <c r="BR898" s="8" t="str">
        <v>Yes</v>
      </c>
    </row>
    <row r="899" spans="54:70" x14ac:dyDescent="0.2">
      <c r="BB899" s="94"/>
      <c r="BL899" s="8">
        <v>850</v>
      </c>
      <c r="BM899" s="8">
        <v>5085210.7257380318</v>
      </c>
      <c r="BN899" s="8">
        <v>3391864.6588969459</v>
      </c>
      <c r="BO899" s="8">
        <v>8477075.3846349772</v>
      </c>
      <c r="BP899" s="8">
        <v>6263201.8789892411</v>
      </c>
      <c r="BQ899" s="8">
        <v>-2213873.5056457361</v>
      </c>
      <c r="BR899" s="8" t="str">
        <v>Yes</v>
      </c>
    </row>
    <row r="900" spans="54:70" x14ac:dyDescent="0.2">
      <c r="BB900" s="94"/>
      <c r="BL900" s="8">
        <v>851</v>
      </c>
      <c r="BM900" s="8">
        <v>4179277.5359623572</v>
      </c>
      <c r="BN900" s="8">
        <v>1994414.564805524</v>
      </c>
      <c r="BO900" s="8">
        <v>6173692.1007678807</v>
      </c>
      <c r="BP900" s="8">
        <v>5112970.7474166555</v>
      </c>
      <c r="BQ900" s="8">
        <v>-1060721.3533512251</v>
      </c>
      <c r="BR900" s="8" t="str">
        <v>Yes</v>
      </c>
    </row>
    <row r="901" spans="54:70" x14ac:dyDescent="0.2">
      <c r="BB901" s="94"/>
      <c r="BL901" s="8">
        <v>852</v>
      </c>
      <c r="BM901" s="8">
        <v>3069070.3678292427</v>
      </c>
      <c r="BN901" s="8">
        <v>0</v>
      </c>
      <c r="BO901" s="8">
        <v>3069070.3678292427</v>
      </c>
      <c r="BP901" s="8">
        <v>6672632.1772960061</v>
      </c>
      <c r="BQ901" s="8">
        <v>3603561.8094667634</v>
      </c>
      <c r="BR901" s="8" t="str">
        <v>No</v>
      </c>
    </row>
    <row r="902" spans="54:70" x14ac:dyDescent="0.2">
      <c r="BB902" s="94"/>
      <c r="BL902" s="8">
        <v>853</v>
      </c>
      <c r="BM902" s="8">
        <v>4336440.7033628328</v>
      </c>
      <c r="BN902" s="8">
        <v>0</v>
      </c>
      <c r="BO902" s="8">
        <v>4336440.7033628328</v>
      </c>
      <c r="BP902" s="8">
        <v>2051319.6302845527</v>
      </c>
      <c r="BQ902" s="8">
        <v>-2285121.0730782803</v>
      </c>
      <c r="BR902" s="8" t="str">
        <v>Yes</v>
      </c>
    </row>
    <row r="903" spans="54:70" x14ac:dyDescent="0.2">
      <c r="BB903" s="94"/>
      <c r="BL903" s="8">
        <v>854</v>
      </c>
      <c r="BM903" s="8">
        <v>6566555.5230475515</v>
      </c>
      <c r="BN903" s="8">
        <v>8789698.2809598744</v>
      </c>
      <c r="BO903" s="8">
        <v>15356253.804007426</v>
      </c>
      <c r="BP903" s="8">
        <v>3977228.5814216738</v>
      </c>
      <c r="BQ903" s="8">
        <v>-11379025.222585753</v>
      </c>
      <c r="BR903" s="8" t="str">
        <v>Yes</v>
      </c>
    </row>
    <row r="904" spans="54:70" x14ac:dyDescent="0.2">
      <c r="BB904" s="94"/>
      <c r="BL904" s="8">
        <v>855</v>
      </c>
      <c r="BM904" s="8">
        <v>4447617.3380730767</v>
      </c>
      <c r="BN904" s="8">
        <v>2788972.8666889761</v>
      </c>
      <c r="BO904" s="8">
        <v>7236590.2047620527</v>
      </c>
      <c r="BP904" s="8">
        <v>3311859.6054848493</v>
      </c>
      <c r="BQ904" s="8">
        <v>-3924730.5992772034</v>
      </c>
      <c r="BR904" s="8" t="str">
        <v>Yes</v>
      </c>
    </row>
    <row r="905" spans="54:70" x14ac:dyDescent="0.2">
      <c r="BB905" s="94"/>
      <c r="BL905" s="8">
        <v>856</v>
      </c>
      <c r="BM905" s="8">
        <v>4948755.6765392926</v>
      </c>
      <c r="BN905" s="8">
        <v>3463319.5205894299</v>
      </c>
      <c r="BO905" s="8">
        <v>8412075.1971287224</v>
      </c>
      <c r="BP905" s="8">
        <v>3584935.8605430871</v>
      </c>
      <c r="BQ905" s="8">
        <v>-4827139.3365856353</v>
      </c>
      <c r="BR905" s="8" t="str">
        <v>Yes</v>
      </c>
    </row>
    <row r="906" spans="54:70" x14ac:dyDescent="0.2">
      <c r="BB906" s="94"/>
      <c r="BL906" s="8">
        <v>857</v>
      </c>
      <c r="BM906" s="8">
        <v>2318490.3603047319</v>
      </c>
      <c r="BN906" s="8">
        <v>0</v>
      </c>
      <c r="BO906" s="8">
        <v>2318490.3603047319</v>
      </c>
      <c r="BP906" s="8">
        <v>2326717.6055170852</v>
      </c>
      <c r="BQ906" s="8">
        <v>8227.2452123533003</v>
      </c>
      <c r="BR906" s="8" t="str">
        <v>No</v>
      </c>
    </row>
    <row r="907" spans="54:70" x14ac:dyDescent="0.2">
      <c r="BB907" s="94"/>
      <c r="BL907" s="8">
        <v>858</v>
      </c>
      <c r="BM907" s="8">
        <v>3302494.7089657532</v>
      </c>
      <c r="BN907" s="8">
        <v>0</v>
      </c>
      <c r="BO907" s="8">
        <v>3302494.7089657532</v>
      </c>
      <c r="BP907" s="8">
        <v>4413859.2505371263</v>
      </c>
      <c r="BQ907" s="8">
        <v>1111364.5415713731</v>
      </c>
      <c r="BR907" s="8" t="str">
        <v>No</v>
      </c>
    </row>
    <row r="908" spans="54:70" x14ac:dyDescent="0.2">
      <c r="BB908" s="94"/>
      <c r="BL908" s="8">
        <v>859</v>
      </c>
      <c r="BM908" s="8">
        <v>4450482.5336982915</v>
      </c>
      <c r="BN908" s="8">
        <v>4220720.708722692</v>
      </c>
      <c r="BO908" s="8">
        <v>8671203.2424209826</v>
      </c>
      <c r="BP908" s="8">
        <v>6346793.4762527682</v>
      </c>
      <c r="BQ908" s="8">
        <v>-2324409.7661682144</v>
      </c>
      <c r="BR908" s="8" t="str">
        <v>Yes</v>
      </c>
    </row>
    <row r="909" spans="54:70" x14ac:dyDescent="0.2">
      <c r="BB909" s="94"/>
      <c r="BL909" s="8">
        <v>860</v>
      </c>
      <c r="BM909" s="8">
        <v>4046869.052421758</v>
      </c>
      <c r="BN909" s="8">
        <v>0</v>
      </c>
      <c r="BO909" s="8">
        <v>4046869.052421758</v>
      </c>
      <c r="BP909" s="8">
        <v>4243016.6842063218</v>
      </c>
      <c r="BQ909" s="8">
        <v>196147.63178456388</v>
      </c>
      <c r="BR909" s="8" t="str">
        <v>No</v>
      </c>
    </row>
    <row r="910" spans="54:70" x14ac:dyDescent="0.2">
      <c r="BB910" s="94"/>
      <c r="BL910" s="8">
        <v>861</v>
      </c>
      <c r="BM910" s="8">
        <v>5540867.5698333392</v>
      </c>
      <c r="BN910" s="8">
        <v>1606433.6083560353</v>
      </c>
      <c r="BO910" s="8">
        <v>7147301.1781893745</v>
      </c>
      <c r="BP910" s="8">
        <v>3218248.3313235072</v>
      </c>
      <c r="BQ910" s="8">
        <v>-3929052.8468658673</v>
      </c>
      <c r="BR910" s="8" t="str">
        <v>Yes</v>
      </c>
    </row>
    <row r="911" spans="54:70" x14ac:dyDescent="0.2">
      <c r="BB911" s="94"/>
      <c r="BL911" s="8">
        <v>862</v>
      </c>
      <c r="BM911" s="8">
        <v>2948735.3754445771</v>
      </c>
      <c r="BN911" s="8">
        <v>0</v>
      </c>
      <c r="BO911" s="8">
        <v>2948735.3754445771</v>
      </c>
      <c r="BP911" s="8">
        <v>3131176.0753651932</v>
      </c>
      <c r="BQ911" s="8">
        <v>182440.69992061611</v>
      </c>
      <c r="BR911" s="8" t="str">
        <v>No</v>
      </c>
    </row>
    <row r="912" spans="54:70" x14ac:dyDescent="0.2">
      <c r="BB912" s="94"/>
      <c r="BL912" s="8">
        <v>863</v>
      </c>
      <c r="BM912" s="8">
        <v>4206425.4492356954</v>
      </c>
      <c r="BN912" s="8">
        <v>3611127.8605792406</v>
      </c>
      <c r="BO912" s="8">
        <v>7817553.3098149356</v>
      </c>
      <c r="BP912" s="8">
        <v>3993153.7872870686</v>
      </c>
      <c r="BQ912" s="8">
        <v>-3824399.522527867</v>
      </c>
      <c r="BR912" s="8" t="str">
        <v>Yes</v>
      </c>
    </row>
    <row r="913" spans="54:70" x14ac:dyDescent="0.2">
      <c r="BB913" s="94"/>
      <c r="BL913" s="8">
        <v>864</v>
      </c>
      <c r="BM913" s="8">
        <v>3606689.9924198859</v>
      </c>
      <c r="BN913" s="8">
        <v>2988710.9189243149</v>
      </c>
      <c r="BO913" s="8">
        <v>6595400.9113442004</v>
      </c>
      <c r="BP913" s="8">
        <v>2047512.2553425252</v>
      </c>
      <c r="BQ913" s="8">
        <v>-4547888.6560016749</v>
      </c>
      <c r="BR913" s="8" t="str">
        <v>Yes</v>
      </c>
    </row>
    <row r="914" spans="54:70" x14ac:dyDescent="0.2">
      <c r="BB914" s="94"/>
      <c r="BL914" s="8">
        <v>865</v>
      </c>
      <c r="BM914" s="8">
        <v>9371198.0014807358</v>
      </c>
      <c r="BN914" s="8">
        <v>11299681.814562803</v>
      </c>
      <c r="BO914" s="8">
        <v>20670879.816043541</v>
      </c>
      <c r="BP914" s="8">
        <v>6694994.1751351962</v>
      </c>
      <c r="BQ914" s="8">
        <v>-13975885.640908346</v>
      </c>
      <c r="BR914" s="8" t="str">
        <v>Yes</v>
      </c>
    </row>
    <row r="915" spans="54:70" x14ac:dyDescent="0.2">
      <c r="BB915" s="94"/>
      <c r="BL915" s="8">
        <v>866</v>
      </c>
      <c r="BM915" s="8">
        <v>2110321.6294562365</v>
      </c>
      <c r="BN915" s="8">
        <v>1203243.0631390787</v>
      </c>
      <c r="BO915" s="8">
        <v>3313564.6925953152</v>
      </c>
      <c r="BP915" s="8">
        <v>2314220.5799150895</v>
      </c>
      <c r="BQ915" s="8">
        <v>-999344.11268022563</v>
      </c>
      <c r="BR915" s="8" t="str">
        <v>Yes</v>
      </c>
    </row>
    <row r="916" spans="54:70" x14ac:dyDescent="0.2">
      <c r="BB916" s="94"/>
      <c r="BL916" s="8">
        <v>867</v>
      </c>
      <c r="BM916" s="8">
        <v>4452694.9807145325</v>
      </c>
      <c r="BN916" s="8">
        <v>0</v>
      </c>
      <c r="BO916" s="8">
        <v>4452694.9807145325</v>
      </c>
      <c r="BP916" s="8">
        <v>3332089.2486882671</v>
      </c>
      <c r="BQ916" s="8">
        <v>-1120605.7320262655</v>
      </c>
      <c r="BR916" s="8" t="str">
        <v>Yes</v>
      </c>
    </row>
    <row r="917" spans="54:70" x14ac:dyDescent="0.2">
      <c r="BB917" s="94"/>
      <c r="BL917" s="8">
        <v>868</v>
      </c>
      <c r="BM917" s="8">
        <v>4997717.8910163371</v>
      </c>
      <c r="BN917" s="8">
        <v>3374488.7760234945</v>
      </c>
      <c r="BO917" s="8">
        <v>8372206.6670398321</v>
      </c>
      <c r="BP917" s="8">
        <v>2339679.4603576795</v>
      </c>
      <c r="BQ917" s="8">
        <v>-6032527.206682153</v>
      </c>
      <c r="BR917" s="8" t="str">
        <v>Yes</v>
      </c>
    </row>
    <row r="918" spans="54:70" x14ac:dyDescent="0.2">
      <c r="BB918" s="94"/>
      <c r="BL918" s="8">
        <v>869</v>
      </c>
      <c r="BM918" s="8">
        <v>5133127.6500731744</v>
      </c>
      <c r="BN918" s="8">
        <v>4104071.6593962577</v>
      </c>
      <c r="BO918" s="8">
        <v>9237199.3094694316</v>
      </c>
      <c r="BP918" s="8">
        <v>6144077.0454570726</v>
      </c>
      <c r="BQ918" s="8">
        <v>-3093122.2640123591</v>
      </c>
      <c r="BR918" s="8" t="str">
        <v>Yes</v>
      </c>
    </row>
    <row r="919" spans="54:70" x14ac:dyDescent="0.2">
      <c r="BB919" s="94"/>
      <c r="BL919" s="8">
        <v>870</v>
      </c>
      <c r="BM919" s="8">
        <v>2804705.2889139028</v>
      </c>
      <c r="BN919" s="8">
        <v>1639211.2193523471</v>
      </c>
      <c r="BO919" s="8">
        <v>4443916.5082662497</v>
      </c>
      <c r="BP919" s="8">
        <v>3428522.1080049691</v>
      </c>
      <c r="BQ919" s="8">
        <v>-1015394.4002612806</v>
      </c>
      <c r="BR919" s="8" t="str">
        <v>Yes</v>
      </c>
    </row>
    <row r="920" spans="54:70" x14ac:dyDescent="0.2">
      <c r="BB920" s="94"/>
      <c r="BL920" s="8">
        <v>871</v>
      </c>
      <c r="BM920" s="8">
        <v>3538401.4882422122</v>
      </c>
      <c r="BN920" s="8">
        <v>0</v>
      </c>
      <c r="BO920" s="8">
        <v>3538401.4882422122</v>
      </c>
      <c r="BP920" s="8">
        <v>3182222.1300596171</v>
      </c>
      <c r="BQ920" s="8">
        <v>-356179.35818259511</v>
      </c>
      <c r="BR920" s="8" t="str">
        <v>Yes</v>
      </c>
    </row>
    <row r="921" spans="54:70" x14ac:dyDescent="0.2">
      <c r="BB921" s="94"/>
      <c r="BL921" s="8">
        <v>872</v>
      </c>
      <c r="BM921" s="8">
        <v>8203070.57693893</v>
      </c>
      <c r="BN921" s="8">
        <v>8790400.2535759024</v>
      </c>
      <c r="BO921" s="8">
        <v>16993470.830514833</v>
      </c>
      <c r="BP921" s="8">
        <v>6260338.6274283947</v>
      </c>
      <c r="BQ921" s="8">
        <v>-10733132.20308644</v>
      </c>
      <c r="BR921" s="8" t="str">
        <v>Yes</v>
      </c>
    </row>
    <row r="922" spans="54:70" x14ac:dyDescent="0.2">
      <c r="BB922" s="94"/>
      <c r="BL922" s="8">
        <v>873</v>
      </c>
      <c r="BM922" s="8">
        <v>6484653.0155116972</v>
      </c>
      <c r="BN922" s="8">
        <v>0</v>
      </c>
      <c r="BO922" s="8">
        <v>6484653.0155116972</v>
      </c>
      <c r="BP922" s="8">
        <v>4110150.7086781384</v>
      </c>
      <c r="BQ922" s="8">
        <v>-2374502.3068335587</v>
      </c>
      <c r="BR922" s="8" t="str">
        <v>Yes</v>
      </c>
    </row>
    <row r="923" spans="54:70" x14ac:dyDescent="0.2">
      <c r="BB923" s="94"/>
      <c r="BL923" s="8">
        <v>874</v>
      </c>
      <c r="BM923" s="8">
        <v>3996029.2433408089</v>
      </c>
      <c r="BN923" s="8">
        <v>5581212.7776944684</v>
      </c>
      <c r="BO923" s="8">
        <v>9577242.0210352764</v>
      </c>
      <c r="BP923" s="8">
        <v>6227151.6947151842</v>
      </c>
      <c r="BQ923" s="8">
        <v>-3350090.3263200922</v>
      </c>
      <c r="BR923" s="8" t="str">
        <v>Yes</v>
      </c>
    </row>
    <row r="924" spans="54:70" x14ac:dyDescent="0.2">
      <c r="BB924" s="94"/>
      <c r="BL924" s="8">
        <v>875</v>
      </c>
      <c r="BM924" s="8">
        <v>4828996.17013082</v>
      </c>
      <c r="BN924" s="8">
        <v>820012.89980645198</v>
      </c>
      <c r="BO924" s="8">
        <v>5649009.069937272</v>
      </c>
      <c r="BP924" s="8">
        <v>5839897.3874482187</v>
      </c>
      <c r="BQ924" s="8">
        <v>190888.31751094665</v>
      </c>
      <c r="BR924" s="8" t="str">
        <v>No</v>
      </c>
    </row>
    <row r="925" spans="54:70" x14ac:dyDescent="0.2">
      <c r="BB925" s="94"/>
      <c r="BL925" s="8">
        <v>876</v>
      </c>
      <c r="BM925" s="8">
        <v>3195408.7876192159</v>
      </c>
      <c r="BN925" s="8">
        <v>0</v>
      </c>
      <c r="BO925" s="8">
        <v>3195408.7876192159</v>
      </c>
      <c r="BP925" s="8">
        <v>2220590.7834455534</v>
      </c>
      <c r="BQ925" s="8">
        <v>-974818.00417366251</v>
      </c>
      <c r="BR925" s="8" t="str">
        <v>Yes</v>
      </c>
    </row>
    <row r="926" spans="54:70" x14ac:dyDescent="0.2">
      <c r="BB926" s="94"/>
      <c r="BL926" s="8">
        <v>877</v>
      </c>
      <c r="BM926" s="8">
        <v>4372120.6539103836</v>
      </c>
      <c r="BN926" s="8">
        <v>0</v>
      </c>
      <c r="BO926" s="8">
        <v>4372120.6539103836</v>
      </c>
      <c r="BP926" s="8">
        <v>2984918.7470412091</v>
      </c>
      <c r="BQ926" s="8">
        <v>-1387201.9068691744</v>
      </c>
      <c r="BR926" s="8" t="str">
        <v>Yes</v>
      </c>
    </row>
    <row r="927" spans="54:70" x14ac:dyDescent="0.2">
      <c r="BB927" s="94"/>
      <c r="BL927" s="8">
        <v>878</v>
      </c>
      <c r="BM927" s="8">
        <v>1967261.4436951126</v>
      </c>
      <c r="BN927" s="8">
        <v>0</v>
      </c>
      <c r="BO927" s="8">
        <v>1967261.4436951126</v>
      </c>
      <c r="BP927" s="8">
        <v>2194346.485905984</v>
      </c>
      <c r="BQ927" s="8">
        <v>227085.04221087135</v>
      </c>
      <c r="BR927" s="8" t="str">
        <v>No</v>
      </c>
    </row>
    <row r="928" spans="54:70" x14ac:dyDescent="0.2">
      <c r="BB928" s="94"/>
      <c r="BL928" s="8">
        <v>879</v>
      </c>
      <c r="BM928" s="8">
        <v>8247068.4698026069</v>
      </c>
      <c r="BN928" s="8">
        <v>0</v>
      </c>
      <c r="BO928" s="8">
        <v>8247068.4698026069</v>
      </c>
      <c r="BP928" s="8">
        <v>4260751.3739123959</v>
      </c>
      <c r="BQ928" s="8">
        <v>-3986317.0958902109</v>
      </c>
      <c r="BR928" s="8" t="str">
        <v>Yes</v>
      </c>
    </row>
    <row r="929" spans="54:70" x14ac:dyDescent="0.2">
      <c r="BB929" s="94"/>
      <c r="BL929" s="8">
        <v>880</v>
      </c>
      <c r="BM929" s="8">
        <v>1643106.8449883927</v>
      </c>
      <c r="BN929" s="8">
        <v>0</v>
      </c>
      <c r="BO929" s="8">
        <v>1643106.8449883927</v>
      </c>
      <c r="BP929" s="8">
        <v>2349444.7349735335</v>
      </c>
      <c r="BQ929" s="8">
        <v>706337.88998514088</v>
      </c>
      <c r="BR929" s="8" t="str">
        <v>No</v>
      </c>
    </row>
    <row r="930" spans="54:70" x14ac:dyDescent="0.2">
      <c r="BB930" s="94"/>
      <c r="BL930" s="8">
        <v>881</v>
      </c>
      <c r="BM930" s="8">
        <v>6678739.4498437438</v>
      </c>
      <c r="BN930" s="8">
        <v>5090480.0357297845</v>
      </c>
      <c r="BO930" s="8">
        <v>11769219.485573528</v>
      </c>
      <c r="BP930" s="8">
        <v>6121583.9057555757</v>
      </c>
      <c r="BQ930" s="8">
        <v>-5647635.5798179526</v>
      </c>
      <c r="BR930" s="8" t="str">
        <v>Yes</v>
      </c>
    </row>
    <row r="931" spans="54:70" x14ac:dyDescent="0.2">
      <c r="BB931" s="94"/>
      <c r="BL931" s="8">
        <v>882</v>
      </c>
      <c r="BM931" s="8">
        <v>1442086.7650717669</v>
      </c>
      <c r="BN931" s="8">
        <v>-369229.87028041366</v>
      </c>
      <c r="BO931" s="8">
        <v>1072856.8947913533</v>
      </c>
      <c r="BP931" s="8">
        <v>5804546.4600300472</v>
      </c>
      <c r="BQ931" s="8">
        <v>4731689.5652386937</v>
      </c>
      <c r="BR931" s="8" t="str">
        <v>No</v>
      </c>
    </row>
    <row r="932" spans="54:70" x14ac:dyDescent="0.2">
      <c r="BB932" s="94"/>
      <c r="BL932" s="8">
        <v>883</v>
      </c>
      <c r="BM932" s="8">
        <v>3942511.2945899758</v>
      </c>
      <c r="BN932" s="8">
        <v>0</v>
      </c>
      <c r="BO932" s="8">
        <v>3942511.2945899758</v>
      </c>
      <c r="BP932" s="8">
        <v>6100204.3260547286</v>
      </c>
      <c r="BQ932" s="8">
        <v>2157693.0314647527</v>
      </c>
      <c r="BR932" s="8" t="str">
        <v>No</v>
      </c>
    </row>
    <row r="933" spans="54:70" x14ac:dyDescent="0.2">
      <c r="BB933" s="94"/>
      <c r="BL933" s="8">
        <v>884</v>
      </c>
      <c r="BM933" s="8">
        <v>4468718.4612431303</v>
      </c>
      <c r="BN933" s="8">
        <v>0</v>
      </c>
      <c r="BO933" s="8">
        <v>4468718.4612431303</v>
      </c>
      <c r="BP933" s="8">
        <v>6324644.4446354704</v>
      </c>
      <c r="BQ933" s="8">
        <v>1855925.9833923401</v>
      </c>
      <c r="BR933" s="8" t="str">
        <v>No</v>
      </c>
    </row>
    <row r="934" spans="54:70" x14ac:dyDescent="0.2">
      <c r="BB934" s="94"/>
      <c r="BL934" s="8">
        <v>885</v>
      </c>
      <c r="BM934" s="8">
        <v>3686566.7689083591</v>
      </c>
      <c r="BN934" s="8">
        <v>2913243.0638089925</v>
      </c>
      <c r="BO934" s="8">
        <v>6599809.8327173516</v>
      </c>
      <c r="BP934" s="8">
        <v>6570370.1533000497</v>
      </c>
      <c r="BQ934" s="8">
        <v>-29439.679417301901</v>
      </c>
      <c r="BR934" s="8" t="str">
        <v>Yes</v>
      </c>
    </row>
    <row r="935" spans="54:70" x14ac:dyDescent="0.2">
      <c r="BB935" s="94"/>
      <c r="BL935" s="8">
        <v>886</v>
      </c>
      <c r="BM935" s="8">
        <v>8008304.2132116519</v>
      </c>
      <c r="BN935" s="8">
        <v>0</v>
      </c>
      <c r="BO935" s="8">
        <v>8008304.2132116519</v>
      </c>
      <c r="BP935" s="8">
        <v>4256294.9357321132</v>
      </c>
      <c r="BQ935" s="8">
        <v>-3752009.2774795387</v>
      </c>
      <c r="BR935" s="8" t="str">
        <v>Yes</v>
      </c>
    </row>
    <row r="936" spans="54:70" x14ac:dyDescent="0.2">
      <c r="BB936" s="94"/>
      <c r="BL936" s="8">
        <v>887</v>
      </c>
      <c r="BM936" s="8">
        <v>2806799.5585308354</v>
      </c>
      <c r="BN936" s="8">
        <v>2334028.8675233466</v>
      </c>
      <c r="BO936" s="8">
        <v>5140828.4260541815</v>
      </c>
      <c r="BP936" s="8">
        <v>2484274.7200444494</v>
      </c>
      <c r="BQ936" s="8">
        <v>-2656553.7060097321</v>
      </c>
      <c r="BR936" s="8" t="str">
        <v>Yes</v>
      </c>
    </row>
    <row r="937" spans="54:70" x14ac:dyDescent="0.2">
      <c r="BB937" s="94"/>
      <c r="BL937" s="8">
        <v>888</v>
      </c>
      <c r="BM937" s="8">
        <v>3820243.5431169872</v>
      </c>
      <c r="BN937" s="8">
        <v>2328978.7222234197</v>
      </c>
      <c r="BO937" s="8">
        <v>6149222.2653404064</v>
      </c>
      <c r="BP937" s="8">
        <v>2244994.3578749299</v>
      </c>
      <c r="BQ937" s="8">
        <v>-3904227.9074654765</v>
      </c>
      <c r="BR937" s="8" t="str">
        <v>Yes</v>
      </c>
    </row>
    <row r="938" spans="54:70" x14ac:dyDescent="0.2">
      <c r="BB938" s="94"/>
      <c r="BL938" s="8">
        <v>889</v>
      </c>
      <c r="BM938" s="8">
        <v>7606925.2729617292</v>
      </c>
      <c r="BN938" s="8">
        <v>9675781.8866350446</v>
      </c>
      <c r="BO938" s="8">
        <v>17282707.159596775</v>
      </c>
      <c r="BP938" s="8">
        <v>6534882.6439813748</v>
      </c>
      <c r="BQ938" s="8">
        <v>-10747824.5156154</v>
      </c>
      <c r="BR938" s="8" t="str">
        <v>Yes</v>
      </c>
    </row>
    <row r="939" spans="54:70" x14ac:dyDescent="0.2">
      <c r="BB939" s="94"/>
      <c r="BL939" s="8">
        <v>890</v>
      </c>
      <c r="BM939" s="8">
        <v>5240658.3949523279</v>
      </c>
      <c r="BN939" s="8">
        <v>2542599.1184553914</v>
      </c>
      <c r="BO939" s="8">
        <v>7783257.5134077193</v>
      </c>
      <c r="BP939" s="8">
        <v>6630736.5674213096</v>
      </c>
      <c r="BQ939" s="8">
        <v>-1152520.9459864097</v>
      </c>
      <c r="BR939" s="8" t="str">
        <v>Yes</v>
      </c>
    </row>
    <row r="940" spans="54:70" x14ac:dyDescent="0.2">
      <c r="BB940" s="94"/>
      <c r="BL940" s="8">
        <v>891</v>
      </c>
      <c r="BM940" s="8">
        <v>11277153.527861845</v>
      </c>
      <c r="BN940" s="8">
        <v>0</v>
      </c>
      <c r="BO940" s="8">
        <v>11277153.527861845</v>
      </c>
      <c r="BP940" s="8">
        <v>2305407.5519885388</v>
      </c>
      <c r="BQ940" s="8">
        <v>-8971745.9758733064</v>
      </c>
      <c r="BR940" s="8" t="str">
        <v>Yes</v>
      </c>
    </row>
    <row r="941" spans="54:70" x14ac:dyDescent="0.2">
      <c r="BB941" s="94"/>
      <c r="BL941" s="8">
        <v>892</v>
      </c>
      <c r="BM941" s="8">
        <v>4827155.3954959819</v>
      </c>
      <c r="BN941" s="8">
        <v>0</v>
      </c>
      <c r="BO941" s="8">
        <v>4827155.3954959819</v>
      </c>
      <c r="BP941" s="8">
        <v>4353164.0686775828</v>
      </c>
      <c r="BQ941" s="8">
        <v>-473991.32681839913</v>
      </c>
      <c r="BR941" s="8" t="str">
        <v>Yes</v>
      </c>
    </row>
    <row r="942" spans="54:70" x14ac:dyDescent="0.2">
      <c r="BB942" s="94"/>
      <c r="BL942" s="8">
        <v>893</v>
      </c>
      <c r="BM942" s="8">
        <v>4457764.8727812674</v>
      </c>
      <c r="BN942" s="8">
        <v>1904240.8424467945</v>
      </c>
      <c r="BO942" s="8">
        <v>6362005.7152280621</v>
      </c>
      <c r="BP942" s="8">
        <v>5743924.8621791424</v>
      </c>
      <c r="BQ942" s="8">
        <v>-618080.8530489197</v>
      </c>
      <c r="BR942" s="8" t="str">
        <v>Yes</v>
      </c>
    </row>
    <row r="943" spans="54:70" x14ac:dyDescent="0.2">
      <c r="BB943" s="94"/>
      <c r="BL943" s="8">
        <v>894</v>
      </c>
      <c r="BM943" s="8">
        <v>2117604.8133068192</v>
      </c>
      <c r="BN943" s="8">
        <v>1552344.9485054663</v>
      </c>
      <c r="BO943" s="8">
        <v>3669949.7618122855</v>
      </c>
      <c r="BP943" s="8">
        <v>3126728.1876650779</v>
      </c>
      <c r="BQ943" s="8">
        <v>-543221.57414720766</v>
      </c>
      <c r="BR943" s="8" t="str">
        <v>Yes</v>
      </c>
    </row>
    <row r="944" spans="54:70" x14ac:dyDescent="0.2">
      <c r="BB944" s="94"/>
      <c r="BL944" s="8">
        <v>895</v>
      </c>
      <c r="BM944" s="8">
        <v>3638145.1432267465</v>
      </c>
      <c r="BN944" s="8">
        <v>0</v>
      </c>
      <c r="BO944" s="8">
        <v>3638145.1432267465</v>
      </c>
      <c r="BP944" s="8">
        <v>3508927.3332120068</v>
      </c>
      <c r="BQ944" s="8">
        <v>-129217.81001473963</v>
      </c>
      <c r="BR944" s="8" t="str">
        <v>Yes</v>
      </c>
    </row>
    <row r="945" spans="54:70" x14ac:dyDescent="0.2">
      <c r="BB945" s="94"/>
      <c r="BL945" s="8">
        <v>896</v>
      </c>
      <c r="BM945" s="8">
        <v>2637413.5477835559</v>
      </c>
      <c r="BN945" s="8">
        <v>3453857.401424903</v>
      </c>
      <c r="BO945" s="8">
        <v>6091270.9492084589</v>
      </c>
      <c r="BP945" s="8">
        <v>4136241.2136353091</v>
      </c>
      <c r="BQ945" s="8">
        <v>-1955029.7355731498</v>
      </c>
      <c r="BR945" s="8" t="str">
        <v>Yes</v>
      </c>
    </row>
    <row r="946" spans="54:70" x14ac:dyDescent="0.2">
      <c r="BB946" s="94"/>
      <c r="BL946" s="8">
        <v>897</v>
      </c>
      <c r="BM946" s="8">
        <v>5120611.5056545725</v>
      </c>
      <c r="BN946" s="8">
        <v>0</v>
      </c>
      <c r="BO946" s="8">
        <v>5120611.5056545725</v>
      </c>
      <c r="BP946" s="8">
        <v>3417664.6163682542</v>
      </c>
      <c r="BQ946" s="8">
        <v>-1702946.8892863183</v>
      </c>
      <c r="BR946" s="8" t="str">
        <v>Yes</v>
      </c>
    </row>
    <row r="947" spans="54:70" x14ac:dyDescent="0.2">
      <c r="BB947" s="94"/>
      <c r="BL947" s="8">
        <v>898</v>
      </c>
      <c r="BM947" s="8">
        <v>2232277.697870465</v>
      </c>
      <c r="BN947" s="8">
        <v>361172.15904947615</v>
      </c>
      <c r="BO947" s="8">
        <v>2593449.856919941</v>
      </c>
      <c r="BP947" s="8">
        <v>6127259.0705219395</v>
      </c>
      <c r="BQ947" s="8">
        <v>3533809.2136019985</v>
      </c>
      <c r="BR947" s="8" t="str">
        <v>No</v>
      </c>
    </row>
    <row r="948" spans="54:70" x14ac:dyDescent="0.2">
      <c r="BB948" s="94"/>
      <c r="BL948" s="8">
        <v>899</v>
      </c>
      <c r="BM948" s="8">
        <v>3757824.7307820185</v>
      </c>
      <c r="BN948" s="8">
        <v>424638.84134396957</v>
      </c>
      <c r="BO948" s="8">
        <v>4182463.5721259881</v>
      </c>
      <c r="BP948" s="8">
        <v>4476456.012894663</v>
      </c>
      <c r="BQ948" s="8">
        <v>293992.44076867495</v>
      </c>
      <c r="BR948" s="8" t="str">
        <v>No</v>
      </c>
    </row>
    <row r="949" spans="54:70" x14ac:dyDescent="0.2">
      <c r="BB949" s="94"/>
      <c r="BL949" s="8">
        <v>900</v>
      </c>
      <c r="BM949" s="8">
        <v>3432622.3573132828</v>
      </c>
      <c r="BN949" s="8">
        <v>1587126.7526315607</v>
      </c>
      <c r="BO949" s="8">
        <v>5019749.1099448437</v>
      </c>
      <c r="BP949" s="8">
        <v>6054568.2749890322</v>
      </c>
      <c r="BQ949" s="8">
        <v>1034819.1650441885</v>
      </c>
      <c r="BR949" s="8" t="str">
        <v>No</v>
      </c>
    </row>
    <row r="950" spans="54:70" x14ac:dyDescent="0.2">
      <c r="BB950" s="94"/>
      <c r="BL950" s="8">
        <v>901</v>
      </c>
      <c r="BM950" s="8">
        <v>3050043.8908742564</v>
      </c>
      <c r="BN950" s="8">
        <v>0</v>
      </c>
      <c r="BO950" s="8">
        <v>3050043.8908742564</v>
      </c>
      <c r="BP950" s="8">
        <v>3045399.3415738544</v>
      </c>
      <c r="BQ950" s="8">
        <v>-4644.5493004019372</v>
      </c>
      <c r="BR950" s="8" t="str">
        <v>Yes</v>
      </c>
    </row>
    <row r="951" spans="54:70" x14ac:dyDescent="0.2">
      <c r="BB951" s="94"/>
      <c r="BL951" s="8">
        <v>902</v>
      </c>
      <c r="BM951" s="8">
        <v>3272660.5548715401</v>
      </c>
      <c r="BN951" s="8">
        <v>0</v>
      </c>
      <c r="BO951" s="8">
        <v>3272660.5548715401</v>
      </c>
      <c r="BP951" s="8">
        <v>3495558.2021997827</v>
      </c>
      <c r="BQ951" s="8">
        <v>222897.64732824266</v>
      </c>
      <c r="BR951" s="8" t="str">
        <v>No</v>
      </c>
    </row>
    <row r="952" spans="54:70" x14ac:dyDescent="0.2">
      <c r="BB952" s="94"/>
      <c r="BL952" s="8">
        <v>903</v>
      </c>
      <c r="BM952" s="8">
        <v>4214148.7509999536</v>
      </c>
      <c r="BN952" s="8">
        <v>0</v>
      </c>
      <c r="BO952" s="8">
        <v>4214148.7509999536</v>
      </c>
      <c r="BP952" s="8">
        <v>2390229.446673742</v>
      </c>
      <c r="BQ952" s="8">
        <v>-1823919.3043262116</v>
      </c>
      <c r="BR952" s="8" t="str">
        <v>Yes</v>
      </c>
    </row>
    <row r="953" spans="54:70" x14ac:dyDescent="0.2">
      <c r="BB953" s="94"/>
      <c r="BL953" s="8">
        <v>904</v>
      </c>
      <c r="BM953" s="8">
        <v>3489244.7300889702</v>
      </c>
      <c r="BN953" s="8">
        <v>6449584.3987657418</v>
      </c>
      <c r="BO953" s="8">
        <v>9938829.1288547125</v>
      </c>
      <c r="BP953" s="8">
        <v>2347377.9527501962</v>
      </c>
      <c r="BQ953" s="8">
        <v>-7591451.1761045158</v>
      </c>
      <c r="BR953" s="8" t="str">
        <v>Yes</v>
      </c>
    </row>
    <row r="954" spans="54:70" x14ac:dyDescent="0.2">
      <c r="BB954" s="94"/>
      <c r="BL954" s="8">
        <v>905</v>
      </c>
      <c r="BM954" s="8">
        <v>1469927.4870678168</v>
      </c>
      <c r="BN954" s="8">
        <v>306099.89621293964</v>
      </c>
      <c r="BO954" s="8">
        <v>1776027.3832807564</v>
      </c>
      <c r="BP954" s="8">
        <v>5991311.2663500831</v>
      </c>
      <c r="BQ954" s="8">
        <v>4215283.8830693271</v>
      </c>
      <c r="BR954" s="8" t="str">
        <v>No</v>
      </c>
    </row>
    <row r="955" spans="54:70" x14ac:dyDescent="0.2">
      <c r="BB955" s="94"/>
      <c r="BL955" s="8">
        <v>906</v>
      </c>
      <c r="BM955" s="8">
        <v>2655224.8341733241</v>
      </c>
      <c r="BN955" s="8">
        <v>1705476.0479365548</v>
      </c>
      <c r="BO955" s="8">
        <v>4360700.8821098786</v>
      </c>
      <c r="BP955" s="8">
        <v>6189416.8948278138</v>
      </c>
      <c r="BQ955" s="8">
        <v>1828716.0127179353</v>
      </c>
      <c r="BR955" s="8" t="str">
        <v>No</v>
      </c>
    </row>
    <row r="956" spans="54:70" x14ac:dyDescent="0.2">
      <c r="BB956" s="94"/>
      <c r="BL956" s="8">
        <v>907</v>
      </c>
      <c r="BM956" s="8">
        <v>8314794.0964983711</v>
      </c>
      <c r="BN956" s="8">
        <v>0</v>
      </c>
      <c r="BO956" s="8">
        <v>8314794.0964983711</v>
      </c>
      <c r="BP956" s="8">
        <v>4044618.8298124536</v>
      </c>
      <c r="BQ956" s="8">
        <v>-4270175.266685918</v>
      </c>
      <c r="BR956" s="8" t="str">
        <v>Yes</v>
      </c>
    </row>
    <row r="957" spans="54:70" x14ac:dyDescent="0.2">
      <c r="BB957" s="94"/>
      <c r="BL957" s="8">
        <v>908</v>
      </c>
      <c r="BM957" s="8">
        <v>4815113.5118701803</v>
      </c>
      <c r="BN957" s="8">
        <v>0</v>
      </c>
      <c r="BO957" s="8">
        <v>4815113.5118701803</v>
      </c>
      <c r="BP957" s="8">
        <v>2414736.1490767244</v>
      </c>
      <c r="BQ957" s="8">
        <v>-2400377.3627934558</v>
      </c>
      <c r="BR957" s="8" t="str">
        <v>Yes</v>
      </c>
    </row>
    <row r="958" spans="54:70" x14ac:dyDescent="0.2">
      <c r="BB958" s="94"/>
      <c r="BL958" s="8">
        <v>909</v>
      </c>
      <c r="BM958" s="8">
        <v>4358864.3810809534</v>
      </c>
      <c r="BN958" s="8">
        <v>0</v>
      </c>
      <c r="BO958" s="8">
        <v>4358864.3810809534</v>
      </c>
      <c r="BP958" s="8">
        <v>4463910.7408873001</v>
      </c>
      <c r="BQ958" s="8">
        <v>105046.35980634671</v>
      </c>
      <c r="BR958" s="8" t="str">
        <v>No</v>
      </c>
    </row>
    <row r="959" spans="54:70" x14ac:dyDescent="0.2">
      <c r="BB959" s="94"/>
      <c r="BL959" s="8">
        <v>910</v>
      </c>
      <c r="BM959" s="8">
        <v>5845030.7920588003</v>
      </c>
      <c r="BN959" s="8">
        <v>0</v>
      </c>
      <c r="BO959" s="8">
        <v>5845030.7920588003</v>
      </c>
      <c r="BP959" s="8">
        <v>4539206.7206911305</v>
      </c>
      <c r="BQ959" s="8">
        <v>-1305824.0713676699</v>
      </c>
      <c r="BR959" s="8" t="str">
        <v>Yes</v>
      </c>
    </row>
    <row r="960" spans="54:70" x14ac:dyDescent="0.2">
      <c r="BB960" s="94"/>
      <c r="BL960" s="8">
        <v>911</v>
      </c>
      <c r="BM960" s="8">
        <v>11567957.849972114</v>
      </c>
      <c r="BN960" s="8">
        <v>0</v>
      </c>
      <c r="BO960" s="8">
        <v>11567957.849972114</v>
      </c>
      <c r="BP960" s="8">
        <v>2261509.4127998161</v>
      </c>
      <c r="BQ960" s="8">
        <v>-9306448.4371722974</v>
      </c>
      <c r="BR960" s="8" t="str">
        <v>Yes</v>
      </c>
    </row>
    <row r="961" spans="54:70" x14ac:dyDescent="0.2">
      <c r="BB961" s="94"/>
      <c r="BL961" s="8">
        <v>912</v>
      </c>
      <c r="BM961" s="8">
        <v>2340113.6056597205</v>
      </c>
      <c r="BN961" s="8">
        <v>1385406.1893295972</v>
      </c>
      <c r="BO961" s="8">
        <v>3725519.7949893177</v>
      </c>
      <c r="BP961" s="8">
        <v>3667985.975526209</v>
      </c>
      <c r="BQ961" s="8">
        <v>-57533.819463108666</v>
      </c>
      <c r="BR961" s="8" t="str">
        <v>Yes</v>
      </c>
    </row>
    <row r="962" spans="54:70" x14ac:dyDescent="0.2">
      <c r="BB962" s="94"/>
      <c r="BL962" s="8">
        <v>913</v>
      </c>
      <c r="BM962" s="8">
        <v>4427612.5139996372</v>
      </c>
      <c r="BN962" s="8">
        <v>0</v>
      </c>
      <c r="BO962" s="8">
        <v>4427612.5139996372</v>
      </c>
      <c r="BP962" s="8">
        <v>6379488.0090827756</v>
      </c>
      <c r="BQ962" s="8">
        <v>1951875.4950831383</v>
      </c>
      <c r="BR962" s="8" t="str">
        <v>No</v>
      </c>
    </row>
    <row r="963" spans="54:70" x14ac:dyDescent="0.2">
      <c r="BB963" s="94"/>
      <c r="BL963" s="8">
        <v>914</v>
      </c>
      <c r="BM963" s="8">
        <v>4485802.4061933411</v>
      </c>
      <c r="BN963" s="8">
        <v>2613928.8767461106</v>
      </c>
      <c r="BO963" s="8">
        <v>7099731.2829394517</v>
      </c>
      <c r="BP963" s="8">
        <v>3987076.2329081506</v>
      </c>
      <c r="BQ963" s="8">
        <v>-3112655.0500313011</v>
      </c>
      <c r="BR963" s="8" t="str">
        <v>Yes</v>
      </c>
    </row>
    <row r="964" spans="54:70" x14ac:dyDescent="0.2">
      <c r="BB964" s="94"/>
      <c r="BL964" s="8">
        <v>915</v>
      </c>
      <c r="BM964" s="8">
        <v>3201465.7902944768</v>
      </c>
      <c r="BN964" s="8">
        <v>0</v>
      </c>
      <c r="BO964" s="8">
        <v>3201465.7902944768</v>
      </c>
      <c r="BP964" s="8">
        <v>3100899.2593496945</v>
      </c>
      <c r="BQ964" s="8">
        <v>-100566.53094478231</v>
      </c>
      <c r="BR964" s="8" t="str">
        <v>Yes</v>
      </c>
    </row>
    <row r="965" spans="54:70" x14ac:dyDescent="0.2">
      <c r="BB965" s="94"/>
      <c r="BL965" s="8">
        <v>916</v>
      </c>
      <c r="BM965" s="8">
        <v>11656756.703680892</v>
      </c>
      <c r="BN965" s="8">
        <v>6902789.9860636955</v>
      </c>
      <c r="BO965" s="8">
        <v>18559546.689744588</v>
      </c>
      <c r="BP965" s="8">
        <v>4110257.0385699919</v>
      </c>
      <c r="BQ965" s="8">
        <v>-14449289.651174596</v>
      </c>
      <c r="BR965" s="8" t="str">
        <v>Yes</v>
      </c>
    </row>
    <row r="966" spans="54:70" x14ac:dyDescent="0.2">
      <c r="BB966" s="94"/>
      <c r="BL966" s="8">
        <v>917</v>
      </c>
      <c r="BM966" s="8">
        <v>4330272.2455841964</v>
      </c>
      <c r="BN966" s="8">
        <v>0</v>
      </c>
      <c r="BO966" s="8">
        <v>4330272.2455841964</v>
      </c>
      <c r="BP966" s="8">
        <v>3193105.6174064619</v>
      </c>
      <c r="BQ966" s="8">
        <v>-1137166.6281777346</v>
      </c>
      <c r="BR966" s="8" t="str">
        <v>Yes</v>
      </c>
    </row>
    <row r="967" spans="54:70" x14ac:dyDescent="0.2">
      <c r="BB967" s="94"/>
      <c r="BL967" s="8">
        <v>918</v>
      </c>
      <c r="BM967" s="8">
        <v>7391974.9615346501</v>
      </c>
      <c r="BN967" s="8">
        <v>0</v>
      </c>
      <c r="BO967" s="8">
        <v>7391974.9615346501</v>
      </c>
      <c r="BP967" s="8">
        <v>2433251.2982562021</v>
      </c>
      <c r="BQ967" s="8">
        <v>-4958723.6632784475</v>
      </c>
      <c r="BR967" s="8" t="str">
        <v>Yes</v>
      </c>
    </row>
    <row r="968" spans="54:70" x14ac:dyDescent="0.2">
      <c r="BB968" s="94"/>
      <c r="BL968" s="8">
        <v>919</v>
      </c>
      <c r="BM968" s="8">
        <v>5499607.0901772529</v>
      </c>
      <c r="BN968" s="8">
        <v>2893318.5591987479</v>
      </c>
      <c r="BO968" s="8">
        <v>8392925.6493760012</v>
      </c>
      <c r="BP968" s="8">
        <v>3545319.4709808957</v>
      </c>
      <c r="BQ968" s="8">
        <v>-4847606.1783951055</v>
      </c>
      <c r="BR968" s="8" t="str">
        <v>Yes</v>
      </c>
    </row>
    <row r="969" spans="54:70" x14ac:dyDescent="0.2">
      <c r="BB969" s="94"/>
      <c r="BL969" s="8">
        <v>920</v>
      </c>
      <c r="BM969" s="8">
        <v>1865133.7050728961</v>
      </c>
      <c r="BN969" s="8">
        <v>0</v>
      </c>
      <c r="BO969" s="8">
        <v>1865133.7050728961</v>
      </c>
      <c r="BP969" s="8">
        <v>2250343.2217999776</v>
      </c>
      <c r="BQ969" s="8">
        <v>385209.5167270815</v>
      </c>
      <c r="BR969" s="8" t="str">
        <v>No</v>
      </c>
    </row>
    <row r="970" spans="54:70" x14ac:dyDescent="0.2">
      <c r="BB970" s="94"/>
      <c r="BL970" s="8">
        <v>921</v>
      </c>
      <c r="BM970" s="8">
        <v>2973898.2417571698</v>
      </c>
      <c r="BN970" s="8">
        <v>0</v>
      </c>
      <c r="BO970" s="8">
        <v>2973898.2417571698</v>
      </c>
      <c r="BP970" s="8">
        <v>2331676.3858456276</v>
      </c>
      <c r="BQ970" s="8">
        <v>-642221.8559115422</v>
      </c>
      <c r="BR970" s="8" t="str">
        <v>Yes</v>
      </c>
    </row>
    <row r="971" spans="54:70" x14ac:dyDescent="0.2">
      <c r="BB971" s="94"/>
      <c r="BL971" s="8">
        <v>922</v>
      </c>
      <c r="BM971" s="8">
        <v>6875256.0926167313</v>
      </c>
      <c r="BN971" s="8">
        <v>4849610.9290494099</v>
      </c>
      <c r="BO971" s="8">
        <v>11724867.021666141</v>
      </c>
      <c r="BP971" s="8">
        <v>5954292.9018980032</v>
      </c>
      <c r="BQ971" s="8">
        <v>-5770574.119768138</v>
      </c>
      <c r="BR971" s="8" t="str">
        <v>Yes</v>
      </c>
    </row>
    <row r="972" spans="54:70" x14ac:dyDescent="0.2">
      <c r="BB972" s="94"/>
      <c r="BL972" s="8">
        <v>923</v>
      </c>
      <c r="BM972" s="8">
        <v>2739636.8931243652</v>
      </c>
      <c r="BN972" s="8">
        <v>0</v>
      </c>
      <c r="BO972" s="8">
        <v>2739636.8931243652</v>
      </c>
      <c r="BP972" s="8">
        <v>4334546.5105868848</v>
      </c>
      <c r="BQ972" s="8">
        <v>1594909.6174625196</v>
      </c>
      <c r="BR972" s="8" t="str">
        <v>No</v>
      </c>
    </row>
    <row r="973" spans="54:70" x14ac:dyDescent="0.2">
      <c r="BB973" s="94"/>
      <c r="BL973" s="8">
        <v>924</v>
      </c>
      <c r="BM973" s="8">
        <v>7397149.0400356296</v>
      </c>
      <c r="BN973" s="8">
        <v>9002231.2009882592</v>
      </c>
      <c r="BO973" s="8">
        <v>16399380.241023889</v>
      </c>
      <c r="BP973" s="8">
        <v>3273707.0218821419</v>
      </c>
      <c r="BQ973" s="8">
        <v>-13125673.219141748</v>
      </c>
      <c r="BR973" s="8" t="str">
        <v>Yes</v>
      </c>
    </row>
    <row r="974" spans="54:70" x14ac:dyDescent="0.2">
      <c r="BB974" s="94"/>
      <c r="BL974" s="8">
        <v>925</v>
      </c>
      <c r="BM974" s="8">
        <v>5950053.0553413667</v>
      </c>
      <c r="BN974" s="8">
        <v>0</v>
      </c>
      <c r="BO974" s="8">
        <v>5950053.0553413667</v>
      </c>
      <c r="BP974" s="8">
        <v>3405627.6595083904</v>
      </c>
      <c r="BQ974" s="8">
        <v>-2544425.3958329763</v>
      </c>
      <c r="BR974" s="8" t="str">
        <v>Yes</v>
      </c>
    </row>
    <row r="975" spans="54:70" x14ac:dyDescent="0.2">
      <c r="BB975" s="94"/>
      <c r="BL975" s="8">
        <v>926</v>
      </c>
      <c r="BM975" s="8">
        <v>6950293.0740981959</v>
      </c>
      <c r="BN975" s="8">
        <v>8877180.6384660769</v>
      </c>
      <c r="BO975" s="8">
        <v>15827473.712564273</v>
      </c>
      <c r="BP975" s="8">
        <v>4525043.423817141</v>
      </c>
      <c r="BQ975" s="8">
        <v>-11302430.288747132</v>
      </c>
      <c r="BR975" s="8" t="str">
        <v>Yes</v>
      </c>
    </row>
    <row r="976" spans="54:70" x14ac:dyDescent="0.2">
      <c r="BB976" s="94"/>
      <c r="BL976" s="8">
        <v>927</v>
      </c>
      <c r="BM976" s="8">
        <v>2999365.2411467154</v>
      </c>
      <c r="BN976" s="8">
        <v>0</v>
      </c>
      <c r="BO976" s="8">
        <v>2999365.2411467154</v>
      </c>
      <c r="BP976" s="8">
        <v>5905036.4674704</v>
      </c>
      <c r="BQ976" s="8">
        <v>2905671.2263236847</v>
      </c>
      <c r="BR976" s="8" t="str">
        <v>No</v>
      </c>
    </row>
    <row r="977" spans="54:70" x14ac:dyDescent="0.2">
      <c r="BB977" s="94"/>
      <c r="BL977" s="8">
        <v>928</v>
      </c>
      <c r="BM977" s="8">
        <v>3242759.2855829997</v>
      </c>
      <c r="BN977" s="8">
        <v>0</v>
      </c>
      <c r="BO977" s="8">
        <v>3242759.2855829997</v>
      </c>
      <c r="BP977" s="8">
        <v>3508807.0899098115</v>
      </c>
      <c r="BQ977" s="8">
        <v>266047.80432681181</v>
      </c>
      <c r="BR977" s="8" t="str">
        <v>No</v>
      </c>
    </row>
    <row r="978" spans="54:70" x14ac:dyDescent="0.2">
      <c r="BB978" s="94"/>
      <c r="BL978" s="8">
        <v>929</v>
      </c>
      <c r="BM978" s="8">
        <v>2718432.2144416822</v>
      </c>
      <c r="BN978" s="8">
        <v>2720616.2568723257</v>
      </c>
      <c r="BO978" s="8">
        <v>5439048.4713140074</v>
      </c>
      <c r="BP978" s="8">
        <v>2202329.1347123277</v>
      </c>
      <c r="BQ978" s="8">
        <v>-3236719.3366016797</v>
      </c>
      <c r="BR978" s="8" t="str">
        <v>Yes</v>
      </c>
    </row>
    <row r="979" spans="54:70" x14ac:dyDescent="0.2">
      <c r="BB979" s="94"/>
      <c r="BL979" s="8">
        <v>930</v>
      </c>
      <c r="BM979" s="8">
        <v>4517181.6790626422</v>
      </c>
      <c r="BN979" s="8">
        <v>0</v>
      </c>
      <c r="BO979" s="8">
        <v>4517181.6790626422</v>
      </c>
      <c r="BP979" s="8">
        <v>6696113.3134206235</v>
      </c>
      <c r="BQ979" s="8">
        <v>2178931.6343579814</v>
      </c>
      <c r="BR979" s="8" t="str">
        <v>No</v>
      </c>
    </row>
    <row r="980" spans="54:70" x14ac:dyDescent="0.2">
      <c r="BB980" s="94"/>
      <c r="BL980" s="8">
        <v>931</v>
      </c>
      <c r="BM980" s="8">
        <v>4672002.833250436</v>
      </c>
      <c r="BN980" s="8">
        <v>0</v>
      </c>
      <c r="BO980" s="8">
        <v>4672002.833250436</v>
      </c>
      <c r="BP980" s="8">
        <v>2312920.8045159057</v>
      </c>
      <c r="BQ980" s="8">
        <v>-2359082.0287345303</v>
      </c>
      <c r="BR980" s="8" t="str">
        <v>Yes</v>
      </c>
    </row>
    <row r="981" spans="54:70" x14ac:dyDescent="0.2">
      <c r="BB981" s="94"/>
      <c r="BL981" s="8">
        <v>932</v>
      </c>
      <c r="BM981" s="8">
        <v>5607845.852300155</v>
      </c>
      <c r="BN981" s="8">
        <v>0</v>
      </c>
      <c r="BO981" s="8">
        <v>5607845.852300155</v>
      </c>
      <c r="BP981" s="8">
        <v>5765346.3860705094</v>
      </c>
      <c r="BQ981" s="8">
        <v>157500.53377035446</v>
      </c>
      <c r="BR981" s="8" t="str">
        <v>No</v>
      </c>
    </row>
    <row r="982" spans="54:70" x14ac:dyDescent="0.2">
      <c r="BB982" s="94"/>
      <c r="BL982" s="8">
        <v>933</v>
      </c>
      <c r="BM982" s="8">
        <v>3663677.1525116656</v>
      </c>
      <c r="BN982" s="8">
        <v>0</v>
      </c>
      <c r="BO982" s="8">
        <v>3663677.1525116656</v>
      </c>
      <c r="BP982" s="8">
        <v>3169855.9341355707</v>
      </c>
      <c r="BQ982" s="8">
        <v>-493821.21837609494</v>
      </c>
      <c r="BR982" s="8" t="str">
        <v>Yes</v>
      </c>
    </row>
    <row r="983" spans="54:70" x14ac:dyDescent="0.2">
      <c r="BB983" s="94"/>
      <c r="BL983" s="8">
        <v>934</v>
      </c>
      <c r="BM983" s="8">
        <v>2097143.9863867518</v>
      </c>
      <c r="BN983" s="8">
        <v>0</v>
      </c>
      <c r="BO983" s="8">
        <v>2097143.9863867518</v>
      </c>
      <c r="BP983" s="8">
        <v>2226528.4253584752</v>
      </c>
      <c r="BQ983" s="8">
        <v>129384.43897172343</v>
      </c>
      <c r="BR983" s="8" t="str">
        <v>No</v>
      </c>
    </row>
    <row r="984" spans="54:70" x14ac:dyDescent="0.2">
      <c r="BB984" s="94"/>
      <c r="BL984" s="8">
        <v>935</v>
      </c>
      <c r="BM984" s="8">
        <v>4187843.1533285347</v>
      </c>
      <c r="BN984" s="8">
        <v>1723220.9738982744</v>
      </c>
      <c r="BO984" s="8">
        <v>5911064.127226809</v>
      </c>
      <c r="BP984" s="8">
        <v>6263999.5772954514</v>
      </c>
      <c r="BQ984" s="8">
        <v>352935.45006864239</v>
      </c>
      <c r="BR984" s="8" t="str">
        <v>No</v>
      </c>
    </row>
    <row r="985" spans="54:70" x14ac:dyDescent="0.2">
      <c r="BB985" s="94"/>
      <c r="BL985" s="8">
        <v>936</v>
      </c>
      <c r="BM985" s="8">
        <v>4138373.160879246</v>
      </c>
      <c r="BN985" s="8">
        <v>1456485.8249548506</v>
      </c>
      <c r="BO985" s="8">
        <v>5594858.9858340966</v>
      </c>
      <c r="BP985" s="8">
        <v>3148901.7972953767</v>
      </c>
      <c r="BQ985" s="8">
        <v>-2445957.1885387199</v>
      </c>
      <c r="BR985" s="8" t="str">
        <v>Yes</v>
      </c>
    </row>
    <row r="986" spans="54:70" x14ac:dyDescent="0.2">
      <c r="BB986" s="94"/>
      <c r="BL986" s="8">
        <v>937</v>
      </c>
      <c r="BM986" s="8">
        <v>2753761.5619421909</v>
      </c>
      <c r="BN986" s="8">
        <v>2335497.9059238499</v>
      </c>
      <c r="BO986" s="8">
        <v>5089259.4678660408</v>
      </c>
      <c r="BP986" s="8">
        <v>3345441.4375451049</v>
      </c>
      <c r="BQ986" s="8">
        <v>-1743818.0303209359</v>
      </c>
      <c r="BR986" s="8" t="str">
        <v>Yes</v>
      </c>
    </row>
    <row r="987" spans="54:70" x14ac:dyDescent="0.2">
      <c r="BB987" s="94"/>
      <c r="BL987" s="8">
        <v>938</v>
      </c>
      <c r="BM987" s="8">
        <v>3083137.1905411896</v>
      </c>
      <c r="BN987" s="8">
        <v>0</v>
      </c>
      <c r="BO987" s="8">
        <v>3083137.1905411896</v>
      </c>
      <c r="BP987" s="8">
        <v>3279093.5336357537</v>
      </c>
      <c r="BQ987" s="8">
        <v>195956.34309456404</v>
      </c>
      <c r="BR987" s="8" t="str">
        <v>No</v>
      </c>
    </row>
    <row r="988" spans="54:70" x14ac:dyDescent="0.2">
      <c r="BB988" s="94"/>
      <c r="BL988" s="8">
        <v>939</v>
      </c>
      <c r="BM988" s="8">
        <v>2936866.3360160682</v>
      </c>
      <c r="BN988" s="8">
        <v>3567699.8692336539</v>
      </c>
      <c r="BO988" s="8">
        <v>6504566.2052497221</v>
      </c>
      <c r="BP988" s="8">
        <v>4321760.8032609075</v>
      </c>
      <c r="BQ988" s="8">
        <v>-2182805.4019888146</v>
      </c>
      <c r="BR988" s="8" t="str">
        <v>Yes</v>
      </c>
    </row>
    <row r="989" spans="54:70" x14ac:dyDescent="0.2">
      <c r="BB989" s="94"/>
      <c r="BL989" s="8">
        <v>940</v>
      </c>
      <c r="BM989" s="8">
        <v>8433957.091613546</v>
      </c>
      <c r="BN989" s="8">
        <v>11414544.133431695</v>
      </c>
      <c r="BO989" s="8">
        <v>19848501.225045241</v>
      </c>
      <c r="BP989" s="8">
        <v>3506228.0654405812</v>
      </c>
      <c r="BQ989" s="8">
        <v>-16342273.159604661</v>
      </c>
      <c r="BR989" s="8" t="str">
        <v>Yes</v>
      </c>
    </row>
    <row r="990" spans="54:70" x14ac:dyDescent="0.2">
      <c r="BB990" s="94"/>
      <c r="BL990" s="8">
        <v>941</v>
      </c>
      <c r="BM990" s="8">
        <v>3406654.1497911075</v>
      </c>
      <c r="BN990" s="8">
        <v>0</v>
      </c>
      <c r="BO990" s="8">
        <v>3406654.1497911075</v>
      </c>
      <c r="BP990" s="8">
        <v>3278224.9273894406</v>
      </c>
      <c r="BQ990" s="8">
        <v>-128429.22240166692</v>
      </c>
      <c r="BR990" s="8" t="str">
        <v>Yes</v>
      </c>
    </row>
    <row r="991" spans="54:70" x14ac:dyDescent="0.2">
      <c r="BB991" s="94"/>
      <c r="BL991" s="8">
        <v>942</v>
      </c>
      <c r="BM991" s="8">
        <v>4252579.6642366368</v>
      </c>
      <c r="BN991" s="8">
        <v>3141052.3846090753</v>
      </c>
      <c r="BO991" s="8">
        <v>7393632.0488457121</v>
      </c>
      <c r="BP991" s="8">
        <v>4415959.5523876064</v>
      </c>
      <c r="BQ991" s="8">
        <v>-2977672.4964581057</v>
      </c>
      <c r="BR991" s="8" t="str">
        <v>Yes</v>
      </c>
    </row>
    <row r="992" spans="54:70" x14ac:dyDescent="0.2">
      <c r="BB992" s="94"/>
      <c r="BL992" s="8">
        <v>943</v>
      </c>
      <c r="BM992" s="8">
        <v>8046556.5411740169</v>
      </c>
      <c r="BN992" s="8">
        <v>15607740.898517348</v>
      </c>
      <c r="BO992" s="8">
        <v>23654297.439691365</v>
      </c>
      <c r="BP992" s="8">
        <v>3349594.1678075907</v>
      </c>
      <c r="BQ992" s="8">
        <v>-20304703.271883775</v>
      </c>
      <c r="BR992" s="8" t="str">
        <v>Yes</v>
      </c>
    </row>
    <row r="993" spans="54:70" x14ac:dyDescent="0.2">
      <c r="BB993" s="94"/>
      <c r="BL993" s="8">
        <v>944</v>
      </c>
      <c r="BM993" s="8">
        <v>3978737.4404049283</v>
      </c>
      <c r="BN993" s="8">
        <v>2085863.6336734672</v>
      </c>
      <c r="BO993" s="8">
        <v>6064601.074078396</v>
      </c>
      <c r="BP993" s="8">
        <v>6324150.0940732239</v>
      </c>
      <c r="BQ993" s="8">
        <v>259549.01999482792</v>
      </c>
      <c r="BR993" s="8" t="str">
        <v>No</v>
      </c>
    </row>
    <row r="994" spans="54:70" x14ac:dyDescent="0.2">
      <c r="BB994" s="94"/>
      <c r="BL994" s="8">
        <v>945</v>
      </c>
      <c r="BM994" s="8">
        <v>5508507.9329652498</v>
      </c>
      <c r="BN994" s="8">
        <v>7768581.747116426</v>
      </c>
      <c r="BO994" s="8">
        <v>13277089.680081677</v>
      </c>
      <c r="BP994" s="8">
        <v>2275431.8661549543</v>
      </c>
      <c r="BQ994" s="8">
        <v>-11001657.813926723</v>
      </c>
      <c r="BR994" s="8" t="str">
        <v>Yes</v>
      </c>
    </row>
    <row r="995" spans="54:70" x14ac:dyDescent="0.2">
      <c r="BB995" s="94"/>
      <c r="BL995" s="8">
        <v>946</v>
      </c>
      <c r="BM995" s="8">
        <v>4536412.6703677475</v>
      </c>
      <c r="BN995" s="8">
        <v>0</v>
      </c>
      <c r="BO995" s="8">
        <v>4536412.6703677475</v>
      </c>
      <c r="BP995" s="8">
        <v>2491825.2487970036</v>
      </c>
      <c r="BQ995" s="8">
        <v>-2044587.4215707439</v>
      </c>
      <c r="BR995" s="8" t="str">
        <v>Yes</v>
      </c>
    </row>
    <row r="996" spans="54:70" x14ac:dyDescent="0.2">
      <c r="BB996" s="94"/>
      <c r="BL996" s="8">
        <v>947</v>
      </c>
      <c r="BM996" s="8">
        <v>3723911.0777998529</v>
      </c>
      <c r="BN996" s="8">
        <v>1564227.2606066838</v>
      </c>
      <c r="BO996" s="8">
        <v>5288138.3384065367</v>
      </c>
      <c r="BP996" s="8">
        <v>6561745.5587318074</v>
      </c>
      <c r="BQ996" s="8">
        <v>1273607.2203252707</v>
      </c>
      <c r="BR996" s="8" t="str">
        <v>No</v>
      </c>
    </row>
    <row r="997" spans="54:70" x14ac:dyDescent="0.2">
      <c r="BB997" s="94"/>
      <c r="BL997" s="8">
        <v>948</v>
      </c>
      <c r="BM997" s="8">
        <v>2870364.6496688984</v>
      </c>
      <c r="BN997" s="8">
        <v>0</v>
      </c>
      <c r="BO997" s="8">
        <v>2870364.6496688984</v>
      </c>
      <c r="BP997" s="8">
        <v>2188558.7110399208</v>
      </c>
      <c r="BQ997" s="8">
        <v>-681805.93862897763</v>
      </c>
      <c r="BR997" s="8" t="str">
        <v>Yes</v>
      </c>
    </row>
    <row r="998" spans="54:70" x14ac:dyDescent="0.2">
      <c r="BB998" s="94"/>
      <c r="BL998" s="8">
        <v>949</v>
      </c>
      <c r="BM998" s="8">
        <v>6880647.5604278352</v>
      </c>
      <c r="BN998" s="8">
        <v>8950683.6945847366</v>
      </c>
      <c r="BO998" s="8">
        <v>15831331.255012572</v>
      </c>
      <c r="BP998" s="8">
        <v>2761976.9136805874</v>
      </c>
      <c r="BQ998" s="8">
        <v>-13069354.341331985</v>
      </c>
      <c r="BR998" s="8" t="str">
        <v>Yes</v>
      </c>
    </row>
    <row r="999" spans="54:70" x14ac:dyDescent="0.2">
      <c r="BB999" s="94"/>
      <c r="BL999" s="8">
        <v>950</v>
      </c>
      <c r="BM999" s="8">
        <v>3544936.6811137628</v>
      </c>
      <c r="BN999" s="8">
        <v>4937358.6416736227</v>
      </c>
      <c r="BO999" s="8">
        <v>8482295.3227873854</v>
      </c>
      <c r="BP999" s="8">
        <v>4356490.9680244513</v>
      </c>
      <c r="BQ999" s="8">
        <v>-4125804.3547629341</v>
      </c>
      <c r="BR999" s="8" t="str">
        <v>Yes</v>
      </c>
    </row>
    <row r="1000" spans="54:70" x14ac:dyDescent="0.2">
      <c r="BB1000" s="94"/>
      <c r="BL1000" s="8">
        <v>951</v>
      </c>
      <c r="BM1000" s="8">
        <v>3873324.4847686943</v>
      </c>
      <c r="BN1000" s="8">
        <v>0</v>
      </c>
      <c r="BO1000" s="8">
        <v>3873324.4847686943</v>
      </c>
      <c r="BP1000" s="8">
        <v>4192776.2508604112</v>
      </c>
      <c r="BQ1000" s="8">
        <v>319451.76609171694</v>
      </c>
      <c r="BR1000" s="8" t="str">
        <v>No</v>
      </c>
    </row>
    <row r="1001" spans="54:70" x14ac:dyDescent="0.2">
      <c r="BB1001" s="94"/>
      <c r="BL1001" s="8">
        <v>952</v>
      </c>
      <c r="BM1001" s="8">
        <v>1817304.228299797</v>
      </c>
      <c r="BN1001" s="8">
        <v>0</v>
      </c>
      <c r="BO1001" s="8">
        <v>1817304.228299797</v>
      </c>
      <c r="BP1001" s="8">
        <v>5786487.2035810119</v>
      </c>
      <c r="BQ1001" s="8">
        <v>3969182.9752812148</v>
      </c>
      <c r="BR1001" s="8" t="str">
        <v>No</v>
      </c>
    </row>
    <row r="1002" spans="54:70" x14ac:dyDescent="0.2">
      <c r="BB1002" s="94"/>
      <c r="BL1002" s="8">
        <v>953</v>
      </c>
      <c r="BM1002" s="8">
        <v>4655426.4648935776</v>
      </c>
      <c r="BN1002" s="8">
        <v>669812.16421617707</v>
      </c>
      <c r="BO1002" s="8">
        <v>5325238.6291097552</v>
      </c>
      <c r="BP1002" s="8">
        <v>6671482.8669035537</v>
      </c>
      <c r="BQ1002" s="8">
        <v>1346244.2377937986</v>
      </c>
      <c r="BR1002" s="8" t="str">
        <v>No</v>
      </c>
    </row>
    <row r="1003" spans="54:70" x14ac:dyDescent="0.2">
      <c r="BB1003" s="94"/>
      <c r="BL1003" s="8">
        <v>954</v>
      </c>
      <c r="BM1003" s="8">
        <v>2351227.9262176398</v>
      </c>
      <c r="BN1003" s="8">
        <v>602855.88328546647</v>
      </c>
      <c r="BO1003" s="8">
        <v>2954083.8095031064</v>
      </c>
      <c r="BP1003" s="8">
        <v>3476450.5445405752</v>
      </c>
      <c r="BQ1003" s="8">
        <v>522366.73503746884</v>
      </c>
      <c r="BR1003" s="8" t="str">
        <v>No</v>
      </c>
    </row>
    <row r="1004" spans="54:70" x14ac:dyDescent="0.2">
      <c r="BB1004" s="94"/>
      <c r="BL1004" s="8">
        <v>955</v>
      </c>
      <c r="BM1004" s="8">
        <v>6780463.7064862456</v>
      </c>
      <c r="BN1004" s="8">
        <v>0</v>
      </c>
      <c r="BO1004" s="8">
        <v>6780463.7064862456</v>
      </c>
      <c r="BP1004" s="8">
        <v>3245291.8421851355</v>
      </c>
      <c r="BQ1004" s="8">
        <v>-3535171.8643011102</v>
      </c>
      <c r="BR1004" s="8" t="str">
        <v>Yes</v>
      </c>
    </row>
    <row r="1005" spans="54:70" x14ac:dyDescent="0.2">
      <c r="BB1005" s="94"/>
      <c r="BL1005" s="8">
        <v>956</v>
      </c>
      <c r="BM1005" s="8">
        <v>5635766.8076254744</v>
      </c>
      <c r="BN1005" s="8">
        <v>0</v>
      </c>
      <c r="BO1005" s="8">
        <v>5635766.8076254744</v>
      </c>
      <c r="BP1005" s="8">
        <v>6074109.1480883323</v>
      </c>
      <c r="BQ1005" s="8">
        <v>438342.34046285786</v>
      </c>
      <c r="BR1005" s="8" t="str">
        <v>No</v>
      </c>
    </row>
    <row r="1006" spans="54:70" x14ac:dyDescent="0.2">
      <c r="BB1006" s="94"/>
      <c r="BL1006" s="8">
        <v>957</v>
      </c>
      <c r="BM1006" s="8">
        <v>4436859.9356183717</v>
      </c>
      <c r="BN1006" s="8">
        <v>6131808.430451476</v>
      </c>
      <c r="BO1006" s="8">
        <v>10568668.366069848</v>
      </c>
      <c r="BP1006" s="8">
        <v>3233908.096120486</v>
      </c>
      <c r="BQ1006" s="8">
        <v>-7334760.2699493617</v>
      </c>
      <c r="BR1006" s="8" t="str">
        <v>Yes</v>
      </c>
    </row>
    <row r="1007" spans="54:70" x14ac:dyDescent="0.2">
      <c r="BB1007" s="94"/>
      <c r="BL1007" s="8">
        <v>958</v>
      </c>
      <c r="BM1007" s="8">
        <v>1947749.1138574164</v>
      </c>
      <c r="BN1007" s="8">
        <v>-257284.80140489677</v>
      </c>
      <c r="BO1007" s="8">
        <v>1690464.3124525198</v>
      </c>
      <c r="BP1007" s="8">
        <v>6509227.1723310091</v>
      </c>
      <c r="BQ1007" s="8">
        <v>4818762.8598784897</v>
      </c>
      <c r="BR1007" s="8" t="str">
        <v>No</v>
      </c>
    </row>
    <row r="1008" spans="54:70" x14ac:dyDescent="0.2">
      <c r="BB1008" s="94"/>
      <c r="BL1008" s="8">
        <v>959</v>
      </c>
      <c r="BM1008" s="8">
        <v>1919543.2823578934</v>
      </c>
      <c r="BN1008" s="8">
        <v>1963747.0099079881</v>
      </c>
      <c r="BO1008" s="8">
        <v>3883290.2922658818</v>
      </c>
      <c r="BP1008" s="8">
        <v>3397830.9051469532</v>
      </c>
      <c r="BQ1008" s="8">
        <v>-485459.3871189286</v>
      </c>
      <c r="BR1008" s="8" t="str">
        <v>Yes</v>
      </c>
    </row>
    <row r="1009" spans="54:70" x14ac:dyDescent="0.2">
      <c r="BB1009" s="94"/>
      <c r="BL1009" s="8">
        <v>960</v>
      </c>
      <c r="BM1009" s="8">
        <v>2195335.9191148016</v>
      </c>
      <c r="BN1009" s="8">
        <v>779635.81590687868</v>
      </c>
      <c r="BO1009" s="8">
        <v>2974971.7350216801</v>
      </c>
      <c r="BP1009" s="8">
        <v>3510727.9064280633</v>
      </c>
      <c r="BQ1009" s="8">
        <v>535756.17140638316</v>
      </c>
      <c r="BR1009" s="8" t="str">
        <v>No</v>
      </c>
    </row>
    <row r="1010" spans="54:70" x14ac:dyDescent="0.2">
      <c r="BB1010" s="94"/>
      <c r="BL1010" s="8">
        <v>961</v>
      </c>
      <c r="BM1010" s="8">
        <v>5411681.7826563856</v>
      </c>
      <c r="BN1010" s="8">
        <v>0</v>
      </c>
      <c r="BO1010" s="8">
        <v>5411681.7826563856</v>
      </c>
      <c r="BP1010" s="8">
        <v>3455507.2943899487</v>
      </c>
      <c r="BQ1010" s="8">
        <v>-1956174.4882664368</v>
      </c>
      <c r="BR1010" s="8" t="str">
        <v>Yes</v>
      </c>
    </row>
    <row r="1011" spans="54:70" x14ac:dyDescent="0.2">
      <c r="BB1011" s="94"/>
      <c r="BL1011" s="8">
        <v>962</v>
      </c>
      <c r="BM1011" s="8">
        <v>3172865.2953110496</v>
      </c>
      <c r="BN1011" s="8">
        <v>2676902.7983063408</v>
      </c>
      <c r="BO1011" s="8">
        <v>5849768.0936173908</v>
      </c>
      <c r="BP1011" s="8">
        <v>3861667.3339424427</v>
      </c>
      <c r="BQ1011" s="8">
        <v>-1988100.7596749482</v>
      </c>
      <c r="BR1011" s="8" t="str">
        <v>Yes</v>
      </c>
    </row>
    <row r="1012" spans="54:70" x14ac:dyDescent="0.2">
      <c r="BB1012" s="94"/>
      <c r="BL1012" s="8">
        <v>963</v>
      </c>
      <c r="BM1012" s="8">
        <v>1980450.1851842201</v>
      </c>
      <c r="BN1012" s="8">
        <v>0</v>
      </c>
      <c r="BO1012" s="8">
        <v>1980450.1851842201</v>
      </c>
      <c r="BP1012" s="8">
        <v>2241168.8891533054</v>
      </c>
      <c r="BQ1012" s="8">
        <v>260718.70396908536</v>
      </c>
      <c r="BR1012" s="8" t="str">
        <v>No</v>
      </c>
    </row>
    <row r="1013" spans="54:70" x14ac:dyDescent="0.2">
      <c r="BB1013" s="94"/>
      <c r="BL1013" s="8">
        <v>964</v>
      </c>
      <c r="BM1013" s="8">
        <v>7408551.0836458569</v>
      </c>
      <c r="BN1013" s="8">
        <v>4203188.5075454898</v>
      </c>
      <c r="BO1013" s="8">
        <v>11611739.591191348</v>
      </c>
      <c r="BP1013" s="8">
        <v>3219868.9857492843</v>
      </c>
      <c r="BQ1013" s="8">
        <v>-8391870.6054420639</v>
      </c>
      <c r="BR1013" s="8" t="str">
        <v>Yes</v>
      </c>
    </row>
    <row r="1014" spans="54:70" x14ac:dyDescent="0.2">
      <c r="BB1014" s="94"/>
      <c r="BL1014" s="8">
        <v>965</v>
      </c>
      <c r="BM1014" s="8">
        <v>4897985.935612441</v>
      </c>
      <c r="BN1014" s="8">
        <v>4083135.8725850028</v>
      </c>
      <c r="BO1014" s="8">
        <v>8981121.8081974443</v>
      </c>
      <c r="BP1014" s="8">
        <v>3465781.3642377639</v>
      </c>
      <c r="BQ1014" s="8">
        <v>-5515340.4439596804</v>
      </c>
      <c r="BR1014" s="8" t="str">
        <v>Yes</v>
      </c>
    </row>
    <row r="1015" spans="54:70" x14ac:dyDescent="0.2">
      <c r="BB1015" s="94"/>
      <c r="BL1015" s="8">
        <v>966</v>
      </c>
      <c r="BM1015" s="8">
        <v>2132839.5635914537</v>
      </c>
      <c r="BN1015" s="8">
        <v>2279458.9959659185</v>
      </c>
      <c r="BO1015" s="8">
        <v>4412298.5595573727</v>
      </c>
      <c r="BP1015" s="8">
        <v>2313207.0344859227</v>
      </c>
      <c r="BQ1015" s="8">
        <v>-2099091.52507145</v>
      </c>
      <c r="BR1015" s="8" t="str">
        <v>Yes</v>
      </c>
    </row>
    <row r="1016" spans="54:70" x14ac:dyDescent="0.2">
      <c r="BB1016" s="94"/>
      <c r="BL1016" s="8">
        <v>967</v>
      </c>
      <c r="BM1016" s="8">
        <v>1993301.2054776808</v>
      </c>
      <c r="BN1016" s="8">
        <v>0</v>
      </c>
      <c r="BO1016" s="8">
        <v>1993301.2054776808</v>
      </c>
      <c r="BP1016" s="8">
        <v>6227997.1733743325</v>
      </c>
      <c r="BQ1016" s="8">
        <v>4234695.9678966515</v>
      </c>
      <c r="BR1016" s="8" t="str">
        <v>No</v>
      </c>
    </row>
    <row r="1017" spans="54:70" x14ac:dyDescent="0.2">
      <c r="BB1017" s="94"/>
      <c r="BL1017" s="8">
        <v>968</v>
      </c>
      <c r="BM1017" s="8">
        <v>5142208.0452905493</v>
      </c>
      <c r="BN1017" s="8">
        <v>0</v>
      </c>
      <c r="BO1017" s="8">
        <v>5142208.0452905493</v>
      </c>
      <c r="BP1017" s="8">
        <v>3344006.8162588105</v>
      </c>
      <c r="BQ1017" s="8">
        <v>-1798201.2290317388</v>
      </c>
      <c r="BR1017" s="8" t="str">
        <v>Yes</v>
      </c>
    </row>
    <row r="1018" spans="54:70" x14ac:dyDescent="0.2">
      <c r="BB1018" s="94"/>
      <c r="BL1018" s="8">
        <v>969</v>
      </c>
      <c r="BM1018" s="8">
        <v>5737934.1975176474</v>
      </c>
      <c r="BN1018" s="8">
        <v>3397510.1792160985</v>
      </c>
      <c r="BO1018" s="8">
        <v>9135444.3767337464</v>
      </c>
      <c r="BP1018" s="8">
        <v>3539191.1701225145</v>
      </c>
      <c r="BQ1018" s="8">
        <v>-5596253.2066112319</v>
      </c>
      <c r="BR1018" s="8" t="str">
        <v>Yes</v>
      </c>
    </row>
    <row r="1019" spans="54:70" x14ac:dyDescent="0.2">
      <c r="BB1019" s="94"/>
      <c r="BL1019" s="8">
        <v>970</v>
      </c>
      <c r="BM1019" s="8">
        <v>8606758.0176864378</v>
      </c>
      <c r="BN1019" s="8">
        <v>0</v>
      </c>
      <c r="BO1019" s="8">
        <v>8606758.0176864378</v>
      </c>
      <c r="BP1019" s="8">
        <v>4895359.902220048</v>
      </c>
      <c r="BQ1019" s="8">
        <v>-3711398.1154663898</v>
      </c>
      <c r="BR1019" s="8" t="str">
        <v>Yes</v>
      </c>
    </row>
    <row r="1020" spans="54:70" x14ac:dyDescent="0.2">
      <c r="BB1020" s="94"/>
      <c r="BL1020" s="8">
        <v>971</v>
      </c>
      <c r="BM1020" s="8">
        <v>7958229.0624876143</v>
      </c>
      <c r="BN1020" s="8">
        <v>9750000.8822998032</v>
      </c>
      <c r="BO1020" s="8">
        <v>17708229.944787417</v>
      </c>
      <c r="BP1020" s="8">
        <v>4282136.2921761898</v>
      </c>
      <c r="BQ1020" s="8">
        <v>-13426093.652611226</v>
      </c>
      <c r="BR1020" s="8" t="str">
        <v>Yes</v>
      </c>
    </row>
    <row r="1021" spans="54:70" x14ac:dyDescent="0.2">
      <c r="BB1021" s="94"/>
      <c r="BL1021" s="8">
        <v>972</v>
      </c>
      <c r="BM1021" s="8">
        <v>3905432.8629735857</v>
      </c>
      <c r="BN1021" s="8">
        <v>2179064.7242487553</v>
      </c>
      <c r="BO1021" s="8">
        <v>6084497.5872223414</v>
      </c>
      <c r="BP1021" s="8">
        <v>3086462.2795857843</v>
      </c>
      <c r="BQ1021" s="8">
        <v>-2998035.3076365571</v>
      </c>
      <c r="BR1021" s="8" t="str">
        <v>Yes</v>
      </c>
    </row>
    <row r="1022" spans="54:70" x14ac:dyDescent="0.2">
      <c r="BB1022" s="94"/>
      <c r="BL1022" s="8">
        <v>973</v>
      </c>
      <c r="BM1022" s="8">
        <v>5384326.2472649431</v>
      </c>
      <c r="BN1022" s="8">
        <v>3010645.1165314331</v>
      </c>
      <c r="BO1022" s="8">
        <v>8394971.3637963757</v>
      </c>
      <c r="BP1022" s="8">
        <v>6407552.9436222911</v>
      </c>
      <c r="BQ1022" s="8">
        <v>-1987418.4201740846</v>
      </c>
      <c r="BR1022" s="8" t="str">
        <v>Yes</v>
      </c>
    </row>
    <row r="1023" spans="54:70" x14ac:dyDescent="0.2">
      <c r="BB1023" s="94"/>
      <c r="BL1023" s="8">
        <v>974</v>
      </c>
      <c r="BM1023" s="8">
        <v>5799311.9220322156</v>
      </c>
      <c r="BN1023" s="8">
        <v>1683642.8930193183</v>
      </c>
      <c r="BO1023" s="8">
        <v>7482954.8150515342</v>
      </c>
      <c r="BP1023" s="8">
        <v>4471873.880673985</v>
      </c>
      <c r="BQ1023" s="8">
        <v>-3011080.9343775492</v>
      </c>
      <c r="BR1023" s="8" t="str">
        <v>Yes</v>
      </c>
    </row>
    <row r="1024" spans="54:70" x14ac:dyDescent="0.2">
      <c r="BB1024" s="94"/>
      <c r="BL1024" s="8">
        <v>975</v>
      </c>
      <c r="BM1024" s="8">
        <v>3781759.7706398075</v>
      </c>
      <c r="BN1024" s="8">
        <v>3185701.8343872586</v>
      </c>
      <c r="BO1024" s="8">
        <v>6967461.6050270665</v>
      </c>
      <c r="BP1024" s="8">
        <v>6431065.7389615858</v>
      </c>
      <c r="BQ1024" s="8">
        <v>-536395.86606548075</v>
      </c>
      <c r="BR1024" s="8" t="str">
        <v>Yes</v>
      </c>
    </row>
    <row r="1025" spans="54:70" x14ac:dyDescent="0.2">
      <c r="BB1025" s="94"/>
      <c r="BL1025" s="8">
        <v>976</v>
      </c>
      <c r="BM1025" s="8">
        <v>2471475.1596968668</v>
      </c>
      <c r="BN1025" s="8">
        <v>0</v>
      </c>
      <c r="BO1025" s="8">
        <v>2471475.1596968668</v>
      </c>
      <c r="BP1025" s="8">
        <v>4294240.7690032944</v>
      </c>
      <c r="BQ1025" s="8">
        <v>1822765.6093064277</v>
      </c>
      <c r="BR1025" s="8" t="str">
        <v>No</v>
      </c>
    </row>
    <row r="1026" spans="54:70" x14ac:dyDescent="0.2">
      <c r="BB1026" s="94"/>
      <c r="BL1026" s="8">
        <v>977</v>
      </c>
      <c r="BM1026" s="8">
        <v>2912197.3381492598</v>
      </c>
      <c r="BN1026" s="8">
        <v>899657.36217610899</v>
      </c>
      <c r="BO1026" s="8">
        <v>3811854.7003253689</v>
      </c>
      <c r="BP1026" s="8">
        <v>6353539.8069463149</v>
      </c>
      <c r="BQ1026" s="8">
        <v>2541685.106620946</v>
      </c>
      <c r="BR1026" s="8" t="str">
        <v>No</v>
      </c>
    </row>
    <row r="1027" spans="54:70" x14ac:dyDescent="0.2">
      <c r="BB1027" s="94"/>
      <c r="BL1027" s="8">
        <v>978</v>
      </c>
      <c r="BM1027" s="8">
        <v>2498689.4250119124</v>
      </c>
      <c r="BN1027" s="8">
        <v>1523203.8852326756</v>
      </c>
      <c r="BO1027" s="8">
        <v>4021893.3102445882</v>
      </c>
      <c r="BP1027" s="8">
        <v>4052412.9417076055</v>
      </c>
      <c r="BQ1027" s="8">
        <v>30519.631463017315</v>
      </c>
      <c r="BR1027" s="8" t="str">
        <v>No</v>
      </c>
    </row>
    <row r="1028" spans="54:70" x14ac:dyDescent="0.2">
      <c r="BB1028" s="94"/>
      <c r="BL1028" s="8">
        <v>979</v>
      </c>
      <c r="BM1028" s="8">
        <v>2507860.2484464813</v>
      </c>
      <c r="BN1028" s="8">
        <v>0</v>
      </c>
      <c r="BO1028" s="8">
        <v>2507860.2484464813</v>
      </c>
      <c r="BP1028" s="8">
        <v>4275153.1222233903</v>
      </c>
      <c r="BQ1028" s="8">
        <v>1767292.873776909</v>
      </c>
      <c r="BR1028" s="8" t="str">
        <v>No</v>
      </c>
    </row>
    <row r="1029" spans="54:70" x14ac:dyDescent="0.2">
      <c r="BB1029" s="94"/>
      <c r="BL1029" s="8">
        <v>980</v>
      </c>
      <c r="BM1029" s="8">
        <v>7802882.1946511595</v>
      </c>
      <c r="BN1029" s="8">
        <v>0</v>
      </c>
      <c r="BO1029" s="8">
        <v>7802882.1946511595</v>
      </c>
      <c r="BP1029" s="8">
        <v>4108677.0540443445</v>
      </c>
      <c r="BQ1029" s="8">
        <v>-3694205.140606815</v>
      </c>
      <c r="BR1029" s="8" t="str">
        <v>Yes</v>
      </c>
    </row>
    <row r="1030" spans="54:70" x14ac:dyDescent="0.2">
      <c r="BB1030" s="94"/>
      <c r="BL1030" s="8">
        <v>981</v>
      </c>
      <c r="BM1030" s="8">
        <v>5139684.0489720851</v>
      </c>
      <c r="BN1030" s="8">
        <v>3998389.5145139946</v>
      </c>
      <c r="BO1030" s="8">
        <v>9138073.5634860806</v>
      </c>
      <c r="BP1030" s="8">
        <v>6511355.9968592115</v>
      </c>
      <c r="BQ1030" s="8">
        <v>-2626717.5666268691</v>
      </c>
      <c r="BR1030" s="8" t="str">
        <v>Yes</v>
      </c>
    </row>
    <row r="1031" spans="54:70" x14ac:dyDescent="0.2">
      <c r="BB1031" s="94"/>
      <c r="BL1031" s="8">
        <v>982</v>
      </c>
      <c r="BM1031" s="8">
        <v>2220962.4717058931</v>
      </c>
      <c r="BN1031" s="8">
        <v>1223697.9282031544</v>
      </c>
      <c r="BO1031" s="8">
        <v>3444660.3999090474</v>
      </c>
      <c r="BP1031" s="8">
        <v>4343380.5360099711</v>
      </c>
      <c r="BQ1031" s="8">
        <v>898720.13610092364</v>
      </c>
      <c r="BR1031" s="8" t="str">
        <v>No</v>
      </c>
    </row>
    <row r="1032" spans="54:70" x14ac:dyDescent="0.2">
      <c r="BB1032" s="94"/>
      <c r="BL1032" s="8">
        <v>983</v>
      </c>
      <c r="BM1032" s="8">
        <v>2547665.5036079404</v>
      </c>
      <c r="BN1032" s="8">
        <v>0</v>
      </c>
      <c r="BO1032" s="8">
        <v>2547665.5036079404</v>
      </c>
      <c r="BP1032" s="8">
        <v>4351630.7615143862</v>
      </c>
      <c r="BQ1032" s="8">
        <v>1803965.2579064458</v>
      </c>
      <c r="BR1032" s="8" t="str">
        <v>No</v>
      </c>
    </row>
    <row r="1033" spans="54:70" x14ac:dyDescent="0.2">
      <c r="BB1033" s="94"/>
      <c r="BL1033" s="8">
        <v>984</v>
      </c>
      <c r="BM1033" s="8">
        <v>3774875.6560827391</v>
      </c>
      <c r="BN1033" s="8">
        <v>0</v>
      </c>
      <c r="BO1033" s="8">
        <v>3774875.6560827391</v>
      </c>
      <c r="BP1033" s="8">
        <v>6006602.9952445859</v>
      </c>
      <c r="BQ1033" s="8">
        <v>2231727.3391618468</v>
      </c>
      <c r="BR1033" s="8" t="str">
        <v>No</v>
      </c>
    </row>
    <row r="1034" spans="54:70" x14ac:dyDescent="0.2">
      <c r="BB1034" s="94"/>
      <c r="BL1034" s="8">
        <v>985</v>
      </c>
      <c r="BM1034" s="8">
        <v>8661760.9585679956</v>
      </c>
      <c r="BN1034" s="8">
        <v>0</v>
      </c>
      <c r="BO1034" s="8">
        <v>8661760.9585679956</v>
      </c>
      <c r="BP1034" s="8">
        <v>4243693.7710299091</v>
      </c>
      <c r="BQ1034" s="8">
        <v>-4418067.1875380864</v>
      </c>
      <c r="BR1034" s="8" t="str">
        <v>Yes</v>
      </c>
    </row>
    <row r="1035" spans="54:70" x14ac:dyDescent="0.2">
      <c r="BB1035" s="94"/>
      <c r="BL1035" s="8">
        <v>986</v>
      </c>
      <c r="BM1035" s="8">
        <v>2308183.0945902821</v>
      </c>
      <c r="BN1035" s="8">
        <v>0</v>
      </c>
      <c r="BO1035" s="8">
        <v>2308183.0945902821</v>
      </c>
      <c r="BP1035" s="8">
        <v>3356104.3995300252</v>
      </c>
      <c r="BQ1035" s="8">
        <v>1047921.3049397431</v>
      </c>
      <c r="BR1035" s="8" t="str">
        <v>No</v>
      </c>
    </row>
    <row r="1036" spans="54:70" x14ac:dyDescent="0.2">
      <c r="BB1036" s="94"/>
      <c r="BL1036" s="8">
        <v>987</v>
      </c>
      <c r="BM1036" s="8">
        <v>6183451.0070688017</v>
      </c>
      <c r="BN1036" s="8">
        <v>0</v>
      </c>
      <c r="BO1036" s="8">
        <v>6183451.0070688017</v>
      </c>
      <c r="BP1036" s="8">
        <v>2434328.8907161318</v>
      </c>
      <c r="BQ1036" s="8">
        <v>-3749122.1163526699</v>
      </c>
      <c r="BR1036" s="8" t="str">
        <v>Yes</v>
      </c>
    </row>
    <row r="1037" spans="54:70" x14ac:dyDescent="0.2">
      <c r="BB1037" s="94"/>
      <c r="BL1037" s="8">
        <v>988</v>
      </c>
      <c r="BM1037" s="8">
        <v>4929930.1996851219</v>
      </c>
      <c r="BN1037" s="8">
        <v>0</v>
      </c>
      <c r="BO1037" s="8">
        <v>4929930.1996851219</v>
      </c>
      <c r="BP1037" s="8">
        <v>6396872.9333733208</v>
      </c>
      <c r="BQ1037" s="8">
        <v>1466942.733688199</v>
      </c>
      <c r="BR1037" s="8" t="str">
        <v>No</v>
      </c>
    </row>
    <row r="1038" spans="54:70" x14ac:dyDescent="0.2">
      <c r="BB1038" s="94"/>
      <c r="BL1038" s="8">
        <v>989</v>
      </c>
      <c r="BM1038" s="8">
        <v>2930090.0349359922</v>
      </c>
      <c r="BN1038" s="8">
        <v>0</v>
      </c>
      <c r="BO1038" s="8">
        <v>2930090.0349359922</v>
      </c>
      <c r="BP1038" s="8">
        <v>6537292.6770412819</v>
      </c>
      <c r="BQ1038" s="8">
        <v>3607202.6421052897</v>
      </c>
      <c r="BR1038" s="8" t="str">
        <v>No</v>
      </c>
    </row>
    <row r="1039" spans="54:70" x14ac:dyDescent="0.2">
      <c r="BB1039" s="94"/>
      <c r="BL1039" s="8">
        <v>990</v>
      </c>
      <c r="BM1039" s="8">
        <v>6516898.56377922</v>
      </c>
      <c r="BN1039" s="8">
        <v>5539634.1970817065</v>
      </c>
      <c r="BO1039" s="8">
        <v>12056532.760860927</v>
      </c>
      <c r="BP1039" s="8">
        <v>2056874.8617120194</v>
      </c>
      <c r="BQ1039" s="8">
        <v>-9999657.8991489075</v>
      </c>
      <c r="BR1039" s="8" t="str">
        <v>Yes</v>
      </c>
    </row>
    <row r="1040" spans="54:70" x14ac:dyDescent="0.2">
      <c r="BB1040" s="94"/>
      <c r="BL1040" s="8">
        <v>991</v>
      </c>
      <c r="BM1040" s="8">
        <v>3504403.5570709161</v>
      </c>
      <c r="BN1040" s="8">
        <v>6055885.0582104065</v>
      </c>
      <c r="BO1040" s="8">
        <v>9560288.615281323</v>
      </c>
      <c r="BP1040" s="8">
        <v>2368220.7272142628</v>
      </c>
      <c r="BQ1040" s="8">
        <v>-7192067.8880670602</v>
      </c>
      <c r="BR1040" s="8" t="str">
        <v>Yes</v>
      </c>
    </row>
    <row r="1041" spans="54:70" x14ac:dyDescent="0.2">
      <c r="BB1041" s="94"/>
      <c r="BL1041" s="8">
        <v>992</v>
      </c>
      <c r="BM1041" s="8">
        <v>3121997.6239424292</v>
      </c>
      <c r="BN1041" s="8">
        <v>0</v>
      </c>
      <c r="BO1041" s="8">
        <v>3121997.6239424292</v>
      </c>
      <c r="BP1041" s="8">
        <v>3477184.0703497073</v>
      </c>
      <c r="BQ1041" s="8">
        <v>355186.44640727807</v>
      </c>
      <c r="BR1041" s="8" t="str">
        <v>No</v>
      </c>
    </row>
    <row r="1042" spans="54:70" x14ac:dyDescent="0.2">
      <c r="BB1042" s="94"/>
      <c r="BL1042" s="8">
        <v>993</v>
      </c>
      <c r="BM1042" s="8">
        <v>6348040.1911706738</v>
      </c>
      <c r="BN1042" s="8">
        <v>6157145.3931843787</v>
      </c>
      <c r="BO1042" s="8">
        <v>12505185.584355053</v>
      </c>
      <c r="BP1042" s="8">
        <v>2259445.9949716246</v>
      </c>
      <c r="BQ1042" s="8">
        <v>-10245739.589383427</v>
      </c>
      <c r="BR1042" s="8" t="str">
        <v>Yes</v>
      </c>
    </row>
    <row r="1043" spans="54:70" x14ac:dyDescent="0.2">
      <c r="BB1043" s="94"/>
      <c r="BL1043" s="8">
        <v>994</v>
      </c>
      <c r="BM1043" s="8">
        <v>4815802.0778846545</v>
      </c>
      <c r="BN1043" s="8">
        <v>0</v>
      </c>
      <c r="BO1043" s="8">
        <v>4815802.0778846545</v>
      </c>
      <c r="BP1043" s="8">
        <v>6203119.2972597405</v>
      </c>
      <c r="BQ1043" s="8">
        <v>1387317.219375086</v>
      </c>
      <c r="BR1043" s="8" t="str">
        <v>No</v>
      </c>
    </row>
    <row r="1044" spans="54:70" x14ac:dyDescent="0.2">
      <c r="BB1044" s="94"/>
      <c r="BL1044" s="8">
        <v>995</v>
      </c>
      <c r="BM1044" s="8">
        <v>1245791.5732716331</v>
      </c>
      <c r="BN1044" s="8">
        <v>0</v>
      </c>
      <c r="BO1044" s="8">
        <v>1245791.5732716331</v>
      </c>
      <c r="BP1044" s="8">
        <v>3294045.915207942</v>
      </c>
      <c r="BQ1044" s="8">
        <v>2048254.3419363089</v>
      </c>
      <c r="BR1044" s="8" t="str">
        <v>No</v>
      </c>
    </row>
    <row r="1045" spans="54:70" x14ac:dyDescent="0.2">
      <c r="BB1045" s="94"/>
      <c r="BL1045" s="8">
        <v>996</v>
      </c>
      <c r="BM1045" s="8">
        <v>4993380.6566411592</v>
      </c>
      <c r="BN1045" s="8">
        <v>3447428.3663578457</v>
      </c>
      <c r="BO1045" s="8">
        <v>8440809.0229990054</v>
      </c>
      <c r="BP1045" s="8">
        <v>2278657.7024377855</v>
      </c>
      <c r="BQ1045" s="8">
        <v>-6162151.3205612199</v>
      </c>
      <c r="BR1045" s="8" t="str">
        <v>Yes</v>
      </c>
    </row>
    <row r="1046" spans="54:70" x14ac:dyDescent="0.2">
      <c r="BB1046" s="94"/>
      <c r="BL1046" s="8">
        <v>997</v>
      </c>
      <c r="BM1046" s="8">
        <v>1992027.9661266841</v>
      </c>
      <c r="BN1046" s="8">
        <v>387958.68006993079</v>
      </c>
      <c r="BO1046" s="8">
        <v>2379986.646196615</v>
      </c>
      <c r="BP1046" s="8">
        <v>3277521.1621232531</v>
      </c>
      <c r="BQ1046" s="8">
        <v>897534.51592663815</v>
      </c>
      <c r="BR1046" s="8" t="str">
        <v>No</v>
      </c>
    </row>
    <row r="1047" spans="54:70" x14ac:dyDescent="0.2">
      <c r="BB1047" s="94"/>
      <c r="BL1047" s="8">
        <v>998</v>
      </c>
      <c r="BM1047" s="8">
        <v>3549967.8051069952</v>
      </c>
      <c r="BN1047" s="8">
        <v>0</v>
      </c>
      <c r="BO1047" s="8">
        <v>3549967.8051069952</v>
      </c>
      <c r="BP1047" s="8">
        <v>6438443.922934345</v>
      </c>
      <c r="BQ1047" s="8">
        <v>2888476.1178273498</v>
      </c>
      <c r="BR1047" s="8" t="str">
        <v>No</v>
      </c>
    </row>
    <row r="1048" spans="54:70" x14ac:dyDescent="0.2">
      <c r="BB1048" s="94"/>
      <c r="BL1048" s="8">
        <v>999</v>
      </c>
      <c r="BM1048" s="8">
        <v>5797946.4849358369</v>
      </c>
      <c r="BN1048" s="8">
        <v>0</v>
      </c>
      <c r="BO1048" s="8">
        <v>5797946.4849358369</v>
      </c>
      <c r="BP1048" s="8">
        <v>4208419.1184528619</v>
      </c>
      <c r="BQ1048" s="8">
        <v>-1589527.366482975</v>
      </c>
      <c r="BR1048" s="8" t="str">
        <v>Yes</v>
      </c>
    </row>
    <row r="1049" spans="54:70" x14ac:dyDescent="0.2">
      <c r="BB1049" s="94"/>
      <c r="BL1049" s="8">
        <v>1000</v>
      </c>
      <c r="BM1049" s="8">
        <v>3853859.8196310531</v>
      </c>
      <c r="BN1049" s="8">
        <v>3388192.3940507835</v>
      </c>
      <c r="BO1049" s="8">
        <v>7242052.2136818366</v>
      </c>
      <c r="BP1049" s="8">
        <v>3243381.596115727</v>
      </c>
      <c r="BQ1049" s="8">
        <v>-3998670.6175661096</v>
      </c>
      <c r="BR1049" s="8" t="str">
        <v>Yes</v>
      </c>
    </row>
    <row r="1050" spans="54:70" x14ac:dyDescent="0.2">
      <c r="BB1050" s="94"/>
      <c r="BL1050" s="8">
        <v>1001</v>
      </c>
      <c r="BM1050" s="8">
        <v>3836765.0779901622</v>
      </c>
      <c r="BN1050" s="8">
        <v>1426753.7157875781</v>
      </c>
      <c r="BO1050" s="8">
        <v>5263518.7937777406</v>
      </c>
      <c r="BP1050" s="8">
        <v>4335045.143951226</v>
      </c>
      <c r="BQ1050" s="8">
        <v>-928473.64982651453</v>
      </c>
      <c r="BR1050" s="8" t="str">
        <v>Yes</v>
      </c>
    </row>
    <row r="1051" spans="54:70" x14ac:dyDescent="0.2">
      <c r="BB1051" s="94"/>
      <c r="BL1051" s="8">
        <v>1002</v>
      </c>
      <c r="BM1051" s="8">
        <v>5271973.2898014393</v>
      </c>
      <c r="BN1051" s="8">
        <v>0</v>
      </c>
      <c r="BO1051" s="8">
        <v>5271973.2898014393</v>
      </c>
      <c r="BP1051" s="8">
        <v>6421434.5184099078</v>
      </c>
      <c r="BQ1051" s="8">
        <v>1149461.2286084685</v>
      </c>
      <c r="BR1051" s="8" t="str">
        <v>No</v>
      </c>
    </row>
    <row r="1052" spans="54:70" x14ac:dyDescent="0.2">
      <c r="BB1052" s="94"/>
      <c r="BL1052" s="8">
        <v>1003</v>
      </c>
      <c r="BM1052" s="8">
        <v>5316010.4921402447</v>
      </c>
      <c r="BN1052" s="8">
        <v>5906671.6839232817</v>
      </c>
      <c r="BO1052" s="8">
        <v>11222682.176063526</v>
      </c>
      <c r="BP1052" s="8">
        <v>3262968.0989644751</v>
      </c>
      <c r="BQ1052" s="8">
        <v>-7959714.0770990513</v>
      </c>
      <c r="BR1052" s="8" t="str">
        <v>Yes</v>
      </c>
    </row>
    <row r="1053" spans="54:70" x14ac:dyDescent="0.2">
      <c r="BB1053" s="94"/>
      <c r="BL1053" s="8">
        <v>1004</v>
      </c>
      <c r="BM1053" s="8">
        <v>3193352.9478013394</v>
      </c>
      <c r="BN1053" s="8">
        <v>1818028.2806584623</v>
      </c>
      <c r="BO1053" s="8">
        <v>5011381.2284598015</v>
      </c>
      <c r="BP1053" s="8">
        <v>4344604.1945374347</v>
      </c>
      <c r="BQ1053" s="8">
        <v>-666777.0339223668</v>
      </c>
      <c r="BR1053" s="8" t="str">
        <v>Yes</v>
      </c>
    </row>
    <row r="1054" spans="54:70" x14ac:dyDescent="0.2">
      <c r="BB1054" s="94"/>
      <c r="BL1054" s="8">
        <v>1005</v>
      </c>
      <c r="BM1054" s="8">
        <v>3036488.0795229161</v>
      </c>
      <c r="BN1054" s="8">
        <v>0</v>
      </c>
      <c r="BO1054" s="8">
        <v>3036488.0795229161</v>
      </c>
      <c r="BP1054" s="8">
        <v>6154026.0713500539</v>
      </c>
      <c r="BQ1054" s="8">
        <v>3117537.9918271378</v>
      </c>
      <c r="BR1054" s="8" t="str">
        <v>No</v>
      </c>
    </row>
    <row r="1055" spans="54:70" x14ac:dyDescent="0.2">
      <c r="BB1055" s="94"/>
      <c r="BL1055" s="8">
        <v>1006</v>
      </c>
      <c r="BM1055" s="8">
        <v>6677393.6829584343</v>
      </c>
      <c r="BN1055" s="8">
        <v>0</v>
      </c>
      <c r="BO1055" s="8">
        <v>6677393.6829584343</v>
      </c>
      <c r="BP1055" s="8">
        <v>3200997.1684355196</v>
      </c>
      <c r="BQ1055" s="8">
        <v>-3476396.5145229148</v>
      </c>
      <c r="BR1055" s="8" t="str">
        <v>Yes</v>
      </c>
    </row>
    <row r="1056" spans="54:70" x14ac:dyDescent="0.2">
      <c r="BB1056" s="94"/>
      <c r="BL1056" s="8">
        <v>1007</v>
      </c>
      <c r="BM1056" s="8">
        <v>4009179.8239582931</v>
      </c>
      <c r="BN1056" s="8">
        <v>0</v>
      </c>
      <c r="BO1056" s="8">
        <v>4009179.8239582931</v>
      </c>
      <c r="BP1056" s="8">
        <v>5906545.7794325296</v>
      </c>
      <c r="BQ1056" s="8">
        <v>1897365.9554742365</v>
      </c>
      <c r="BR1056" s="8" t="str">
        <v>No</v>
      </c>
    </row>
    <row r="1057" spans="54:70" x14ac:dyDescent="0.2">
      <c r="BB1057" s="94"/>
      <c r="BL1057" s="8">
        <v>1008</v>
      </c>
      <c r="BM1057" s="8">
        <v>2745641.044956041</v>
      </c>
      <c r="BN1057" s="8">
        <v>1880968.60298143</v>
      </c>
      <c r="BO1057" s="8">
        <v>4626609.647937471</v>
      </c>
      <c r="BP1057" s="8">
        <v>6274254.2730208188</v>
      </c>
      <c r="BQ1057" s="8">
        <v>1647644.6250833478</v>
      </c>
      <c r="BR1057" s="8" t="str">
        <v>No</v>
      </c>
    </row>
    <row r="1058" spans="54:70" x14ac:dyDescent="0.2">
      <c r="BB1058" s="94"/>
      <c r="BL1058" s="8">
        <v>1009</v>
      </c>
      <c r="BM1058" s="8">
        <v>4027563.0604653396</v>
      </c>
      <c r="BN1058" s="8">
        <v>2134940.6556564989</v>
      </c>
      <c r="BO1058" s="8">
        <v>6162503.7161218384</v>
      </c>
      <c r="BP1058" s="8">
        <v>6463945.8921820344</v>
      </c>
      <c r="BQ1058" s="8">
        <v>301442.17606019601</v>
      </c>
      <c r="BR1058" s="8" t="str">
        <v>No</v>
      </c>
    </row>
    <row r="1059" spans="54:70" x14ac:dyDescent="0.2">
      <c r="BB1059" s="94"/>
      <c r="BL1059" s="8">
        <v>1010</v>
      </c>
      <c r="BM1059" s="8">
        <v>3535014.2595932018</v>
      </c>
      <c r="BN1059" s="8">
        <v>0</v>
      </c>
      <c r="BO1059" s="8">
        <v>3535014.2595932018</v>
      </c>
      <c r="BP1059" s="8">
        <v>2124185.7354230294</v>
      </c>
      <c r="BQ1059" s="8">
        <v>-1410828.5241701724</v>
      </c>
      <c r="BR1059" s="8" t="str">
        <v>Yes</v>
      </c>
    </row>
    <row r="1060" spans="54:70" x14ac:dyDescent="0.2">
      <c r="BB1060" s="94"/>
      <c r="BL1060" s="8">
        <v>1011</v>
      </c>
      <c r="BM1060" s="8">
        <v>2578879.3151126807</v>
      </c>
      <c r="BN1060" s="8">
        <v>1465450.1990626322</v>
      </c>
      <c r="BO1060" s="8">
        <v>4044329.5141753126</v>
      </c>
      <c r="BP1060" s="8">
        <v>3314771.3599045179</v>
      </c>
      <c r="BQ1060" s="8">
        <v>-729558.15427079471</v>
      </c>
      <c r="BR1060" s="8" t="str">
        <v>Yes</v>
      </c>
    </row>
    <row r="1061" spans="54:70" x14ac:dyDescent="0.2">
      <c r="BB1061" s="94"/>
      <c r="BL1061" s="8">
        <v>1012</v>
      </c>
      <c r="BM1061" s="8">
        <v>5366387.5330521427</v>
      </c>
      <c r="BN1061" s="8">
        <v>-98371.659360783044</v>
      </c>
      <c r="BO1061" s="8">
        <v>5268015.8736913595</v>
      </c>
      <c r="BP1061" s="8">
        <v>6047172.9741717922</v>
      </c>
      <c r="BQ1061" s="8">
        <v>779157.10048043262</v>
      </c>
      <c r="BR1061" s="8" t="str">
        <v>No</v>
      </c>
    </row>
    <row r="1062" spans="54:70" x14ac:dyDescent="0.2">
      <c r="BB1062" s="94"/>
      <c r="BL1062" s="8">
        <v>1013</v>
      </c>
      <c r="BM1062" s="8">
        <v>4295379.7096215533</v>
      </c>
      <c r="BN1062" s="8">
        <v>0</v>
      </c>
      <c r="BO1062" s="8">
        <v>4295379.7096215533</v>
      </c>
      <c r="BP1062" s="8">
        <v>3042887.2113197432</v>
      </c>
      <c r="BQ1062" s="8">
        <v>-1252492.4983018101</v>
      </c>
      <c r="BR1062" s="8" t="str">
        <v>Yes</v>
      </c>
    </row>
    <row r="1063" spans="54:70" x14ac:dyDescent="0.2">
      <c r="BB1063" s="94"/>
      <c r="BL1063" s="8">
        <v>1014</v>
      </c>
      <c r="BM1063" s="8">
        <v>2517732.6144547435</v>
      </c>
      <c r="BN1063" s="8">
        <v>0</v>
      </c>
      <c r="BO1063" s="8">
        <v>2517732.6144547435</v>
      </c>
      <c r="BP1063" s="8">
        <v>3279301.0375885484</v>
      </c>
      <c r="BQ1063" s="8">
        <v>761568.42313380493</v>
      </c>
      <c r="BR1063" s="8" t="str">
        <v>No</v>
      </c>
    </row>
    <row r="1064" spans="54:70" x14ac:dyDescent="0.2">
      <c r="BB1064" s="94"/>
      <c r="BL1064" s="8">
        <v>1015</v>
      </c>
      <c r="BM1064" s="8">
        <v>3534194.5431070584</v>
      </c>
      <c r="BN1064" s="8">
        <v>2583231.5072622616</v>
      </c>
      <c r="BO1064" s="8">
        <v>6117426.0503693204</v>
      </c>
      <c r="BP1064" s="8">
        <v>2473317.5150886239</v>
      </c>
      <c r="BQ1064" s="8">
        <v>-3644108.5352806966</v>
      </c>
      <c r="BR1064" s="8" t="str">
        <v>Yes</v>
      </c>
    </row>
    <row r="1065" spans="54:70" x14ac:dyDescent="0.2">
      <c r="BB1065" s="94"/>
      <c r="BL1065" s="8">
        <v>1016</v>
      </c>
      <c r="BM1065" s="8">
        <v>6296261.3394194338</v>
      </c>
      <c r="BN1065" s="8">
        <v>0</v>
      </c>
      <c r="BO1065" s="8">
        <v>6296261.3394194338</v>
      </c>
      <c r="BP1065" s="8">
        <v>4589540.7563652415</v>
      </c>
      <c r="BQ1065" s="8">
        <v>-1706720.5830541924</v>
      </c>
      <c r="BR1065" s="8" t="str">
        <v>Yes</v>
      </c>
    </row>
    <row r="1066" spans="54:70" x14ac:dyDescent="0.2">
      <c r="BB1066" s="94"/>
      <c r="BL1066" s="8">
        <v>1017</v>
      </c>
      <c r="BM1066" s="8">
        <v>7448492.2499820255</v>
      </c>
      <c r="BN1066" s="8">
        <v>0</v>
      </c>
      <c r="BO1066" s="8">
        <v>7448492.2499820255</v>
      </c>
      <c r="BP1066" s="8">
        <v>6554374.6652408894</v>
      </c>
      <c r="BQ1066" s="8">
        <v>-894117.58474113606</v>
      </c>
      <c r="BR1066" s="8" t="str">
        <v>Yes</v>
      </c>
    </row>
    <row r="1067" spans="54:70" x14ac:dyDescent="0.2">
      <c r="BB1067" s="94"/>
      <c r="BL1067" s="8">
        <v>1018</v>
      </c>
      <c r="BM1067" s="8">
        <v>3117935.3794382792</v>
      </c>
      <c r="BN1067" s="8">
        <v>1319881.4009448998</v>
      </c>
      <c r="BO1067" s="8">
        <v>4437816.780383179</v>
      </c>
      <c r="BP1067" s="8">
        <v>3379602.3765377346</v>
      </c>
      <c r="BQ1067" s="8">
        <v>-1058214.4038454443</v>
      </c>
      <c r="BR1067" s="8" t="str">
        <v>Yes</v>
      </c>
    </row>
    <row r="1068" spans="54:70" x14ac:dyDescent="0.2">
      <c r="BB1068" s="94"/>
      <c r="BL1068" s="8">
        <v>1019</v>
      </c>
      <c r="BM1068" s="8">
        <v>5786218.2196395863</v>
      </c>
      <c r="BN1068" s="8">
        <v>0</v>
      </c>
      <c r="BO1068" s="8">
        <v>5786218.2196395863</v>
      </c>
      <c r="BP1068" s="8">
        <v>4626773.4652499082</v>
      </c>
      <c r="BQ1068" s="8">
        <v>-1159444.7543896781</v>
      </c>
      <c r="BR1068" s="8" t="str">
        <v>Yes</v>
      </c>
    </row>
    <row r="1069" spans="54:70" x14ac:dyDescent="0.2">
      <c r="BB1069" s="94"/>
      <c r="BL1069" s="8">
        <v>1020</v>
      </c>
      <c r="BM1069" s="8">
        <v>6045869.9521291545</v>
      </c>
      <c r="BN1069" s="8">
        <v>5741438.7943016207</v>
      </c>
      <c r="BO1069" s="8">
        <v>11787308.746430775</v>
      </c>
      <c r="BP1069" s="8">
        <v>4369347.2921027597</v>
      </c>
      <c r="BQ1069" s="8">
        <v>-7417961.4543280154</v>
      </c>
      <c r="BR1069" s="8" t="str">
        <v>Yes</v>
      </c>
    </row>
    <row r="1070" spans="54:70" x14ac:dyDescent="0.2">
      <c r="BB1070" s="94"/>
      <c r="BL1070" s="8">
        <v>1021</v>
      </c>
      <c r="BM1070" s="8">
        <v>2802044.3431356093</v>
      </c>
      <c r="BN1070" s="8">
        <v>0</v>
      </c>
      <c r="BO1070" s="8">
        <v>2802044.3431356093</v>
      </c>
      <c r="BP1070" s="8">
        <v>4150978.6100661759</v>
      </c>
      <c r="BQ1070" s="8">
        <v>1348934.2669305666</v>
      </c>
      <c r="BR1070" s="8" t="str">
        <v>No</v>
      </c>
    </row>
    <row r="1071" spans="54:70" x14ac:dyDescent="0.2">
      <c r="BB1071" s="94"/>
      <c r="BL1071" s="8">
        <v>1022</v>
      </c>
      <c r="BM1071" s="8">
        <v>2454240.6523431824</v>
      </c>
      <c r="BN1071" s="8">
        <v>756995.09171216795</v>
      </c>
      <c r="BO1071" s="8">
        <v>3211235.7440553503</v>
      </c>
      <c r="BP1071" s="8">
        <v>3441979.0115332212</v>
      </c>
      <c r="BQ1071" s="8">
        <v>230743.26747787092</v>
      </c>
      <c r="BR1071" s="8" t="str">
        <v>No</v>
      </c>
    </row>
    <row r="1072" spans="54:70" x14ac:dyDescent="0.2">
      <c r="BB1072" s="94"/>
      <c r="BL1072" s="8">
        <v>1023</v>
      </c>
      <c r="BM1072" s="8">
        <v>12301546.089339718</v>
      </c>
      <c r="BN1072" s="8">
        <v>10495938.711782057</v>
      </c>
      <c r="BO1072" s="8">
        <v>22797484.801121775</v>
      </c>
      <c r="BP1072" s="8">
        <v>6054940.8156337738</v>
      </c>
      <c r="BQ1072" s="8">
        <v>-16742543.985488001</v>
      </c>
      <c r="BR1072" s="8" t="str">
        <v>Yes</v>
      </c>
    </row>
    <row r="1073" spans="54:70" x14ac:dyDescent="0.2">
      <c r="BB1073" s="94"/>
      <c r="BL1073" s="8">
        <v>1024</v>
      </c>
      <c r="BM1073" s="8">
        <v>3326210.807636885</v>
      </c>
      <c r="BN1073" s="8">
        <v>0</v>
      </c>
      <c r="BO1073" s="8">
        <v>3326210.807636885</v>
      </c>
      <c r="BP1073" s="8">
        <v>3315677.9244984938</v>
      </c>
      <c r="BQ1073" s="8">
        <v>-10532.883138391189</v>
      </c>
      <c r="BR1073" s="8" t="str">
        <v>Yes</v>
      </c>
    </row>
    <row r="1074" spans="54:70" x14ac:dyDescent="0.2">
      <c r="BB1074" s="94"/>
      <c r="BL1074" s="8">
        <v>1025</v>
      </c>
      <c r="BM1074" s="8">
        <v>2974636.7537952075</v>
      </c>
      <c r="BN1074" s="8">
        <v>0</v>
      </c>
      <c r="BO1074" s="8">
        <v>2974636.7537952075</v>
      </c>
      <c r="BP1074" s="8">
        <v>6192564.6794722164</v>
      </c>
      <c r="BQ1074" s="8">
        <v>3217927.9256770089</v>
      </c>
      <c r="BR1074" s="8" t="str">
        <v>No</v>
      </c>
    </row>
    <row r="1075" spans="54:70" x14ac:dyDescent="0.2">
      <c r="BB1075" s="94"/>
      <c r="BL1075" s="8">
        <v>1026</v>
      </c>
      <c r="BM1075" s="8">
        <v>2281754.8368496243</v>
      </c>
      <c r="BN1075" s="8">
        <v>2406511.4429347627</v>
      </c>
      <c r="BO1075" s="8">
        <v>4688266.279784387</v>
      </c>
      <c r="BP1075" s="8">
        <v>2299710.3925806237</v>
      </c>
      <c r="BQ1075" s="8">
        <v>-2388555.8872037632</v>
      </c>
      <c r="BR1075" s="8" t="str">
        <v>Yes</v>
      </c>
    </row>
    <row r="1076" spans="54:70" x14ac:dyDescent="0.2">
      <c r="BB1076" s="94"/>
      <c r="BL1076" s="8">
        <v>1027</v>
      </c>
      <c r="BM1076" s="8">
        <v>4217325.3106184881</v>
      </c>
      <c r="BN1076" s="8">
        <v>3175933.8553137537</v>
      </c>
      <c r="BO1076" s="8">
        <v>7393259.1659322418</v>
      </c>
      <c r="BP1076" s="8">
        <v>4930008.4219375225</v>
      </c>
      <c r="BQ1076" s="8">
        <v>-2463250.7439947193</v>
      </c>
      <c r="BR1076" s="8" t="str">
        <v>Yes</v>
      </c>
    </row>
    <row r="1077" spans="54:70" x14ac:dyDescent="0.2">
      <c r="BB1077" s="94"/>
      <c r="BL1077" s="8">
        <v>1028</v>
      </c>
      <c r="BM1077" s="8">
        <v>6222020.5051176827</v>
      </c>
      <c r="BN1077" s="8">
        <v>7091051.3079422088</v>
      </c>
      <c r="BO1077" s="8">
        <v>13313071.813059893</v>
      </c>
      <c r="BP1077" s="8">
        <v>6242970.511323873</v>
      </c>
      <c r="BQ1077" s="8">
        <v>-7070101.3017360196</v>
      </c>
      <c r="BR1077" s="8" t="str">
        <v>Yes</v>
      </c>
    </row>
    <row r="1078" spans="54:70" x14ac:dyDescent="0.2">
      <c r="BB1078" s="94"/>
      <c r="BL1078" s="8">
        <v>1029</v>
      </c>
      <c r="BM1078" s="8">
        <v>5622677.1132690068</v>
      </c>
      <c r="BN1078" s="8">
        <v>9564895.5869531687</v>
      </c>
      <c r="BO1078" s="8">
        <v>15187572.700222176</v>
      </c>
      <c r="BP1078" s="8">
        <v>2366983.5381427724</v>
      </c>
      <c r="BQ1078" s="8">
        <v>-12820589.162079403</v>
      </c>
      <c r="BR1078" s="8" t="str">
        <v>Yes</v>
      </c>
    </row>
    <row r="1079" spans="54:70" x14ac:dyDescent="0.2">
      <c r="BB1079" s="94"/>
      <c r="BL1079" s="8">
        <v>1030</v>
      </c>
      <c r="BM1079" s="8">
        <v>2973773.2870737198</v>
      </c>
      <c r="BN1079" s="8">
        <v>4888883.395998151</v>
      </c>
      <c r="BO1079" s="8">
        <v>7862656.6830718704</v>
      </c>
      <c r="BP1079" s="8">
        <v>3273315.7194527918</v>
      </c>
      <c r="BQ1079" s="8">
        <v>-4589340.9636190785</v>
      </c>
      <c r="BR1079" s="8" t="str">
        <v>Yes</v>
      </c>
    </row>
    <row r="1080" spans="54:70" x14ac:dyDescent="0.2">
      <c r="BB1080" s="94"/>
      <c r="BL1080" s="8">
        <v>1031</v>
      </c>
      <c r="BM1080" s="8">
        <v>6158694.2108174562</v>
      </c>
      <c r="BN1080" s="8">
        <v>7810935.7436854737</v>
      </c>
      <c r="BO1080" s="8">
        <v>13969629.954502929</v>
      </c>
      <c r="BP1080" s="8">
        <v>6232095.7568594087</v>
      </c>
      <c r="BQ1080" s="8">
        <v>-7737534.1976435203</v>
      </c>
      <c r="BR1080" s="8" t="str">
        <v>Yes</v>
      </c>
    </row>
    <row r="1081" spans="54:70" x14ac:dyDescent="0.2">
      <c r="BB1081" s="94"/>
      <c r="BL1081" s="8">
        <v>1032</v>
      </c>
      <c r="BM1081" s="8">
        <v>1360004.6319487076</v>
      </c>
      <c r="BN1081" s="8">
        <v>1609346.6191840833</v>
      </c>
      <c r="BO1081" s="8">
        <v>2969351.2511327909</v>
      </c>
      <c r="BP1081" s="8">
        <v>2344670.7680390384</v>
      </c>
      <c r="BQ1081" s="8">
        <v>-624680.48309375253</v>
      </c>
      <c r="BR1081" s="8" t="str">
        <v>Yes</v>
      </c>
    </row>
    <row r="1082" spans="54:70" x14ac:dyDescent="0.2">
      <c r="BB1082" s="94"/>
      <c r="BL1082" s="8">
        <v>1033</v>
      </c>
      <c r="BM1082" s="8">
        <v>5449536.5981220687</v>
      </c>
      <c r="BN1082" s="8">
        <v>0</v>
      </c>
      <c r="BO1082" s="8">
        <v>5449536.5981220687</v>
      </c>
      <c r="BP1082" s="8">
        <v>2391237.4427583003</v>
      </c>
      <c r="BQ1082" s="8">
        <v>-3058299.1553637683</v>
      </c>
      <c r="BR1082" s="8" t="str">
        <v>Yes</v>
      </c>
    </row>
    <row r="1083" spans="54:70" x14ac:dyDescent="0.2">
      <c r="BB1083" s="94"/>
      <c r="BL1083" s="8">
        <v>1034</v>
      </c>
      <c r="BM1083" s="8">
        <v>7266126.2009140328</v>
      </c>
      <c r="BN1083" s="8">
        <v>0</v>
      </c>
      <c r="BO1083" s="8">
        <v>7266126.2009140328</v>
      </c>
      <c r="BP1083" s="8">
        <v>3464036.237278631</v>
      </c>
      <c r="BQ1083" s="8">
        <v>-3802089.9636354018</v>
      </c>
      <c r="BR1083" s="8" t="str">
        <v>Yes</v>
      </c>
    </row>
    <row r="1084" spans="54:70" x14ac:dyDescent="0.2">
      <c r="BB1084" s="94"/>
      <c r="BL1084" s="8">
        <v>1035</v>
      </c>
      <c r="BM1084" s="8">
        <v>5255728.9189747972</v>
      </c>
      <c r="BN1084" s="8">
        <v>0</v>
      </c>
      <c r="BO1084" s="8">
        <v>5255728.9189747972</v>
      </c>
      <c r="BP1084" s="8">
        <v>3725296.6391305611</v>
      </c>
      <c r="BQ1084" s="8">
        <v>-1530432.2798442361</v>
      </c>
      <c r="BR1084" s="8" t="str">
        <v>Yes</v>
      </c>
    </row>
    <row r="1085" spans="54:70" x14ac:dyDescent="0.2">
      <c r="BB1085" s="94"/>
      <c r="BL1085" s="8">
        <v>1036</v>
      </c>
      <c r="BM1085" s="8">
        <v>9751395.9050171282</v>
      </c>
      <c r="BN1085" s="8">
        <v>0</v>
      </c>
      <c r="BO1085" s="8">
        <v>9751395.9050171282</v>
      </c>
      <c r="BP1085" s="8">
        <v>3124847.0661772178</v>
      </c>
      <c r="BQ1085" s="8">
        <v>-6626548.8388399109</v>
      </c>
      <c r="BR1085" s="8" t="str">
        <v>Yes</v>
      </c>
    </row>
    <row r="1086" spans="54:70" x14ac:dyDescent="0.2">
      <c r="BB1086" s="94"/>
      <c r="BL1086" s="8">
        <v>1037</v>
      </c>
      <c r="BM1086" s="8">
        <v>6302866.9376209788</v>
      </c>
      <c r="BN1086" s="8">
        <v>8112412.6173254894</v>
      </c>
      <c r="BO1086" s="8">
        <v>14415279.554946467</v>
      </c>
      <c r="BP1086" s="8">
        <v>4185678.0348731834</v>
      </c>
      <c r="BQ1086" s="8">
        <v>-10229601.520073283</v>
      </c>
      <c r="BR1086" s="8" t="str">
        <v>Yes</v>
      </c>
    </row>
    <row r="1087" spans="54:70" x14ac:dyDescent="0.2">
      <c r="BB1087" s="94"/>
      <c r="BL1087" s="8">
        <v>1038</v>
      </c>
      <c r="BM1087" s="8">
        <v>3706967.7023617821</v>
      </c>
      <c r="BN1087" s="8">
        <v>0</v>
      </c>
      <c r="BO1087" s="8">
        <v>3706967.7023617821</v>
      </c>
      <c r="BP1087" s="8">
        <v>2165935.1021469673</v>
      </c>
      <c r="BQ1087" s="8">
        <v>-1541032.6002148148</v>
      </c>
      <c r="BR1087" s="8" t="str">
        <v>Yes</v>
      </c>
    </row>
    <row r="1088" spans="54:70" x14ac:dyDescent="0.2">
      <c r="BB1088" s="94"/>
      <c r="BL1088" s="8">
        <v>1039</v>
      </c>
      <c r="BM1088" s="8">
        <v>14946754.435686102</v>
      </c>
      <c r="BN1088" s="8">
        <v>23326133.693916697</v>
      </c>
      <c r="BO1088" s="8">
        <v>38272888.129602797</v>
      </c>
      <c r="BP1088" s="8">
        <v>4664506.6145167314</v>
      </c>
      <c r="BQ1088" s="8">
        <v>-33608381.51508607</v>
      </c>
      <c r="BR1088" s="8" t="str">
        <v>Yes</v>
      </c>
    </row>
    <row r="1089" spans="54:70" x14ac:dyDescent="0.2">
      <c r="BB1089" s="94"/>
      <c r="BL1089" s="8">
        <v>1040</v>
      </c>
      <c r="BM1089" s="8">
        <v>5168592.0682870243</v>
      </c>
      <c r="BN1089" s="8">
        <v>0</v>
      </c>
      <c r="BO1089" s="8">
        <v>5168592.0682870243</v>
      </c>
      <c r="BP1089" s="8">
        <v>4338223.7656174172</v>
      </c>
      <c r="BQ1089" s="8">
        <v>-830368.3026696071</v>
      </c>
      <c r="BR1089" s="8" t="str">
        <v>Yes</v>
      </c>
    </row>
    <row r="1090" spans="54:70" x14ac:dyDescent="0.2">
      <c r="BB1090" s="94"/>
      <c r="BL1090" s="8">
        <v>1041</v>
      </c>
      <c r="BM1090" s="8">
        <v>3241286.9718645904</v>
      </c>
      <c r="BN1090" s="8">
        <v>973865.50978567358</v>
      </c>
      <c r="BO1090" s="8">
        <v>4215152.481650264</v>
      </c>
      <c r="BP1090" s="8">
        <v>4522185.8919894453</v>
      </c>
      <c r="BQ1090" s="8">
        <v>307033.41033918131</v>
      </c>
      <c r="BR1090" s="8" t="str">
        <v>No</v>
      </c>
    </row>
    <row r="1091" spans="54:70" x14ac:dyDescent="0.2">
      <c r="BB1091" s="94"/>
      <c r="BL1091" s="8">
        <v>1042</v>
      </c>
      <c r="BM1091" s="8">
        <v>13765807.566003382</v>
      </c>
      <c r="BN1091" s="8">
        <v>0</v>
      </c>
      <c r="BO1091" s="8">
        <v>13765807.566003382</v>
      </c>
      <c r="BP1091" s="8">
        <v>2153421.0173513284</v>
      </c>
      <c r="BQ1091" s="8">
        <v>-11612386.548652053</v>
      </c>
      <c r="BR1091" s="8" t="str">
        <v>Yes</v>
      </c>
    </row>
    <row r="1092" spans="54:70" x14ac:dyDescent="0.2">
      <c r="BB1092" s="94"/>
      <c r="BL1092" s="8">
        <v>1043</v>
      </c>
      <c r="BM1092" s="8">
        <v>8725370.8802455906</v>
      </c>
      <c r="BN1092" s="8">
        <v>0</v>
      </c>
      <c r="BO1092" s="8">
        <v>8725370.8802455906</v>
      </c>
      <c r="BP1092" s="8">
        <v>6336434.4621765716</v>
      </c>
      <c r="BQ1092" s="8">
        <v>-2388936.418069019</v>
      </c>
      <c r="BR1092" s="8" t="str">
        <v>Yes</v>
      </c>
    </row>
    <row r="1093" spans="54:70" x14ac:dyDescent="0.2">
      <c r="BB1093" s="94"/>
      <c r="BL1093" s="8">
        <v>1044</v>
      </c>
      <c r="BM1093" s="8">
        <v>4785804.0623768205</v>
      </c>
      <c r="BN1093" s="8">
        <v>4146720.3236662555</v>
      </c>
      <c r="BO1093" s="8">
        <v>8932524.3860430755</v>
      </c>
      <c r="BP1093" s="8">
        <v>6281397.5394198438</v>
      </c>
      <c r="BQ1093" s="8">
        <v>-2651126.8466232317</v>
      </c>
      <c r="BR1093" s="8" t="str">
        <v>Yes</v>
      </c>
    </row>
    <row r="1094" spans="54:70" x14ac:dyDescent="0.2">
      <c r="BB1094" s="94"/>
      <c r="BL1094" s="8">
        <v>1045</v>
      </c>
      <c r="BM1094" s="8">
        <v>6358548.6477831611</v>
      </c>
      <c r="BN1094" s="8">
        <v>0</v>
      </c>
      <c r="BO1094" s="8">
        <v>6358548.6477831611</v>
      </c>
      <c r="BP1094" s="8">
        <v>3445256.6588825486</v>
      </c>
      <c r="BQ1094" s="8">
        <v>-2913291.9889006126</v>
      </c>
      <c r="BR1094" s="8" t="str">
        <v>Yes</v>
      </c>
    </row>
    <row r="1095" spans="54:70" x14ac:dyDescent="0.2">
      <c r="BB1095" s="94"/>
      <c r="BL1095" s="8">
        <v>1046</v>
      </c>
      <c r="BM1095" s="8">
        <v>3645073.8224033481</v>
      </c>
      <c r="BN1095" s="8">
        <v>1419530.5195385511</v>
      </c>
      <c r="BO1095" s="8">
        <v>5064604.3419418987</v>
      </c>
      <c r="BP1095" s="8">
        <v>6723153.6546451086</v>
      </c>
      <c r="BQ1095" s="8">
        <v>1658549.3127032099</v>
      </c>
      <c r="BR1095" s="8" t="str">
        <v>No</v>
      </c>
    </row>
    <row r="1096" spans="54:70" x14ac:dyDescent="0.2">
      <c r="BB1096" s="94"/>
      <c r="BL1096" s="8">
        <v>1047</v>
      </c>
      <c r="BM1096" s="8">
        <v>4591160.2542306921</v>
      </c>
      <c r="BN1096" s="8">
        <v>9190536.7433072459</v>
      </c>
      <c r="BO1096" s="8">
        <v>13781696.997537937</v>
      </c>
      <c r="BP1096" s="8">
        <v>3083754.7315275604</v>
      </c>
      <c r="BQ1096" s="8">
        <v>-10697942.266010378</v>
      </c>
      <c r="BR1096" s="8" t="str">
        <v>Yes</v>
      </c>
    </row>
    <row r="1097" spans="54:70" x14ac:dyDescent="0.2">
      <c r="BB1097" s="94"/>
      <c r="BL1097" s="8">
        <v>1048</v>
      </c>
      <c r="BM1097" s="8">
        <v>3696404.3186323182</v>
      </c>
      <c r="BN1097" s="8">
        <v>0</v>
      </c>
      <c r="BO1097" s="8">
        <v>3696404.3186323182</v>
      </c>
      <c r="BP1097" s="8">
        <v>6280359.347511678</v>
      </c>
      <c r="BQ1097" s="8">
        <v>2583955.0288793598</v>
      </c>
      <c r="BR1097" s="8" t="str">
        <v>No</v>
      </c>
    </row>
    <row r="1098" spans="54:70" x14ac:dyDescent="0.2">
      <c r="BB1098" s="94"/>
      <c r="BL1098" s="8">
        <v>1049</v>
      </c>
      <c r="BM1098" s="8">
        <v>2229855.4504829147</v>
      </c>
      <c r="BN1098" s="8">
        <v>0</v>
      </c>
      <c r="BO1098" s="8">
        <v>2229855.4504829147</v>
      </c>
      <c r="BP1098" s="8">
        <v>3674977.8026446518</v>
      </c>
      <c r="BQ1098" s="8">
        <v>1445122.3521617372</v>
      </c>
      <c r="BR1098" s="8" t="str">
        <v>No</v>
      </c>
    </row>
    <row r="1099" spans="54:70" x14ac:dyDescent="0.2">
      <c r="BB1099" s="94"/>
      <c r="BL1099" s="8">
        <v>1050</v>
      </c>
      <c r="BM1099" s="8">
        <v>2955846.5316272257</v>
      </c>
      <c r="BN1099" s="8">
        <v>0</v>
      </c>
      <c r="BO1099" s="8">
        <v>2955846.5316272257</v>
      </c>
      <c r="BP1099" s="8">
        <v>2137767.4389165966</v>
      </c>
      <c r="BQ1099" s="8">
        <v>-818079.09271062911</v>
      </c>
      <c r="BR1099" s="8" t="str">
        <v>Yes</v>
      </c>
    </row>
    <row r="1100" spans="54:70" x14ac:dyDescent="0.2">
      <c r="BB1100" s="94"/>
      <c r="BL1100" s="8">
        <v>1051</v>
      </c>
      <c r="BM1100" s="8">
        <v>2364335.1242586793</v>
      </c>
      <c r="BN1100" s="8">
        <v>1310626.1559034355</v>
      </c>
      <c r="BO1100" s="8">
        <v>3674961.2801621147</v>
      </c>
      <c r="BP1100" s="8">
        <v>3404374.8985196506</v>
      </c>
      <c r="BQ1100" s="8">
        <v>-270586.38164246408</v>
      </c>
      <c r="BR1100" s="8" t="str">
        <v>Yes</v>
      </c>
    </row>
    <row r="1101" spans="54:70" x14ac:dyDescent="0.2">
      <c r="BB1101" s="94"/>
      <c r="BL1101" s="8">
        <v>1052</v>
      </c>
      <c r="BM1101" s="8">
        <v>4620658.7791047627</v>
      </c>
      <c r="BN1101" s="8">
        <v>0</v>
      </c>
      <c r="BO1101" s="8">
        <v>4620658.7791047627</v>
      </c>
      <c r="BP1101" s="8">
        <v>4566064.6144495821</v>
      </c>
      <c r="BQ1101" s="8">
        <v>-54594.164655180648</v>
      </c>
      <c r="BR1101" s="8" t="str">
        <v>Yes</v>
      </c>
    </row>
    <row r="1102" spans="54:70" x14ac:dyDescent="0.2">
      <c r="BB1102" s="94"/>
      <c r="BL1102" s="8">
        <v>1053</v>
      </c>
      <c r="BM1102" s="8">
        <v>4350366.3645739621</v>
      </c>
      <c r="BN1102" s="8">
        <v>0</v>
      </c>
      <c r="BO1102" s="8">
        <v>4350366.3645739621</v>
      </c>
      <c r="BP1102" s="8">
        <v>3040757.405875063</v>
      </c>
      <c r="BQ1102" s="8">
        <v>-1309608.958698899</v>
      </c>
      <c r="BR1102" s="8" t="str">
        <v>Yes</v>
      </c>
    </row>
    <row r="1103" spans="54:70" x14ac:dyDescent="0.2">
      <c r="BB1103" s="94"/>
      <c r="BL1103" s="8">
        <v>1054</v>
      </c>
      <c r="BM1103" s="8">
        <v>4294299.8101413492</v>
      </c>
      <c r="BN1103" s="8">
        <v>0</v>
      </c>
      <c r="BO1103" s="8">
        <v>4294299.8101413492</v>
      </c>
      <c r="BP1103" s="8">
        <v>4114663.8628241918</v>
      </c>
      <c r="BQ1103" s="8">
        <v>-179635.94731715741</v>
      </c>
      <c r="BR1103" s="8" t="str">
        <v>Yes</v>
      </c>
    </row>
    <row r="1104" spans="54:70" x14ac:dyDescent="0.2">
      <c r="BB1104" s="94"/>
      <c r="BL1104" s="8">
        <v>1055</v>
      </c>
      <c r="BM1104" s="8">
        <v>1573332.5892473308</v>
      </c>
      <c r="BN1104" s="8">
        <v>426236.6797440502</v>
      </c>
      <c r="BO1104" s="8">
        <v>1999569.2689913809</v>
      </c>
      <c r="BP1104" s="8">
        <v>2216562.3421516218</v>
      </c>
      <c r="BQ1104" s="8">
        <v>216993.07316024089</v>
      </c>
      <c r="BR1104" s="8" t="str">
        <v>No</v>
      </c>
    </row>
    <row r="1105" spans="54:70" x14ac:dyDescent="0.2">
      <c r="BB1105" s="94"/>
      <c r="BL1105" s="8">
        <v>1056</v>
      </c>
      <c r="BM1105" s="8">
        <v>2834053.5611442374</v>
      </c>
      <c r="BN1105" s="8">
        <v>3835206.1207177313</v>
      </c>
      <c r="BO1105" s="8">
        <v>6669259.6818619687</v>
      </c>
      <c r="BP1105" s="8">
        <v>2234306.0171111641</v>
      </c>
      <c r="BQ1105" s="8">
        <v>-4434953.6647508051</v>
      </c>
      <c r="BR1105" s="8" t="str">
        <v>Yes</v>
      </c>
    </row>
    <row r="1106" spans="54:70" x14ac:dyDescent="0.2">
      <c r="BB1106" s="94"/>
      <c r="BL1106" s="8">
        <v>1057</v>
      </c>
      <c r="BM1106" s="8">
        <v>2515897.1858930206</v>
      </c>
      <c r="BN1106" s="8">
        <v>1288712.5250447299</v>
      </c>
      <c r="BO1106" s="8">
        <v>3804609.7109377505</v>
      </c>
      <c r="BP1106" s="8">
        <v>4452736.0367856631</v>
      </c>
      <c r="BQ1106" s="8">
        <v>648126.32584791258</v>
      </c>
      <c r="BR1106" s="8" t="str">
        <v>No</v>
      </c>
    </row>
    <row r="1107" spans="54:70" x14ac:dyDescent="0.2">
      <c r="BB1107" s="94"/>
      <c r="BL1107" s="8">
        <v>1058</v>
      </c>
      <c r="BM1107" s="8">
        <v>3312118.3714139741</v>
      </c>
      <c r="BN1107" s="8">
        <v>-114765.31256606794</v>
      </c>
      <c r="BO1107" s="8">
        <v>3197353.0588479061</v>
      </c>
      <c r="BP1107" s="8">
        <v>6197844.9241843121</v>
      </c>
      <c r="BQ1107" s="8">
        <v>3000491.865336406</v>
      </c>
      <c r="BR1107" s="8" t="str">
        <v>No</v>
      </c>
    </row>
    <row r="1108" spans="54:70" x14ac:dyDescent="0.2">
      <c r="BB1108" s="94"/>
      <c r="BL1108" s="8">
        <v>1059</v>
      </c>
      <c r="BM1108" s="8">
        <v>2601909.4516352946</v>
      </c>
      <c r="BN1108" s="8">
        <v>3148678.8794010961</v>
      </c>
      <c r="BO1108" s="8">
        <v>5750588.3310363907</v>
      </c>
      <c r="BP1108" s="8">
        <v>3329255.4922915725</v>
      </c>
      <c r="BQ1108" s="8">
        <v>-2421332.8387448182</v>
      </c>
      <c r="BR1108" s="8" t="str">
        <v>Yes</v>
      </c>
    </row>
    <row r="1109" spans="54:70" x14ac:dyDescent="0.2">
      <c r="BB1109" s="94"/>
      <c r="BL1109" s="8">
        <v>1060</v>
      </c>
      <c r="BM1109" s="8">
        <v>3637347.0981709012</v>
      </c>
      <c r="BN1109" s="8">
        <v>4995861.2731562164</v>
      </c>
      <c r="BO1109" s="8">
        <v>8633208.3713271171</v>
      </c>
      <c r="BP1109" s="8">
        <v>2250513.5702615697</v>
      </c>
      <c r="BQ1109" s="8">
        <v>-6382694.8010655474</v>
      </c>
      <c r="BR1109" s="8" t="str">
        <v>Yes</v>
      </c>
    </row>
    <row r="1110" spans="54:70" x14ac:dyDescent="0.2">
      <c r="BB1110" s="94"/>
      <c r="BL1110" s="8">
        <v>1061</v>
      </c>
      <c r="BM1110" s="8">
        <v>3294087.0608106451</v>
      </c>
      <c r="BN1110" s="8">
        <v>0</v>
      </c>
      <c r="BO1110" s="8">
        <v>3294087.0608106451</v>
      </c>
      <c r="BP1110" s="8">
        <v>2307113.6726768948</v>
      </c>
      <c r="BQ1110" s="8">
        <v>-986973.3881337503</v>
      </c>
      <c r="BR1110" s="8" t="str">
        <v>Yes</v>
      </c>
    </row>
    <row r="1111" spans="54:70" x14ac:dyDescent="0.2">
      <c r="BB1111" s="94"/>
      <c r="BL1111" s="8">
        <v>1062</v>
      </c>
      <c r="BM1111" s="8">
        <v>3729798.8606435764</v>
      </c>
      <c r="BN1111" s="8">
        <v>0</v>
      </c>
      <c r="BO1111" s="8">
        <v>3729798.8606435764</v>
      </c>
      <c r="BP1111" s="8">
        <v>6241048.1768197166</v>
      </c>
      <c r="BQ1111" s="8">
        <v>2511249.3161761402</v>
      </c>
      <c r="BR1111" s="8" t="str">
        <v>No</v>
      </c>
    </row>
    <row r="1112" spans="54:70" x14ac:dyDescent="0.2">
      <c r="BB1112" s="94"/>
      <c r="BL1112" s="8">
        <v>1063</v>
      </c>
      <c r="BM1112" s="8">
        <v>3844580.6037990227</v>
      </c>
      <c r="BN1112" s="8">
        <v>743340.14329003426</v>
      </c>
      <c r="BO1112" s="8">
        <v>4587920.7470890572</v>
      </c>
      <c r="BP1112" s="8">
        <v>2424750.8246915019</v>
      </c>
      <c r="BQ1112" s="8">
        <v>-2163169.9223975553</v>
      </c>
      <c r="BR1112" s="8" t="str">
        <v>Yes</v>
      </c>
    </row>
    <row r="1113" spans="54:70" x14ac:dyDescent="0.2">
      <c r="BB1113" s="94"/>
      <c r="BL1113" s="8">
        <v>1064</v>
      </c>
      <c r="BM1113" s="8">
        <v>3476415.5541265467</v>
      </c>
      <c r="BN1113" s="8">
        <v>4599822.271229119</v>
      </c>
      <c r="BO1113" s="8">
        <v>8076237.8253556658</v>
      </c>
      <c r="BP1113" s="8">
        <v>2702065.4322156026</v>
      </c>
      <c r="BQ1113" s="8">
        <v>-5374172.3931400627</v>
      </c>
      <c r="BR1113" s="8" t="str">
        <v>Yes</v>
      </c>
    </row>
    <row r="1114" spans="54:70" x14ac:dyDescent="0.2">
      <c r="BB1114" s="94"/>
      <c r="BL1114" s="8">
        <v>1065</v>
      </c>
      <c r="BM1114" s="8">
        <v>3997094.82561803</v>
      </c>
      <c r="BN1114" s="8">
        <v>0</v>
      </c>
      <c r="BO1114" s="8">
        <v>3997094.82561803</v>
      </c>
      <c r="BP1114" s="8">
        <v>3436377.1866426542</v>
      </c>
      <c r="BQ1114" s="8">
        <v>-560717.6389753758</v>
      </c>
      <c r="BR1114" s="8" t="str">
        <v>Yes</v>
      </c>
    </row>
    <row r="1115" spans="54:70" x14ac:dyDescent="0.2">
      <c r="BB1115" s="94"/>
      <c r="BL1115" s="8">
        <v>1066</v>
      </c>
      <c r="BM1115" s="8">
        <v>4169802.5539839119</v>
      </c>
      <c r="BN1115" s="8">
        <v>3973811.7782595078</v>
      </c>
      <c r="BO1115" s="8">
        <v>8143614.3322434202</v>
      </c>
      <c r="BP1115" s="8">
        <v>3481737.7069840096</v>
      </c>
      <c r="BQ1115" s="8">
        <v>-4661876.6252594106</v>
      </c>
      <c r="BR1115" s="8" t="str">
        <v>Yes</v>
      </c>
    </row>
    <row r="1116" spans="54:70" x14ac:dyDescent="0.2">
      <c r="BB1116" s="94"/>
      <c r="BL1116" s="8">
        <v>1067</v>
      </c>
      <c r="BM1116" s="8">
        <v>6042438.7473826613</v>
      </c>
      <c r="BN1116" s="8">
        <v>6593237.2795239091</v>
      </c>
      <c r="BO1116" s="8">
        <v>12635676.02690657</v>
      </c>
      <c r="BP1116" s="8">
        <v>2194849.1856571049</v>
      </c>
      <c r="BQ1116" s="8">
        <v>-10440826.841249466</v>
      </c>
      <c r="BR1116" s="8" t="str">
        <v>Yes</v>
      </c>
    </row>
    <row r="1117" spans="54:70" x14ac:dyDescent="0.2">
      <c r="BB1117" s="94"/>
      <c r="BL1117" s="8">
        <v>1068</v>
      </c>
      <c r="BM1117" s="8">
        <v>3597297.4409397077</v>
      </c>
      <c r="BN1117" s="8">
        <v>0</v>
      </c>
      <c r="BO1117" s="8">
        <v>3597297.4409397077</v>
      </c>
      <c r="BP1117" s="8">
        <v>2471225.0666685989</v>
      </c>
      <c r="BQ1117" s="8">
        <v>-1126072.3742711088</v>
      </c>
      <c r="BR1117" s="8" t="str">
        <v>Yes</v>
      </c>
    </row>
    <row r="1118" spans="54:70" x14ac:dyDescent="0.2">
      <c r="BB1118" s="94"/>
      <c r="BL1118" s="8">
        <v>1069</v>
      </c>
      <c r="BM1118" s="8">
        <v>4439239.7797107277</v>
      </c>
      <c r="BN1118" s="8">
        <v>0</v>
      </c>
      <c r="BO1118" s="8">
        <v>4439239.7797107277</v>
      </c>
      <c r="BP1118" s="8">
        <v>6149309.5341880061</v>
      </c>
      <c r="BQ1118" s="8">
        <v>1710069.7544772783</v>
      </c>
      <c r="BR1118" s="8" t="str">
        <v>No</v>
      </c>
    </row>
    <row r="1119" spans="54:70" x14ac:dyDescent="0.2">
      <c r="BB1119" s="94"/>
      <c r="BL1119" s="8">
        <v>1070</v>
      </c>
      <c r="BM1119" s="8">
        <v>2705378.5472212164</v>
      </c>
      <c r="BN1119" s="8">
        <v>0</v>
      </c>
      <c r="BO1119" s="8">
        <v>2705378.5472212164</v>
      </c>
      <c r="BP1119" s="8">
        <v>2146925.0875769528</v>
      </c>
      <c r="BQ1119" s="8">
        <v>-558453.45964426361</v>
      </c>
      <c r="BR1119" s="8" t="str">
        <v>Yes</v>
      </c>
    </row>
    <row r="1120" spans="54:70" x14ac:dyDescent="0.2">
      <c r="BB1120" s="94"/>
      <c r="BL1120" s="8">
        <v>1071</v>
      </c>
      <c r="BM1120" s="8">
        <v>3414094.2450316269</v>
      </c>
      <c r="BN1120" s="8">
        <v>3023473.0827994393</v>
      </c>
      <c r="BO1120" s="8">
        <v>6437567.3278310662</v>
      </c>
      <c r="BP1120" s="8">
        <v>4455101.2215656815</v>
      </c>
      <c r="BQ1120" s="8">
        <v>-1982466.1062653847</v>
      </c>
      <c r="BR1120" s="8" t="str">
        <v>Yes</v>
      </c>
    </row>
    <row r="1121" spans="54:70" x14ac:dyDescent="0.2">
      <c r="BB1121" s="94"/>
      <c r="BL1121" s="8">
        <v>1072</v>
      </c>
      <c r="BM1121" s="8">
        <v>5312821.4053751789</v>
      </c>
      <c r="BN1121" s="8">
        <v>2597432.4030864281</v>
      </c>
      <c r="BO1121" s="8">
        <v>7910253.8084616065</v>
      </c>
      <c r="BP1121" s="8">
        <v>6482318.0373763656</v>
      </c>
      <c r="BQ1121" s="8">
        <v>-1427935.7710852409</v>
      </c>
      <c r="BR1121" s="8" t="str">
        <v>Yes</v>
      </c>
    </row>
    <row r="1122" spans="54:70" x14ac:dyDescent="0.2">
      <c r="BB1122" s="94"/>
      <c r="BL1122" s="8">
        <v>1073</v>
      </c>
      <c r="BM1122" s="8">
        <v>3457875.1314836498</v>
      </c>
      <c r="BN1122" s="8">
        <v>3429433.4270880227</v>
      </c>
      <c r="BO1122" s="8">
        <v>6887308.5585716721</v>
      </c>
      <c r="BP1122" s="8">
        <v>3360876.2117044362</v>
      </c>
      <c r="BQ1122" s="8">
        <v>-3526432.3468672358</v>
      </c>
      <c r="BR1122" s="8" t="str">
        <v>Yes</v>
      </c>
    </row>
    <row r="1123" spans="54:70" x14ac:dyDescent="0.2">
      <c r="BB1123" s="94"/>
      <c r="BL1123" s="8">
        <v>1074</v>
      </c>
      <c r="BM1123" s="8">
        <v>4464804.4638499441</v>
      </c>
      <c r="BN1123" s="8">
        <v>0</v>
      </c>
      <c r="BO1123" s="8">
        <v>4464804.4638499441</v>
      </c>
      <c r="BP1123" s="8">
        <v>2222247.0294396663</v>
      </c>
      <c r="BQ1123" s="8">
        <v>-2242557.4344102778</v>
      </c>
      <c r="BR1123" s="8" t="str">
        <v>Yes</v>
      </c>
    </row>
    <row r="1124" spans="54:70" x14ac:dyDescent="0.2">
      <c r="BB1124" s="94"/>
      <c r="BL1124" s="8">
        <v>1075</v>
      </c>
      <c r="BM1124" s="8">
        <v>3158276.7234540163</v>
      </c>
      <c r="BN1124" s="8">
        <v>0</v>
      </c>
      <c r="BO1124" s="8">
        <v>3158276.7234540163</v>
      </c>
      <c r="BP1124" s="8">
        <v>4175450.6851289435</v>
      </c>
      <c r="BQ1124" s="8">
        <v>1017173.9616749273</v>
      </c>
      <c r="BR1124" s="8" t="str">
        <v>No</v>
      </c>
    </row>
    <row r="1125" spans="54:70" x14ac:dyDescent="0.2">
      <c r="BB1125" s="94"/>
      <c r="BL1125" s="8">
        <v>1076</v>
      </c>
      <c r="BM1125" s="8">
        <v>3316578.2553855181</v>
      </c>
      <c r="BN1125" s="8">
        <v>0</v>
      </c>
      <c r="BO1125" s="8">
        <v>3316578.2553855181</v>
      </c>
      <c r="BP1125" s="8">
        <v>5886842.6364576658</v>
      </c>
      <c r="BQ1125" s="8">
        <v>2570264.3810721477</v>
      </c>
      <c r="BR1125" s="8" t="str">
        <v>No</v>
      </c>
    </row>
    <row r="1126" spans="54:70" x14ac:dyDescent="0.2">
      <c r="BB1126" s="94"/>
      <c r="BL1126" s="8">
        <v>1077</v>
      </c>
      <c r="BM1126" s="8">
        <v>6746763.5417306013</v>
      </c>
      <c r="BN1126" s="8">
        <v>0</v>
      </c>
      <c r="BO1126" s="8">
        <v>6746763.5417306013</v>
      </c>
      <c r="BP1126" s="8">
        <v>6669250.6859267689</v>
      </c>
      <c r="BQ1126" s="8">
        <v>-77512.855803832412</v>
      </c>
      <c r="BR1126" s="8" t="str">
        <v>Yes</v>
      </c>
    </row>
    <row r="1127" spans="54:70" x14ac:dyDescent="0.2">
      <c r="BB1127" s="94"/>
      <c r="BL1127" s="8">
        <v>1078</v>
      </c>
      <c r="BM1127" s="8">
        <v>7780962.6599475648</v>
      </c>
      <c r="BN1127" s="8">
        <v>5753289.4035472497</v>
      </c>
      <c r="BO1127" s="8">
        <v>13534252.063494815</v>
      </c>
      <c r="BP1127" s="8">
        <v>4057569.1127810758</v>
      </c>
      <c r="BQ1127" s="8">
        <v>-9476682.9507137388</v>
      </c>
      <c r="BR1127" s="8" t="str">
        <v>Yes</v>
      </c>
    </row>
    <row r="1128" spans="54:70" x14ac:dyDescent="0.2">
      <c r="BB1128" s="94"/>
      <c r="BL1128" s="8">
        <v>1079</v>
      </c>
      <c r="BM1128" s="8">
        <v>3134576.65637181</v>
      </c>
      <c r="BN1128" s="8">
        <v>0</v>
      </c>
      <c r="BO1128" s="8">
        <v>3134576.65637181</v>
      </c>
      <c r="BP1128" s="8">
        <v>3481320.8908275748</v>
      </c>
      <c r="BQ1128" s="8">
        <v>346744.23445576476</v>
      </c>
      <c r="BR1128" s="8" t="str">
        <v>No</v>
      </c>
    </row>
    <row r="1129" spans="54:70" x14ac:dyDescent="0.2">
      <c r="BB1129" s="94"/>
      <c r="BL1129" s="8">
        <v>1080</v>
      </c>
      <c r="BM1129" s="8">
        <v>6719408.2204998825</v>
      </c>
      <c r="BN1129" s="8">
        <v>3108390.7992694839</v>
      </c>
      <c r="BO1129" s="8">
        <v>9827799.0197693668</v>
      </c>
      <c r="BP1129" s="8">
        <v>3385010.2362185875</v>
      </c>
      <c r="BQ1129" s="8">
        <v>-6442788.7835507793</v>
      </c>
      <c r="BR1129" s="8" t="str">
        <v>Yes</v>
      </c>
    </row>
    <row r="1130" spans="54:70" x14ac:dyDescent="0.2">
      <c r="BB1130" s="94"/>
      <c r="BL1130" s="8">
        <v>1081</v>
      </c>
      <c r="BM1130" s="8">
        <v>3464771.4062841088</v>
      </c>
      <c r="BN1130" s="8">
        <v>0</v>
      </c>
      <c r="BO1130" s="8">
        <v>3464771.4062841088</v>
      </c>
      <c r="BP1130" s="8">
        <v>2316182.962586476</v>
      </c>
      <c r="BQ1130" s="8">
        <v>-1148588.4436976328</v>
      </c>
      <c r="BR1130" s="8" t="str">
        <v>Yes</v>
      </c>
    </row>
    <row r="1131" spans="54:70" x14ac:dyDescent="0.2">
      <c r="BB1131" s="94"/>
      <c r="BL1131" s="8">
        <v>1082</v>
      </c>
      <c r="BM1131" s="8">
        <v>2663086.721903671</v>
      </c>
      <c r="BN1131" s="8">
        <v>1395817.3681804624</v>
      </c>
      <c r="BO1131" s="8">
        <v>4058904.0900841337</v>
      </c>
      <c r="BP1131" s="8">
        <v>4233389.7659003101</v>
      </c>
      <c r="BQ1131" s="8">
        <v>174485.67581617646</v>
      </c>
      <c r="BR1131" s="8" t="str">
        <v>No</v>
      </c>
    </row>
    <row r="1132" spans="54:70" x14ac:dyDescent="0.2">
      <c r="BB1132" s="94"/>
      <c r="BL1132" s="8">
        <v>1083</v>
      </c>
      <c r="BM1132" s="8">
        <v>7319744.1131002232</v>
      </c>
      <c r="BN1132" s="8">
        <v>0</v>
      </c>
      <c r="BO1132" s="8">
        <v>7319744.1131002232</v>
      </c>
      <c r="BP1132" s="8">
        <v>4217948.7316721426</v>
      </c>
      <c r="BQ1132" s="8">
        <v>-3101795.3814280806</v>
      </c>
      <c r="BR1132" s="8" t="str">
        <v>Yes</v>
      </c>
    </row>
    <row r="1133" spans="54:70" x14ac:dyDescent="0.2">
      <c r="BB1133" s="94"/>
      <c r="BL1133" s="8">
        <v>1084</v>
      </c>
      <c r="BM1133" s="8">
        <v>2701872.5575144803</v>
      </c>
      <c r="BN1133" s="8">
        <v>1421126.9700739633</v>
      </c>
      <c r="BO1133" s="8">
        <v>4122999.5275884438</v>
      </c>
      <c r="BP1133" s="8">
        <v>6259985.8689553682</v>
      </c>
      <c r="BQ1133" s="8">
        <v>2136986.3413669243</v>
      </c>
      <c r="BR1133" s="8" t="str">
        <v>No</v>
      </c>
    </row>
    <row r="1134" spans="54:70" x14ac:dyDescent="0.2">
      <c r="BB1134" s="94"/>
      <c r="BL1134" s="8">
        <v>1085</v>
      </c>
      <c r="BM1134" s="8">
        <v>2493087.0522598233</v>
      </c>
      <c r="BN1134" s="8">
        <v>0</v>
      </c>
      <c r="BO1134" s="8">
        <v>2493087.0522598233</v>
      </c>
      <c r="BP1134" s="8">
        <v>2326288.8876736909</v>
      </c>
      <c r="BQ1134" s="8">
        <v>-166798.16458613239</v>
      </c>
      <c r="BR1134" s="8" t="str">
        <v>Yes</v>
      </c>
    </row>
    <row r="1135" spans="54:70" x14ac:dyDescent="0.2">
      <c r="BB1135" s="94"/>
      <c r="BL1135" s="8">
        <v>1086</v>
      </c>
      <c r="BM1135" s="8">
        <v>7158233.6866541402</v>
      </c>
      <c r="BN1135" s="8">
        <v>0</v>
      </c>
      <c r="BO1135" s="8">
        <v>7158233.6866541402</v>
      </c>
      <c r="BP1135" s="8">
        <v>3210470.0558508746</v>
      </c>
      <c r="BQ1135" s="8">
        <v>-3947763.6308032656</v>
      </c>
      <c r="BR1135" s="8" t="str">
        <v>Yes</v>
      </c>
    </row>
    <row r="1136" spans="54:70" x14ac:dyDescent="0.2">
      <c r="BB1136" s="94"/>
      <c r="BL1136" s="8">
        <v>1087</v>
      </c>
      <c r="BM1136" s="8">
        <v>4122743.5762871904</v>
      </c>
      <c r="BN1136" s="8">
        <v>4696377.0906877797</v>
      </c>
      <c r="BO1136" s="8">
        <v>8819120.6669749692</v>
      </c>
      <c r="BP1136" s="8">
        <v>2069159.7051359601</v>
      </c>
      <c r="BQ1136" s="8">
        <v>-6749960.9618390091</v>
      </c>
      <c r="BR1136" s="8" t="str">
        <v>Yes</v>
      </c>
    </row>
    <row r="1137" spans="54:70" x14ac:dyDescent="0.2">
      <c r="BB1137" s="94"/>
      <c r="BL1137" s="8">
        <v>1088</v>
      </c>
      <c r="BM1137" s="8">
        <v>4360882.8570790784</v>
      </c>
      <c r="BN1137" s="8">
        <v>0</v>
      </c>
      <c r="BO1137" s="8">
        <v>4360882.8570790784</v>
      </c>
      <c r="BP1137" s="8">
        <v>6900178.9525976703</v>
      </c>
      <c r="BQ1137" s="8">
        <v>2539296.0955185918</v>
      </c>
      <c r="BR1137" s="8" t="str">
        <v>No</v>
      </c>
    </row>
    <row r="1138" spans="54:70" x14ac:dyDescent="0.2">
      <c r="BB1138" s="94"/>
      <c r="BL1138" s="8">
        <v>1089</v>
      </c>
      <c r="BM1138" s="8">
        <v>6540705.76940169</v>
      </c>
      <c r="BN1138" s="8">
        <v>3578486.4854086572</v>
      </c>
      <c r="BO1138" s="8">
        <v>10119192.254810348</v>
      </c>
      <c r="BP1138" s="8">
        <v>6256021.9087745678</v>
      </c>
      <c r="BQ1138" s="8">
        <v>-3863170.3460357804</v>
      </c>
      <c r="BR1138" s="8" t="str">
        <v>Yes</v>
      </c>
    </row>
    <row r="1139" spans="54:70" x14ac:dyDescent="0.2">
      <c r="BB1139" s="94"/>
      <c r="BL1139" s="8">
        <v>1090</v>
      </c>
      <c r="BM1139" s="8">
        <v>12295045.504469223</v>
      </c>
      <c r="BN1139" s="8">
        <v>0</v>
      </c>
      <c r="BO1139" s="8">
        <v>12295045.504469223</v>
      </c>
      <c r="BP1139" s="8">
        <v>3461128.975148282</v>
      </c>
      <c r="BQ1139" s="8">
        <v>-8833916.5293209404</v>
      </c>
      <c r="BR1139" s="8" t="str">
        <v>Yes</v>
      </c>
    </row>
    <row r="1140" spans="54:70" x14ac:dyDescent="0.2">
      <c r="BB1140" s="94"/>
      <c r="BL1140" s="8">
        <v>1091</v>
      </c>
      <c r="BM1140" s="8">
        <v>5062705.4876343701</v>
      </c>
      <c r="BN1140" s="8">
        <v>0</v>
      </c>
      <c r="BO1140" s="8">
        <v>5062705.4876343701</v>
      </c>
      <c r="BP1140" s="8">
        <v>5949975.7601308478</v>
      </c>
      <c r="BQ1140" s="8">
        <v>887270.2724964777</v>
      </c>
      <c r="BR1140" s="8" t="str">
        <v>No</v>
      </c>
    </row>
    <row r="1141" spans="54:70" x14ac:dyDescent="0.2">
      <c r="BB1141" s="94"/>
      <c r="BL1141" s="8">
        <v>1092</v>
      </c>
      <c r="BM1141" s="8">
        <v>5451927.7552744914</v>
      </c>
      <c r="BN1141" s="8">
        <v>0</v>
      </c>
      <c r="BO1141" s="8">
        <v>5451927.7552744914</v>
      </c>
      <c r="BP1141" s="8">
        <v>6334985.4811347593</v>
      </c>
      <c r="BQ1141" s="8">
        <v>883057.72586026788</v>
      </c>
      <c r="BR1141" s="8" t="str">
        <v>No</v>
      </c>
    </row>
    <row r="1142" spans="54:70" x14ac:dyDescent="0.2">
      <c r="BB1142" s="94"/>
      <c r="BL1142" s="8">
        <v>1093</v>
      </c>
      <c r="BM1142" s="8">
        <v>4065791.5837291298</v>
      </c>
      <c r="BN1142" s="8">
        <v>3531611.1629605573</v>
      </c>
      <c r="BO1142" s="8">
        <v>7597402.7466896866</v>
      </c>
      <c r="BP1142" s="8">
        <v>2523291.0275394111</v>
      </c>
      <c r="BQ1142" s="8">
        <v>-5074111.719150275</v>
      </c>
      <c r="BR1142" s="8" t="str">
        <v>Yes</v>
      </c>
    </row>
    <row r="1143" spans="54:70" x14ac:dyDescent="0.2">
      <c r="BB1143" s="94"/>
      <c r="BL1143" s="8">
        <v>1094</v>
      </c>
      <c r="BM1143" s="8">
        <v>1938820.2258010407</v>
      </c>
      <c r="BN1143" s="8">
        <v>1891175.5588164381</v>
      </c>
      <c r="BO1143" s="8">
        <v>3829995.784617479</v>
      </c>
      <c r="BP1143" s="8">
        <v>3464947.0113253989</v>
      </c>
      <c r="BQ1143" s="8">
        <v>-365048.77329208003</v>
      </c>
      <c r="BR1143" s="8" t="str">
        <v>Yes</v>
      </c>
    </row>
    <row r="1144" spans="54:70" x14ac:dyDescent="0.2">
      <c r="BB1144" s="94"/>
      <c r="BL1144" s="8">
        <v>1095</v>
      </c>
      <c r="BM1144" s="8">
        <v>6448362.8197373841</v>
      </c>
      <c r="BN1144" s="8">
        <v>2639984.3224475998</v>
      </c>
      <c r="BO1144" s="8">
        <v>9088347.1421849839</v>
      </c>
      <c r="BP1144" s="8">
        <v>3566273.8939438653</v>
      </c>
      <c r="BQ1144" s="8">
        <v>-5522073.2482411191</v>
      </c>
      <c r="BR1144" s="8" t="str">
        <v>Yes</v>
      </c>
    </row>
    <row r="1145" spans="54:70" x14ac:dyDescent="0.2">
      <c r="BB1145" s="94"/>
      <c r="BL1145" s="8">
        <v>1096</v>
      </c>
      <c r="BM1145" s="8">
        <v>4266564.3747300906</v>
      </c>
      <c r="BN1145" s="8">
        <v>3108070.8831249429</v>
      </c>
      <c r="BO1145" s="8">
        <v>7374635.2578550335</v>
      </c>
      <c r="BP1145" s="8">
        <v>6076884.8205182133</v>
      </c>
      <c r="BQ1145" s="8">
        <v>-1297750.4373368202</v>
      </c>
      <c r="BR1145" s="8" t="str">
        <v>Yes</v>
      </c>
    </row>
    <row r="1146" spans="54:70" x14ac:dyDescent="0.2">
      <c r="BB1146" s="94"/>
      <c r="BL1146" s="8">
        <v>1097</v>
      </c>
      <c r="BM1146" s="8">
        <v>3104205.4146746281</v>
      </c>
      <c r="BN1146" s="8">
        <v>0</v>
      </c>
      <c r="BO1146" s="8">
        <v>3104205.4146746281</v>
      </c>
      <c r="BP1146" s="8">
        <v>4561114.6742064096</v>
      </c>
      <c r="BQ1146" s="8">
        <v>1456909.2595317815</v>
      </c>
      <c r="BR1146" s="8" t="str">
        <v>No</v>
      </c>
    </row>
    <row r="1147" spans="54:70" x14ac:dyDescent="0.2">
      <c r="BB1147" s="94"/>
      <c r="BL1147" s="8">
        <v>1098</v>
      </c>
      <c r="BM1147" s="8">
        <v>6111871.2534526549</v>
      </c>
      <c r="BN1147" s="8">
        <v>7263696.8368211212</v>
      </c>
      <c r="BO1147" s="8">
        <v>13375568.090273775</v>
      </c>
      <c r="BP1147" s="8">
        <v>4135450.4663080834</v>
      </c>
      <c r="BQ1147" s="8">
        <v>-9240117.6239656918</v>
      </c>
      <c r="BR1147" s="8" t="str">
        <v>Yes</v>
      </c>
    </row>
    <row r="1148" spans="54:70" x14ac:dyDescent="0.2">
      <c r="BB1148" s="94"/>
      <c r="BL1148" s="8">
        <v>1099</v>
      </c>
      <c r="BM1148" s="8">
        <v>4354308.5308001097</v>
      </c>
      <c r="BN1148" s="8">
        <v>0</v>
      </c>
      <c r="BO1148" s="8">
        <v>4354308.5308001097</v>
      </c>
      <c r="BP1148" s="8">
        <v>3320020.4030392827</v>
      </c>
      <c r="BQ1148" s="8">
        <v>-1034288.1277608271</v>
      </c>
      <c r="BR1148" s="8" t="str">
        <v>Yes</v>
      </c>
    </row>
    <row r="1149" spans="54:70" x14ac:dyDescent="0.2">
      <c r="BB1149" s="94"/>
      <c r="BL1149" s="8">
        <v>1100</v>
      </c>
      <c r="BM1149" s="8">
        <v>2401525.6390434778</v>
      </c>
      <c r="BN1149" s="8">
        <v>2202751.6662168503</v>
      </c>
      <c r="BO1149" s="8">
        <v>4604277.3052603286</v>
      </c>
      <c r="BP1149" s="8">
        <v>2291676.6735023339</v>
      </c>
      <c r="BQ1149" s="8">
        <v>-2312600.6317579946</v>
      </c>
      <c r="BR1149" s="8" t="str">
        <v>Yes</v>
      </c>
    </row>
    <row r="1150" spans="54:70" x14ac:dyDescent="0.2">
      <c r="BB1150" s="94"/>
      <c r="BL1150" s="8">
        <v>1101</v>
      </c>
      <c r="BM1150" s="8">
        <v>3349886.3187049632</v>
      </c>
      <c r="BN1150" s="8">
        <v>886108.94766370626</v>
      </c>
      <c r="BO1150" s="8">
        <v>4235995.2663686695</v>
      </c>
      <c r="BP1150" s="8">
        <v>4245560.7573667625</v>
      </c>
      <c r="BQ1150" s="8">
        <v>9565.4909980930388</v>
      </c>
      <c r="BR1150" s="8" t="str">
        <v>No</v>
      </c>
    </row>
    <row r="1151" spans="54:70" x14ac:dyDescent="0.2">
      <c r="BB1151" s="94"/>
      <c r="BL1151" s="8">
        <v>1102</v>
      </c>
      <c r="BM1151" s="8">
        <v>4552131.1072998773</v>
      </c>
      <c r="BN1151" s="8">
        <v>0</v>
      </c>
      <c r="BO1151" s="8">
        <v>4552131.1072998773</v>
      </c>
      <c r="BP1151" s="8">
        <v>6184697.6957798172</v>
      </c>
      <c r="BQ1151" s="8">
        <v>1632566.5884799398</v>
      </c>
      <c r="BR1151" s="8" t="str">
        <v>No</v>
      </c>
    </row>
    <row r="1152" spans="54:70" x14ac:dyDescent="0.2">
      <c r="BB1152" s="94"/>
      <c r="BL1152" s="8">
        <v>1103</v>
      </c>
      <c r="BM1152" s="8">
        <v>2884699.8695133701</v>
      </c>
      <c r="BN1152" s="8">
        <v>0</v>
      </c>
      <c r="BO1152" s="8">
        <v>2884699.8695133701</v>
      </c>
      <c r="BP1152" s="8">
        <v>4476334.3903861912</v>
      </c>
      <c r="BQ1152" s="8">
        <v>1591634.5208728211</v>
      </c>
      <c r="BR1152" s="8" t="str">
        <v>No</v>
      </c>
    </row>
    <row r="1153" spans="54:70" x14ac:dyDescent="0.2">
      <c r="BB1153" s="94"/>
      <c r="BL1153" s="8">
        <v>1104</v>
      </c>
      <c r="BM1153" s="8">
        <v>3354378.5608427683</v>
      </c>
      <c r="BN1153" s="8">
        <v>4265896.4769401373</v>
      </c>
      <c r="BO1153" s="8">
        <v>7620275.0377829056</v>
      </c>
      <c r="BP1153" s="8">
        <v>4142347.251721411</v>
      </c>
      <c r="BQ1153" s="8">
        <v>-3477927.7860614946</v>
      </c>
      <c r="BR1153" s="8" t="str">
        <v>Yes</v>
      </c>
    </row>
    <row r="1154" spans="54:70" x14ac:dyDescent="0.2">
      <c r="BB1154" s="94"/>
      <c r="BL1154" s="8">
        <v>1105</v>
      </c>
      <c r="BM1154" s="8">
        <v>3224877.3173415577</v>
      </c>
      <c r="BN1154" s="8">
        <v>0</v>
      </c>
      <c r="BO1154" s="8">
        <v>3224877.3173415577</v>
      </c>
      <c r="BP1154" s="8">
        <v>4306121.7570176004</v>
      </c>
      <c r="BQ1154" s="8">
        <v>1081244.4396760426</v>
      </c>
      <c r="BR1154" s="8" t="str">
        <v>No</v>
      </c>
    </row>
    <row r="1155" spans="54:70" x14ac:dyDescent="0.2">
      <c r="BB1155" s="94"/>
      <c r="BL1155" s="8">
        <v>1106</v>
      </c>
      <c r="BM1155" s="8">
        <v>2060231.8462789559</v>
      </c>
      <c r="BN1155" s="8">
        <v>0</v>
      </c>
      <c r="BO1155" s="8">
        <v>2060231.8462789559</v>
      </c>
      <c r="BP1155" s="8">
        <v>2595285.8363461322</v>
      </c>
      <c r="BQ1155" s="8">
        <v>535053.99006717629</v>
      </c>
      <c r="BR1155" s="8" t="str">
        <v>No</v>
      </c>
    </row>
    <row r="1156" spans="54:70" x14ac:dyDescent="0.2">
      <c r="BB1156" s="94"/>
      <c r="BL1156" s="8">
        <v>1107</v>
      </c>
      <c r="BM1156" s="8">
        <v>1687019.5771614409</v>
      </c>
      <c r="BN1156" s="8">
        <v>0</v>
      </c>
      <c r="BO1156" s="8">
        <v>1687019.5771614409</v>
      </c>
      <c r="BP1156" s="8">
        <v>3269342.489187846</v>
      </c>
      <c r="BQ1156" s="8">
        <v>1582322.9120264051</v>
      </c>
      <c r="BR1156" s="8" t="str">
        <v>No</v>
      </c>
    </row>
    <row r="1157" spans="54:70" x14ac:dyDescent="0.2">
      <c r="BB1157" s="94"/>
      <c r="BL1157" s="8">
        <v>1108</v>
      </c>
      <c r="BM1157" s="8">
        <v>3053401.7229332188</v>
      </c>
      <c r="BN1157" s="8">
        <v>2550363.0018307585</v>
      </c>
      <c r="BO1157" s="8">
        <v>5603764.7247639773</v>
      </c>
      <c r="BP1157" s="8">
        <v>2317073.4843467553</v>
      </c>
      <c r="BQ1157" s="8">
        <v>-3286691.240417222</v>
      </c>
      <c r="BR1157" s="8" t="str">
        <v>Yes</v>
      </c>
    </row>
    <row r="1158" spans="54:70" x14ac:dyDescent="0.2">
      <c r="BB1158" s="94"/>
      <c r="BL1158" s="8">
        <v>1109</v>
      </c>
      <c r="BM1158" s="8">
        <v>8067494.0432412913</v>
      </c>
      <c r="BN1158" s="8">
        <v>0</v>
      </c>
      <c r="BO1158" s="8">
        <v>8067494.0432412913</v>
      </c>
      <c r="BP1158" s="8">
        <v>4512887.1007930813</v>
      </c>
      <c r="BQ1158" s="8">
        <v>-3554606.94244821</v>
      </c>
      <c r="BR1158" s="8" t="str">
        <v>Yes</v>
      </c>
    </row>
    <row r="1159" spans="54:70" x14ac:dyDescent="0.2">
      <c r="BB1159" s="94"/>
      <c r="BL1159" s="8">
        <v>1110</v>
      </c>
      <c r="BM1159" s="8">
        <v>1167206.8019025209</v>
      </c>
      <c r="BN1159" s="8">
        <v>407594.9009605961</v>
      </c>
      <c r="BO1159" s="8">
        <v>1574801.702863117</v>
      </c>
      <c r="BP1159" s="8">
        <v>3366022.2039125515</v>
      </c>
      <c r="BQ1159" s="8">
        <v>1791220.5010494345</v>
      </c>
      <c r="BR1159" s="8" t="str">
        <v>No</v>
      </c>
    </row>
    <row r="1160" spans="54:70" x14ac:dyDescent="0.2">
      <c r="BB1160" s="94"/>
      <c r="BL1160" s="8">
        <v>1111</v>
      </c>
      <c r="BM1160" s="8">
        <v>2546980.8249858851</v>
      </c>
      <c r="BN1160" s="8">
        <v>772300.36721263011</v>
      </c>
      <c r="BO1160" s="8">
        <v>3319281.1921985149</v>
      </c>
      <c r="BP1160" s="8">
        <v>3371689.2525312081</v>
      </c>
      <c r="BQ1160" s="8">
        <v>52408.06033269316</v>
      </c>
      <c r="BR1160" s="8" t="str">
        <v>No</v>
      </c>
    </row>
    <row r="1161" spans="54:70" x14ac:dyDescent="0.2">
      <c r="BB1161" s="94"/>
      <c r="BL1161" s="8">
        <v>1112</v>
      </c>
      <c r="BM1161" s="8">
        <v>6539650.7133139074</v>
      </c>
      <c r="BN1161" s="8">
        <v>0</v>
      </c>
      <c r="BO1161" s="8">
        <v>6539650.7133139074</v>
      </c>
      <c r="BP1161" s="8">
        <v>4884111.9330684459</v>
      </c>
      <c r="BQ1161" s="8">
        <v>-1655538.7802454615</v>
      </c>
      <c r="BR1161" s="8" t="str">
        <v>Yes</v>
      </c>
    </row>
    <row r="1162" spans="54:70" x14ac:dyDescent="0.2">
      <c r="BB1162" s="94"/>
      <c r="BL1162" s="8">
        <v>1113</v>
      </c>
      <c r="BM1162" s="8">
        <v>8705718.8601227794</v>
      </c>
      <c r="BN1162" s="8">
        <v>14649246.747564238</v>
      </c>
      <c r="BO1162" s="8">
        <v>23354965.607687019</v>
      </c>
      <c r="BP1162" s="8">
        <v>5906760.4474161565</v>
      </c>
      <c r="BQ1162" s="8">
        <v>-17448205.160270862</v>
      </c>
      <c r="BR1162" s="8" t="str">
        <v>Yes</v>
      </c>
    </row>
    <row r="1163" spans="54:70" x14ac:dyDescent="0.2">
      <c r="BB1163" s="94"/>
      <c r="BL1163" s="8">
        <v>1114</v>
      </c>
      <c r="BM1163" s="8">
        <v>2374849.2057264256</v>
      </c>
      <c r="BN1163" s="8">
        <v>0</v>
      </c>
      <c r="BO1163" s="8">
        <v>2374849.2057264256</v>
      </c>
      <c r="BP1163" s="8">
        <v>4353604.6237640642</v>
      </c>
      <c r="BQ1163" s="8">
        <v>1978755.4180376385</v>
      </c>
      <c r="BR1163" s="8" t="str">
        <v>No</v>
      </c>
    </row>
    <row r="1164" spans="54:70" x14ac:dyDescent="0.2">
      <c r="BB1164" s="94"/>
      <c r="BL1164" s="8">
        <v>1115</v>
      </c>
      <c r="BM1164" s="8">
        <v>2782048.0198370265</v>
      </c>
      <c r="BN1164" s="8">
        <v>1837982.9431198502</v>
      </c>
      <c r="BO1164" s="8">
        <v>4620030.9629568765</v>
      </c>
      <c r="BP1164" s="8">
        <v>5972294.2429814534</v>
      </c>
      <c r="BQ1164" s="8">
        <v>1352263.2800245769</v>
      </c>
      <c r="BR1164" s="8" t="str">
        <v>No</v>
      </c>
    </row>
    <row r="1165" spans="54:70" x14ac:dyDescent="0.2">
      <c r="BB1165" s="94"/>
      <c r="BL1165" s="8">
        <v>1116</v>
      </c>
      <c r="BM1165" s="8">
        <v>3764378.1373515241</v>
      </c>
      <c r="BN1165" s="8">
        <v>824057.6647896939</v>
      </c>
      <c r="BO1165" s="8">
        <v>4588435.8021412175</v>
      </c>
      <c r="BP1165" s="8">
        <v>7238046.50733261</v>
      </c>
      <c r="BQ1165" s="8">
        <v>2649610.7051913925</v>
      </c>
      <c r="BR1165" s="8" t="str">
        <v>No</v>
      </c>
    </row>
    <row r="1166" spans="54:70" x14ac:dyDescent="0.2">
      <c r="BB1166" s="94"/>
      <c r="BL1166" s="8">
        <v>1117</v>
      </c>
      <c r="BM1166" s="8">
        <v>9949605.2162972018</v>
      </c>
      <c r="BN1166" s="8">
        <v>0</v>
      </c>
      <c r="BO1166" s="8">
        <v>9949605.2162972018</v>
      </c>
      <c r="BP1166" s="8">
        <v>3433358.834026082</v>
      </c>
      <c r="BQ1166" s="8">
        <v>-6516246.3822711203</v>
      </c>
      <c r="BR1166" s="8" t="str">
        <v>Yes</v>
      </c>
    </row>
    <row r="1167" spans="54:70" x14ac:dyDescent="0.2">
      <c r="BB1167" s="94"/>
      <c r="BL1167" s="8">
        <v>1118</v>
      </c>
      <c r="BM1167" s="8">
        <v>1313149.9869264076</v>
      </c>
      <c r="BN1167" s="8">
        <v>1674461.3828073989</v>
      </c>
      <c r="BO1167" s="8">
        <v>2987611.3697338067</v>
      </c>
      <c r="BP1167" s="8">
        <v>2371462.4703290854</v>
      </c>
      <c r="BQ1167" s="8">
        <v>-616148.89940472133</v>
      </c>
      <c r="BR1167" s="8" t="str">
        <v>Yes</v>
      </c>
    </row>
    <row r="1168" spans="54:70" x14ac:dyDescent="0.2">
      <c r="BB1168" s="94"/>
      <c r="BL1168" s="8">
        <v>1119</v>
      </c>
      <c r="BM1168" s="8">
        <v>6645694.5435078256</v>
      </c>
      <c r="BN1168" s="8">
        <v>6054613.5383131262</v>
      </c>
      <c r="BO1168" s="8">
        <v>12700308.081820952</v>
      </c>
      <c r="BP1168" s="8">
        <v>6991523.5532374708</v>
      </c>
      <c r="BQ1168" s="8">
        <v>-5708784.528583481</v>
      </c>
      <c r="BR1168" s="8" t="str">
        <v>Yes</v>
      </c>
    </row>
    <row r="1169" spans="54:70" x14ac:dyDescent="0.2">
      <c r="BB1169" s="94"/>
      <c r="BL1169" s="8">
        <v>1120</v>
      </c>
      <c r="BM1169" s="8">
        <v>4420380.2108702157</v>
      </c>
      <c r="BN1169" s="8">
        <v>1739368.2820469937</v>
      </c>
      <c r="BO1169" s="8">
        <v>6159748.4929172099</v>
      </c>
      <c r="BP1169" s="8">
        <v>6637292.9343229998</v>
      </c>
      <c r="BQ1169" s="8">
        <v>477544.44140578993</v>
      </c>
      <c r="BR1169" s="8" t="str">
        <v>No</v>
      </c>
    </row>
    <row r="1170" spans="54:70" x14ac:dyDescent="0.2">
      <c r="BB1170" s="94"/>
      <c r="BL1170" s="8">
        <v>1121</v>
      </c>
      <c r="BM1170" s="8">
        <v>5774015.0946550742</v>
      </c>
      <c r="BN1170" s="8">
        <v>7980511.5454302309</v>
      </c>
      <c r="BO1170" s="8">
        <v>13754526.640085306</v>
      </c>
      <c r="BP1170" s="8">
        <v>4407020.5329569224</v>
      </c>
      <c r="BQ1170" s="8">
        <v>-9347506.1071283836</v>
      </c>
      <c r="BR1170" s="8" t="str">
        <v>Yes</v>
      </c>
    </row>
    <row r="1171" spans="54:70" x14ac:dyDescent="0.2">
      <c r="BB1171" s="94"/>
      <c r="BL1171" s="8">
        <v>1122</v>
      </c>
      <c r="BM1171" s="8">
        <v>3713356.0156546435</v>
      </c>
      <c r="BN1171" s="8">
        <v>2178386.4451605892</v>
      </c>
      <c r="BO1171" s="8">
        <v>5891742.4608152322</v>
      </c>
      <c r="BP1171" s="8">
        <v>6799003.3817139314</v>
      </c>
      <c r="BQ1171" s="8">
        <v>907260.9208986992</v>
      </c>
      <c r="BR1171" s="8" t="str">
        <v>No</v>
      </c>
    </row>
    <row r="1172" spans="54:70" x14ac:dyDescent="0.2">
      <c r="BB1172" s="94"/>
      <c r="BL1172" s="8">
        <v>1123</v>
      </c>
      <c r="BM1172" s="8">
        <v>3237705.6821472934</v>
      </c>
      <c r="BN1172" s="8">
        <v>2186267.0731137553</v>
      </c>
      <c r="BO1172" s="8">
        <v>5423972.7552610487</v>
      </c>
      <c r="BP1172" s="8">
        <v>3149637.5287564276</v>
      </c>
      <c r="BQ1172" s="8">
        <v>-2274335.2265046211</v>
      </c>
      <c r="BR1172" s="8" t="str">
        <v>Yes</v>
      </c>
    </row>
    <row r="1173" spans="54:70" x14ac:dyDescent="0.2">
      <c r="BB1173" s="94"/>
      <c r="BL1173" s="8">
        <v>1124</v>
      </c>
      <c r="BM1173" s="8">
        <v>4355105.7694016136</v>
      </c>
      <c r="BN1173" s="8">
        <v>0</v>
      </c>
      <c r="BO1173" s="8">
        <v>4355105.7694016136</v>
      </c>
      <c r="BP1173" s="8">
        <v>6463903.8958891975</v>
      </c>
      <c r="BQ1173" s="8">
        <v>2108798.1264875839</v>
      </c>
      <c r="BR1173" s="8" t="str">
        <v>No</v>
      </c>
    </row>
    <row r="1174" spans="54:70" x14ac:dyDescent="0.2">
      <c r="BB1174" s="94"/>
      <c r="BL1174" s="8">
        <v>1125</v>
      </c>
      <c r="BM1174" s="8">
        <v>1648282.9636150291</v>
      </c>
      <c r="BN1174" s="8">
        <v>2348108.4419790437</v>
      </c>
      <c r="BO1174" s="8">
        <v>3996391.4055940728</v>
      </c>
      <c r="BP1174" s="8">
        <v>4225077.1199391577</v>
      </c>
      <c r="BQ1174" s="8">
        <v>228685.71434508497</v>
      </c>
      <c r="BR1174" s="8" t="str">
        <v>No</v>
      </c>
    </row>
    <row r="1175" spans="54:70" x14ac:dyDescent="0.2">
      <c r="BB1175" s="94"/>
      <c r="BL1175" s="8">
        <v>1126</v>
      </c>
      <c r="BM1175" s="8">
        <v>2034344.7882181453</v>
      </c>
      <c r="BN1175" s="8">
        <v>0</v>
      </c>
      <c r="BO1175" s="8">
        <v>2034344.7882181453</v>
      </c>
      <c r="BP1175" s="8">
        <v>3853126.628115633</v>
      </c>
      <c r="BQ1175" s="8">
        <v>1818781.8398974878</v>
      </c>
      <c r="BR1175" s="8" t="str">
        <v>No</v>
      </c>
    </row>
    <row r="1176" spans="54:70" x14ac:dyDescent="0.2">
      <c r="BB1176" s="94"/>
      <c r="BL1176" s="8">
        <v>1127</v>
      </c>
      <c r="BM1176" s="8">
        <v>2915428.0336574269</v>
      </c>
      <c r="BN1176" s="8">
        <v>0</v>
      </c>
      <c r="BO1176" s="8">
        <v>2915428.0336574269</v>
      </c>
      <c r="BP1176" s="8">
        <v>3439582.6814808007</v>
      </c>
      <c r="BQ1176" s="8">
        <v>524154.64782337379</v>
      </c>
      <c r="BR1176" s="8" t="str">
        <v>No</v>
      </c>
    </row>
    <row r="1177" spans="54:70" x14ac:dyDescent="0.2">
      <c r="BB1177" s="94"/>
      <c r="BL1177" s="8">
        <v>1128</v>
      </c>
      <c r="BM1177" s="8">
        <v>3914990.0275926255</v>
      </c>
      <c r="BN1177" s="8">
        <v>1257349.0976882088</v>
      </c>
      <c r="BO1177" s="8">
        <v>5172339.1252808347</v>
      </c>
      <c r="BP1177" s="8">
        <v>6599722.1302417936</v>
      </c>
      <c r="BQ1177" s="8">
        <v>1427383.0049609588</v>
      </c>
      <c r="BR1177" s="8" t="str">
        <v>No</v>
      </c>
    </row>
    <row r="1178" spans="54:70" x14ac:dyDescent="0.2">
      <c r="BB1178" s="94"/>
      <c r="BL1178" s="8">
        <v>1129</v>
      </c>
      <c r="BM1178" s="8">
        <v>1547928.6887825611</v>
      </c>
      <c r="BN1178" s="8">
        <v>0</v>
      </c>
      <c r="BO1178" s="8">
        <v>1547928.6887825611</v>
      </c>
      <c r="BP1178" s="8">
        <v>3228704.6972846952</v>
      </c>
      <c r="BQ1178" s="8">
        <v>1680776.0085021341</v>
      </c>
      <c r="BR1178" s="8" t="str">
        <v>No</v>
      </c>
    </row>
    <row r="1179" spans="54:70" x14ac:dyDescent="0.2">
      <c r="BB1179" s="94"/>
      <c r="BL1179" s="8">
        <v>1130</v>
      </c>
      <c r="BM1179" s="8">
        <v>3619438.4273541379</v>
      </c>
      <c r="BN1179" s="8">
        <v>3200047.6799573102</v>
      </c>
      <c r="BO1179" s="8">
        <v>6819486.1073114481</v>
      </c>
      <c r="BP1179" s="8">
        <v>2331842.2980520502</v>
      </c>
      <c r="BQ1179" s="8">
        <v>-4487643.8092593979</v>
      </c>
      <c r="BR1179" s="8" t="str">
        <v>Yes</v>
      </c>
    </row>
    <row r="1180" spans="54:70" x14ac:dyDescent="0.2">
      <c r="BB1180" s="94"/>
      <c r="BL1180" s="8">
        <v>1131</v>
      </c>
      <c r="BM1180" s="8">
        <v>3860406.4555959217</v>
      </c>
      <c r="BN1180" s="8">
        <v>0</v>
      </c>
      <c r="BO1180" s="8">
        <v>3860406.4555959217</v>
      </c>
      <c r="BP1180" s="8">
        <v>3253324.6925033983</v>
      </c>
      <c r="BQ1180" s="8">
        <v>-607081.76309252344</v>
      </c>
      <c r="BR1180" s="8" t="str">
        <v>Yes</v>
      </c>
    </row>
    <row r="1181" spans="54:70" x14ac:dyDescent="0.2">
      <c r="BB1181" s="94"/>
      <c r="BL1181" s="8">
        <v>1132</v>
      </c>
      <c r="BM1181" s="8">
        <v>3273601.0175569849</v>
      </c>
      <c r="BN1181" s="8">
        <v>1345624.9704779452</v>
      </c>
      <c r="BO1181" s="8">
        <v>4619225.9880349301</v>
      </c>
      <c r="BP1181" s="8">
        <v>3873276.2449714402</v>
      </c>
      <c r="BQ1181" s="8">
        <v>-745949.74306348991</v>
      </c>
      <c r="BR1181" s="8" t="str">
        <v>Yes</v>
      </c>
    </row>
    <row r="1182" spans="54:70" x14ac:dyDescent="0.2">
      <c r="BB1182" s="94"/>
      <c r="BL1182" s="8">
        <v>1133</v>
      </c>
      <c r="BM1182" s="8">
        <v>5608411.8827375043</v>
      </c>
      <c r="BN1182" s="8">
        <v>0</v>
      </c>
      <c r="BO1182" s="8">
        <v>5608411.8827375043</v>
      </c>
      <c r="BP1182" s="8">
        <v>4313897.2532151006</v>
      </c>
      <c r="BQ1182" s="8">
        <v>-1294514.6295224037</v>
      </c>
      <c r="BR1182" s="8" t="str">
        <v>Yes</v>
      </c>
    </row>
    <row r="1183" spans="54:70" x14ac:dyDescent="0.2">
      <c r="BB1183" s="94"/>
      <c r="BL1183" s="8">
        <v>1134</v>
      </c>
      <c r="BM1183" s="8">
        <v>2072722.8532585995</v>
      </c>
      <c r="BN1183" s="8">
        <v>0</v>
      </c>
      <c r="BO1183" s="8">
        <v>2072722.8532585995</v>
      </c>
      <c r="BP1183" s="8">
        <v>2171217.6075139325</v>
      </c>
      <c r="BQ1183" s="8">
        <v>98494.754255332984</v>
      </c>
      <c r="BR1183" s="8" t="str">
        <v>No</v>
      </c>
    </row>
    <row r="1184" spans="54:70" x14ac:dyDescent="0.2">
      <c r="BB1184" s="94"/>
      <c r="BL1184" s="8">
        <v>1135</v>
      </c>
      <c r="BM1184" s="8">
        <v>3161836.2449873383</v>
      </c>
      <c r="BN1184" s="8">
        <v>1402617.000148749</v>
      </c>
      <c r="BO1184" s="8">
        <v>4564453.2451360878</v>
      </c>
      <c r="BP1184" s="8">
        <v>2124422.331852919</v>
      </c>
      <c r="BQ1184" s="8">
        <v>-2440030.9132831688</v>
      </c>
      <c r="BR1184" s="8" t="str">
        <v>Yes</v>
      </c>
    </row>
    <row r="1185" spans="54:70" x14ac:dyDescent="0.2">
      <c r="BB1185" s="94"/>
      <c r="BL1185" s="8">
        <v>1136</v>
      </c>
      <c r="BM1185" s="8">
        <v>6014894.0147465896</v>
      </c>
      <c r="BN1185" s="8">
        <v>0</v>
      </c>
      <c r="BO1185" s="8">
        <v>6014894.0147465896</v>
      </c>
      <c r="BP1185" s="8">
        <v>3230677.3618356157</v>
      </c>
      <c r="BQ1185" s="8">
        <v>-2784216.6529109739</v>
      </c>
      <c r="BR1185" s="8" t="str">
        <v>Yes</v>
      </c>
    </row>
    <row r="1186" spans="54:70" x14ac:dyDescent="0.2">
      <c r="BB1186" s="94"/>
      <c r="BL1186" s="8">
        <v>1137</v>
      </c>
      <c r="BM1186" s="8">
        <v>5201325.0525214309</v>
      </c>
      <c r="BN1186" s="8">
        <v>3556368.70843173</v>
      </c>
      <c r="BO1186" s="8">
        <v>8757693.7609531619</v>
      </c>
      <c r="BP1186" s="8">
        <v>4603757.8952220585</v>
      </c>
      <c r="BQ1186" s="8">
        <v>-4153935.8657311033</v>
      </c>
      <c r="BR1186" s="8" t="str">
        <v>Yes</v>
      </c>
    </row>
    <row r="1187" spans="54:70" x14ac:dyDescent="0.2">
      <c r="BB1187" s="94"/>
      <c r="BL1187" s="8">
        <v>1138</v>
      </c>
      <c r="BM1187" s="8">
        <v>1494733.5500141517</v>
      </c>
      <c r="BN1187" s="8">
        <v>1112590.8434848124</v>
      </c>
      <c r="BO1187" s="8">
        <v>2607324.3934989641</v>
      </c>
      <c r="BP1187" s="8">
        <v>3286731.5532321418</v>
      </c>
      <c r="BQ1187" s="8">
        <v>679407.15973317763</v>
      </c>
      <c r="BR1187" s="8" t="str">
        <v>No</v>
      </c>
    </row>
    <row r="1188" spans="54:70" x14ac:dyDescent="0.2">
      <c r="BB1188" s="94"/>
      <c r="BL1188" s="8">
        <v>1139</v>
      </c>
      <c r="BM1188" s="8">
        <v>4392271.3785143383</v>
      </c>
      <c r="BN1188" s="8">
        <v>0</v>
      </c>
      <c r="BO1188" s="8">
        <v>4392271.3785143383</v>
      </c>
      <c r="BP1188" s="8">
        <v>6488675.6771413051</v>
      </c>
      <c r="BQ1188" s="8">
        <v>2096404.2986269668</v>
      </c>
      <c r="BR1188" s="8" t="str">
        <v>No</v>
      </c>
    </row>
    <row r="1189" spans="54:70" x14ac:dyDescent="0.2">
      <c r="BB1189" s="94"/>
      <c r="BL1189" s="8">
        <v>1140</v>
      </c>
      <c r="BM1189" s="8">
        <v>7448024.6097898018</v>
      </c>
      <c r="BN1189" s="8">
        <v>0</v>
      </c>
      <c r="BO1189" s="8">
        <v>7448024.6097898018</v>
      </c>
      <c r="BP1189" s="8">
        <v>6637062.164562935</v>
      </c>
      <c r="BQ1189" s="8">
        <v>-810962.44522686675</v>
      </c>
      <c r="BR1189" s="8" t="str">
        <v>Yes</v>
      </c>
    </row>
    <row r="1190" spans="54:70" x14ac:dyDescent="0.2">
      <c r="BB1190" s="94"/>
      <c r="BL1190" s="8">
        <v>1141</v>
      </c>
      <c r="BM1190" s="8">
        <v>3790737.1037736842</v>
      </c>
      <c r="BN1190" s="8">
        <v>0</v>
      </c>
      <c r="BO1190" s="8">
        <v>3790737.1037736842</v>
      </c>
      <c r="BP1190" s="8">
        <v>3382531.9427670813</v>
      </c>
      <c r="BQ1190" s="8">
        <v>-408205.16100660292</v>
      </c>
      <c r="BR1190" s="8" t="str">
        <v>Yes</v>
      </c>
    </row>
    <row r="1191" spans="54:70" x14ac:dyDescent="0.2">
      <c r="BB1191" s="94"/>
      <c r="BL1191" s="8">
        <v>1142</v>
      </c>
      <c r="BM1191" s="8">
        <v>4980861.2895859014</v>
      </c>
      <c r="BN1191" s="8">
        <v>0</v>
      </c>
      <c r="BO1191" s="8">
        <v>4980861.2895859014</v>
      </c>
      <c r="BP1191" s="8">
        <v>3505508.7851210753</v>
      </c>
      <c r="BQ1191" s="8">
        <v>-1475352.5044648261</v>
      </c>
      <c r="BR1191" s="8" t="str">
        <v>Yes</v>
      </c>
    </row>
    <row r="1192" spans="54:70" x14ac:dyDescent="0.2">
      <c r="BB1192" s="94"/>
      <c r="BL1192" s="8">
        <v>1143</v>
      </c>
      <c r="BM1192" s="8">
        <v>2124734.89593089</v>
      </c>
      <c r="BN1192" s="8">
        <v>1444114.0268753232</v>
      </c>
      <c r="BO1192" s="8">
        <v>3568848.9228062131</v>
      </c>
      <c r="BP1192" s="8">
        <v>2387769.8660893315</v>
      </c>
      <c r="BQ1192" s="8">
        <v>-1181079.0567168817</v>
      </c>
      <c r="BR1192" s="8" t="str">
        <v>Yes</v>
      </c>
    </row>
    <row r="1193" spans="54:70" x14ac:dyDescent="0.2">
      <c r="BB1193" s="94"/>
      <c r="BL1193" s="8">
        <v>1144</v>
      </c>
      <c r="BM1193" s="8">
        <v>2952134.7494994011</v>
      </c>
      <c r="BN1193" s="8">
        <v>0</v>
      </c>
      <c r="BO1193" s="8">
        <v>2952134.7494994011</v>
      </c>
      <c r="BP1193" s="8">
        <v>2008487.4242325912</v>
      </c>
      <c r="BQ1193" s="8">
        <v>-943647.3252668099</v>
      </c>
      <c r="BR1193" s="8" t="str">
        <v>Yes</v>
      </c>
    </row>
    <row r="1194" spans="54:70" x14ac:dyDescent="0.2">
      <c r="BB1194" s="94"/>
      <c r="BL1194" s="8">
        <v>1145</v>
      </c>
      <c r="BM1194" s="8">
        <v>6143614.7335439706</v>
      </c>
      <c r="BN1194" s="8">
        <v>0</v>
      </c>
      <c r="BO1194" s="8">
        <v>6143614.7335439706</v>
      </c>
      <c r="BP1194" s="8">
        <v>2437025.2626702385</v>
      </c>
      <c r="BQ1194" s="8">
        <v>-3706589.4708737321</v>
      </c>
      <c r="BR1194" s="8" t="str">
        <v>Yes</v>
      </c>
    </row>
    <row r="1195" spans="54:70" x14ac:dyDescent="0.2">
      <c r="BB1195" s="94"/>
      <c r="BL1195" s="8">
        <v>1146</v>
      </c>
      <c r="BM1195" s="8">
        <v>3416491.6142979991</v>
      </c>
      <c r="BN1195" s="8">
        <v>0</v>
      </c>
      <c r="BO1195" s="8">
        <v>3416491.6142979991</v>
      </c>
      <c r="BP1195" s="8">
        <v>2444958.2485174006</v>
      </c>
      <c r="BQ1195" s="8">
        <v>-971533.36578059848</v>
      </c>
      <c r="BR1195" s="8" t="str">
        <v>Yes</v>
      </c>
    </row>
    <row r="1196" spans="54:70" x14ac:dyDescent="0.2">
      <c r="BB1196" s="94"/>
      <c r="BL1196" s="8">
        <v>1147</v>
      </c>
      <c r="BM1196" s="8">
        <v>13912212.922910489</v>
      </c>
      <c r="BN1196" s="8">
        <v>0</v>
      </c>
      <c r="BO1196" s="8">
        <v>13912212.922910489</v>
      </c>
      <c r="BP1196" s="8">
        <v>6020606.4678395633</v>
      </c>
      <c r="BQ1196" s="8">
        <v>-7891606.4550709259</v>
      </c>
      <c r="BR1196" s="8" t="str">
        <v>Yes</v>
      </c>
    </row>
    <row r="1197" spans="54:70" x14ac:dyDescent="0.2">
      <c r="BB1197" s="94"/>
      <c r="BL1197" s="8">
        <v>1148</v>
      </c>
      <c r="BM1197" s="8">
        <v>3948741.1225499706</v>
      </c>
      <c r="BN1197" s="8">
        <v>0</v>
      </c>
      <c r="BO1197" s="8">
        <v>3948741.1225499706</v>
      </c>
      <c r="BP1197" s="8">
        <v>3511813.7303039622</v>
      </c>
      <c r="BQ1197" s="8">
        <v>-436927.39224600838</v>
      </c>
      <c r="BR1197" s="8" t="str">
        <v>Yes</v>
      </c>
    </row>
    <row r="1198" spans="54:70" x14ac:dyDescent="0.2">
      <c r="BB1198" s="94"/>
      <c r="BL1198" s="8">
        <v>1149</v>
      </c>
      <c r="BM1198" s="8">
        <v>7706169.8029214963</v>
      </c>
      <c r="BN1198" s="8">
        <v>7824629.8899950506</v>
      </c>
      <c r="BO1198" s="8">
        <v>15530799.692916546</v>
      </c>
      <c r="BP1198" s="8">
        <v>6450476.9874169603</v>
      </c>
      <c r="BQ1198" s="8">
        <v>-9080322.7054995857</v>
      </c>
      <c r="BR1198" s="8" t="str">
        <v>Yes</v>
      </c>
    </row>
    <row r="1199" spans="54:70" x14ac:dyDescent="0.2">
      <c r="BB1199" s="94"/>
      <c r="BL1199" s="8">
        <v>1150</v>
      </c>
      <c r="BM1199" s="8">
        <v>2783312.0283019044</v>
      </c>
      <c r="BN1199" s="8">
        <v>0</v>
      </c>
      <c r="BO1199" s="8">
        <v>2783312.0283019044</v>
      </c>
      <c r="BP1199" s="8">
        <v>2165291.0215712995</v>
      </c>
      <c r="BQ1199" s="8">
        <v>-618021.00673060492</v>
      </c>
      <c r="BR1199" s="8" t="str">
        <v>Yes</v>
      </c>
    </row>
    <row r="1200" spans="54:70" x14ac:dyDescent="0.2">
      <c r="BB1200" s="94"/>
      <c r="BL1200" s="8">
        <v>1151</v>
      </c>
      <c r="BM1200" s="8">
        <v>6261834.6739711352</v>
      </c>
      <c r="BN1200" s="8">
        <v>0</v>
      </c>
      <c r="BO1200" s="8">
        <v>6261834.6739711352</v>
      </c>
      <c r="BP1200" s="8">
        <v>6378966.7767128479</v>
      </c>
      <c r="BQ1200" s="8">
        <v>117132.1027417127</v>
      </c>
      <c r="BR1200" s="8" t="str">
        <v>No</v>
      </c>
    </row>
    <row r="1201" spans="54:70" x14ac:dyDescent="0.2">
      <c r="BB1201" s="94"/>
      <c r="BL1201" s="8">
        <v>1152</v>
      </c>
      <c r="BM1201" s="8">
        <v>1914772.712359752</v>
      </c>
      <c r="BN1201" s="8">
        <v>1927438.7384250131</v>
      </c>
      <c r="BO1201" s="8">
        <v>3842211.4507847652</v>
      </c>
      <c r="BP1201" s="8">
        <v>3413208.6345943306</v>
      </c>
      <c r="BQ1201" s="8">
        <v>-429002.81619043462</v>
      </c>
      <c r="BR1201" s="8" t="str">
        <v>Yes</v>
      </c>
    </row>
    <row r="1202" spans="54:70" x14ac:dyDescent="0.2">
      <c r="BB1202" s="94"/>
      <c r="BL1202" s="8">
        <v>1153</v>
      </c>
      <c r="BM1202" s="8">
        <v>4160262.0295691197</v>
      </c>
      <c r="BN1202" s="8">
        <v>0</v>
      </c>
      <c r="BO1202" s="8">
        <v>4160262.0295691197</v>
      </c>
      <c r="BP1202" s="8">
        <v>2214591.1090371395</v>
      </c>
      <c r="BQ1202" s="8">
        <v>-1945670.9205319802</v>
      </c>
      <c r="BR1202" s="8" t="str">
        <v>Yes</v>
      </c>
    </row>
    <row r="1203" spans="54:70" x14ac:dyDescent="0.2">
      <c r="BB1203" s="94"/>
      <c r="BL1203" s="8">
        <v>1154</v>
      </c>
      <c r="BM1203" s="8">
        <v>2670847.2341731265</v>
      </c>
      <c r="BN1203" s="8">
        <v>0</v>
      </c>
      <c r="BO1203" s="8">
        <v>2670847.2341731265</v>
      </c>
      <c r="BP1203" s="8">
        <v>6858100.7705720253</v>
      </c>
      <c r="BQ1203" s="8">
        <v>4187253.5363988988</v>
      </c>
      <c r="BR1203" s="8" t="str">
        <v>No</v>
      </c>
    </row>
    <row r="1204" spans="54:70" x14ac:dyDescent="0.2">
      <c r="BB1204" s="94"/>
      <c r="BL1204" s="8">
        <v>1155</v>
      </c>
      <c r="BM1204" s="8">
        <v>5672006.2285020268</v>
      </c>
      <c r="BN1204" s="8">
        <v>6747014.213643698</v>
      </c>
      <c r="BO1204" s="8">
        <v>12419020.442145724</v>
      </c>
      <c r="BP1204" s="8">
        <v>4755368.5566713512</v>
      </c>
      <c r="BQ1204" s="8">
        <v>-7663651.8854743727</v>
      </c>
      <c r="BR1204" s="8" t="str">
        <v>Yes</v>
      </c>
    </row>
    <row r="1205" spans="54:70" x14ac:dyDescent="0.2">
      <c r="BB1205" s="94"/>
      <c r="BL1205" s="8">
        <v>1156</v>
      </c>
      <c r="BM1205" s="8">
        <v>2184726.2296344968</v>
      </c>
      <c r="BN1205" s="8">
        <v>0</v>
      </c>
      <c r="BO1205" s="8">
        <v>2184726.2296344968</v>
      </c>
      <c r="BP1205" s="8">
        <v>3550346.7298374032</v>
      </c>
      <c r="BQ1205" s="8">
        <v>1365620.5002029063</v>
      </c>
      <c r="BR1205" s="8" t="str">
        <v>No</v>
      </c>
    </row>
    <row r="1206" spans="54:70" x14ac:dyDescent="0.2">
      <c r="BB1206" s="94"/>
      <c r="BL1206" s="8">
        <v>1157</v>
      </c>
      <c r="BM1206" s="8">
        <v>1505764.331527513</v>
      </c>
      <c r="BN1206" s="8">
        <v>1909056.540572935</v>
      </c>
      <c r="BO1206" s="8">
        <v>3414820.8721004482</v>
      </c>
      <c r="BP1206" s="8">
        <v>2342303.916606342</v>
      </c>
      <c r="BQ1206" s="8">
        <v>-1072516.9554941063</v>
      </c>
      <c r="BR1206" s="8" t="str">
        <v>Yes</v>
      </c>
    </row>
    <row r="1207" spans="54:70" x14ac:dyDescent="0.2">
      <c r="BB1207" s="94"/>
      <c r="BL1207" s="8">
        <v>1158</v>
      </c>
      <c r="BM1207" s="8">
        <v>4172650.7676127725</v>
      </c>
      <c r="BN1207" s="8">
        <v>2247347.5699348496</v>
      </c>
      <c r="BO1207" s="8">
        <v>6419998.3375476226</v>
      </c>
      <c r="BP1207" s="8">
        <v>6878975.0600247309</v>
      </c>
      <c r="BQ1207" s="8">
        <v>458976.72247710824</v>
      </c>
      <c r="BR1207" s="8" t="str">
        <v>No</v>
      </c>
    </row>
    <row r="1208" spans="54:70" x14ac:dyDescent="0.2">
      <c r="BB1208" s="94"/>
      <c r="BL1208" s="8">
        <v>1159</v>
      </c>
      <c r="BM1208" s="8">
        <v>1412530.840410816</v>
      </c>
      <c r="BN1208" s="8">
        <v>1000619.1390630167</v>
      </c>
      <c r="BO1208" s="8">
        <v>2413149.979473833</v>
      </c>
      <c r="BP1208" s="8">
        <v>2095292.2109904466</v>
      </c>
      <c r="BQ1208" s="8">
        <v>-317857.76848338638</v>
      </c>
      <c r="BR1208" s="8" t="str">
        <v>Yes</v>
      </c>
    </row>
    <row r="1209" spans="54:70" x14ac:dyDescent="0.2">
      <c r="BB1209" s="94"/>
      <c r="BL1209" s="8">
        <v>1160</v>
      </c>
      <c r="BM1209" s="8">
        <v>2428767.7693105517</v>
      </c>
      <c r="BN1209" s="8">
        <v>0</v>
      </c>
      <c r="BO1209" s="8">
        <v>2428767.7693105517</v>
      </c>
      <c r="BP1209" s="8">
        <v>2422115.4930889215</v>
      </c>
      <c r="BQ1209" s="8">
        <v>-6652.2762216301635</v>
      </c>
      <c r="BR1209" s="8" t="str">
        <v>Yes</v>
      </c>
    </row>
    <row r="1210" spans="54:70" x14ac:dyDescent="0.2">
      <c r="BB1210" s="94"/>
      <c r="BL1210" s="8">
        <v>1161</v>
      </c>
      <c r="BM1210" s="8">
        <v>5600871.4848079812</v>
      </c>
      <c r="BN1210" s="8">
        <v>0</v>
      </c>
      <c r="BO1210" s="8">
        <v>5600871.4848079812</v>
      </c>
      <c r="BP1210" s="8">
        <v>6908574.6644152543</v>
      </c>
      <c r="BQ1210" s="8">
        <v>1307703.1796072731</v>
      </c>
      <c r="BR1210" s="8" t="str">
        <v>No</v>
      </c>
    </row>
    <row r="1211" spans="54:70" x14ac:dyDescent="0.2">
      <c r="BB1211" s="94"/>
      <c r="BL1211" s="8">
        <v>1162</v>
      </c>
      <c r="BM1211" s="8">
        <v>1994181.0107952608</v>
      </c>
      <c r="BN1211" s="8">
        <v>2929853.8499502093</v>
      </c>
      <c r="BO1211" s="8">
        <v>4924034.86074547</v>
      </c>
      <c r="BP1211" s="8">
        <v>2240542.8362144399</v>
      </c>
      <c r="BQ1211" s="8">
        <v>-2683492.0245310301</v>
      </c>
      <c r="BR1211" s="8" t="str">
        <v>Yes</v>
      </c>
    </row>
    <row r="1212" spans="54:70" x14ac:dyDescent="0.2">
      <c r="BB1212" s="94"/>
      <c r="BL1212" s="8">
        <v>1163</v>
      </c>
      <c r="BM1212" s="8">
        <v>6539177.2815725375</v>
      </c>
      <c r="BN1212" s="8">
        <v>7189058.8543705577</v>
      </c>
      <c r="BO1212" s="8">
        <v>13728236.135943096</v>
      </c>
      <c r="BP1212" s="8">
        <v>6113699.0305569451</v>
      </c>
      <c r="BQ1212" s="8">
        <v>-7614537.105386151</v>
      </c>
      <c r="BR1212" s="8" t="str">
        <v>Yes</v>
      </c>
    </row>
    <row r="1213" spans="54:70" x14ac:dyDescent="0.2">
      <c r="BB1213" s="94"/>
      <c r="BL1213" s="8">
        <v>1164</v>
      </c>
      <c r="BM1213" s="8">
        <v>3786412.7185469316</v>
      </c>
      <c r="BN1213" s="8">
        <v>0</v>
      </c>
      <c r="BO1213" s="8">
        <v>3786412.7185469316</v>
      </c>
      <c r="BP1213" s="8">
        <v>3102540.4245061851</v>
      </c>
      <c r="BQ1213" s="8">
        <v>-683872.29404074652</v>
      </c>
      <c r="BR1213" s="8" t="str">
        <v>Yes</v>
      </c>
    </row>
    <row r="1214" spans="54:70" x14ac:dyDescent="0.2">
      <c r="BB1214" s="94"/>
      <c r="BL1214" s="8">
        <v>1165</v>
      </c>
      <c r="BM1214" s="8">
        <v>7187959.7779568713</v>
      </c>
      <c r="BN1214" s="8">
        <v>8162428.0379558187</v>
      </c>
      <c r="BO1214" s="8">
        <v>15350387.81591269</v>
      </c>
      <c r="BP1214" s="8">
        <v>4426887.207619545</v>
      </c>
      <c r="BQ1214" s="8">
        <v>-10923500.608293146</v>
      </c>
      <c r="BR1214" s="8" t="str">
        <v>Yes</v>
      </c>
    </row>
    <row r="1215" spans="54:70" x14ac:dyDescent="0.2">
      <c r="BB1215" s="94"/>
      <c r="BL1215" s="8">
        <v>1166</v>
      </c>
      <c r="BM1215" s="8">
        <v>12023035.646960923</v>
      </c>
      <c r="BN1215" s="8">
        <v>0</v>
      </c>
      <c r="BO1215" s="8">
        <v>12023035.646960923</v>
      </c>
      <c r="BP1215" s="8">
        <v>2356609.7699265745</v>
      </c>
      <c r="BQ1215" s="8">
        <v>-9666425.8770343494</v>
      </c>
      <c r="BR1215" s="8" t="str">
        <v>Yes</v>
      </c>
    </row>
    <row r="1216" spans="54:70" x14ac:dyDescent="0.2">
      <c r="BB1216" s="94"/>
      <c r="BL1216" s="8">
        <v>1167</v>
      </c>
      <c r="BM1216" s="8">
        <v>6419537.9731997605</v>
      </c>
      <c r="BN1216" s="8">
        <v>0</v>
      </c>
      <c r="BO1216" s="8">
        <v>6419537.9731997605</v>
      </c>
      <c r="BP1216" s="8">
        <v>2273262.0074368855</v>
      </c>
      <c r="BQ1216" s="8">
        <v>-4146275.965762875</v>
      </c>
      <c r="BR1216" s="8" t="str">
        <v>Yes</v>
      </c>
    </row>
    <row r="1217" spans="54:70" x14ac:dyDescent="0.2">
      <c r="BB1217" s="94"/>
      <c r="BL1217" s="8">
        <v>1168</v>
      </c>
      <c r="BM1217" s="8">
        <v>4418257.3309270311</v>
      </c>
      <c r="BN1217" s="8">
        <v>1752739.5078309909</v>
      </c>
      <c r="BO1217" s="8">
        <v>6170996.8387580216</v>
      </c>
      <c r="BP1217" s="8">
        <v>6109485.0915729562</v>
      </c>
      <c r="BQ1217" s="8">
        <v>-61511.747185065411</v>
      </c>
      <c r="BR1217" s="8" t="str">
        <v>Yes</v>
      </c>
    </row>
    <row r="1218" spans="54:70" x14ac:dyDescent="0.2">
      <c r="BB1218" s="94"/>
      <c r="BL1218" s="8">
        <v>1169</v>
      </c>
      <c r="BM1218" s="8">
        <v>3042989.6269978909</v>
      </c>
      <c r="BN1218" s="8">
        <v>1621799.3785498703</v>
      </c>
      <c r="BO1218" s="8">
        <v>4664789.005547761</v>
      </c>
      <c r="BP1218" s="8">
        <v>2342724.0596623258</v>
      </c>
      <c r="BQ1218" s="8">
        <v>-2322064.9458854352</v>
      </c>
      <c r="BR1218" s="8" t="str">
        <v>Yes</v>
      </c>
    </row>
    <row r="1219" spans="54:70" x14ac:dyDescent="0.2">
      <c r="BB1219" s="94"/>
      <c r="BL1219" s="8">
        <v>1170</v>
      </c>
      <c r="BM1219" s="8">
        <v>4114697.3044669032</v>
      </c>
      <c r="BN1219" s="8">
        <v>0</v>
      </c>
      <c r="BO1219" s="8">
        <v>4114697.3044669032</v>
      </c>
      <c r="BP1219" s="8">
        <v>3387954.5836572666</v>
      </c>
      <c r="BQ1219" s="8">
        <v>-726742.72080963664</v>
      </c>
      <c r="BR1219" s="8" t="str">
        <v>Yes</v>
      </c>
    </row>
    <row r="1220" spans="54:70" x14ac:dyDescent="0.2">
      <c r="BB1220" s="94"/>
      <c r="BL1220" s="8">
        <v>1171</v>
      </c>
      <c r="BM1220" s="8">
        <v>6143246.3290869789</v>
      </c>
      <c r="BN1220" s="8">
        <v>2401806.9323925073</v>
      </c>
      <c r="BO1220" s="8">
        <v>8545053.2614794858</v>
      </c>
      <c r="BP1220" s="8">
        <v>4792740.9214501083</v>
      </c>
      <c r="BQ1220" s="8">
        <v>-3752312.3400293775</v>
      </c>
      <c r="BR1220" s="8" t="str">
        <v>Yes</v>
      </c>
    </row>
    <row r="1221" spans="54:70" x14ac:dyDescent="0.2">
      <c r="BB1221" s="94"/>
      <c r="BL1221" s="8">
        <v>1172</v>
      </c>
      <c r="BM1221" s="8">
        <v>6760120.6762652127</v>
      </c>
      <c r="BN1221" s="8">
        <v>0</v>
      </c>
      <c r="BO1221" s="8">
        <v>6760120.6762652127</v>
      </c>
      <c r="BP1221" s="8">
        <v>2083728.5355539261</v>
      </c>
      <c r="BQ1221" s="8">
        <v>-4676392.140711287</v>
      </c>
      <c r="BR1221" s="8" t="str">
        <v>Yes</v>
      </c>
    </row>
    <row r="1222" spans="54:70" x14ac:dyDescent="0.2">
      <c r="BB1222" s="94"/>
      <c r="BL1222" s="8">
        <v>1173</v>
      </c>
      <c r="BM1222" s="8">
        <v>3223274.8812720738</v>
      </c>
      <c r="BN1222" s="8">
        <v>0</v>
      </c>
      <c r="BO1222" s="8">
        <v>3223274.8812720738</v>
      </c>
      <c r="BP1222" s="8">
        <v>2203838.6344455797</v>
      </c>
      <c r="BQ1222" s="8">
        <v>-1019436.2468264941</v>
      </c>
      <c r="BR1222" s="8" t="str">
        <v>Yes</v>
      </c>
    </row>
    <row r="1223" spans="54:70" x14ac:dyDescent="0.2">
      <c r="BB1223" s="94"/>
      <c r="BL1223" s="8">
        <v>1174</v>
      </c>
      <c r="BM1223" s="8">
        <v>4173480.7478949577</v>
      </c>
      <c r="BN1223" s="8">
        <v>5349829.1053361902</v>
      </c>
      <c r="BO1223" s="8">
        <v>9523309.8532311469</v>
      </c>
      <c r="BP1223" s="8">
        <v>2261556.7624087115</v>
      </c>
      <c r="BQ1223" s="8">
        <v>-7261753.0908224359</v>
      </c>
      <c r="BR1223" s="8" t="str">
        <v>Yes</v>
      </c>
    </row>
    <row r="1224" spans="54:70" x14ac:dyDescent="0.2">
      <c r="BB1224" s="94"/>
      <c r="BL1224" s="8">
        <v>1175</v>
      </c>
      <c r="BM1224" s="8">
        <v>4951218.2074523242</v>
      </c>
      <c r="BN1224" s="8">
        <v>4508778.0529531119</v>
      </c>
      <c r="BO1224" s="8">
        <v>9459996.2604054362</v>
      </c>
      <c r="BP1224" s="8">
        <v>6232053.9217157243</v>
      </c>
      <c r="BQ1224" s="8">
        <v>-3227942.3386897119</v>
      </c>
      <c r="BR1224" s="8" t="str">
        <v>Yes</v>
      </c>
    </row>
    <row r="1225" spans="54:70" x14ac:dyDescent="0.2">
      <c r="BB1225" s="94"/>
      <c r="BL1225" s="8">
        <v>1176</v>
      </c>
      <c r="BM1225" s="8">
        <v>5673232.8657401456</v>
      </c>
      <c r="BN1225" s="8">
        <v>0</v>
      </c>
      <c r="BO1225" s="8">
        <v>5673232.8657401456</v>
      </c>
      <c r="BP1225" s="8">
        <v>6246445.0937034618</v>
      </c>
      <c r="BQ1225" s="8">
        <v>573212.22796331625</v>
      </c>
      <c r="BR1225" s="8" t="str">
        <v>No</v>
      </c>
    </row>
    <row r="1226" spans="54:70" x14ac:dyDescent="0.2">
      <c r="BB1226" s="94"/>
      <c r="BL1226" s="8">
        <v>1177</v>
      </c>
      <c r="BM1226" s="8">
        <v>3252591.9046451673</v>
      </c>
      <c r="BN1226" s="8">
        <v>4117869.8037109245</v>
      </c>
      <c r="BO1226" s="8">
        <v>7370461.7083560918</v>
      </c>
      <c r="BP1226" s="8">
        <v>3241743.2259335453</v>
      </c>
      <c r="BQ1226" s="8">
        <v>-4128718.4824225465</v>
      </c>
      <c r="BR1226" s="8" t="str">
        <v>Yes</v>
      </c>
    </row>
    <row r="1227" spans="54:70" x14ac:dyDescent="0.2">
      <c r="BB1227" s="94"/>
      <c r="BL1227" s="8">
        <v>1178</v>
      </c>
      <c r="BM1227" s="8">
        <v>8483584.7242346555</v>
      </c>
      <c r="BN1227" s="8">
        <v>9336302.5640711356</v>
      </c>
      <c r="BO1227" s="8">
        <v>17819887.288305789</v>
      </c>
      <c r="BP1227" s="8">
        <v>2355051.2795563792</v>
      </c>
      <c r="BQ1227" s="8">
        <v>-15464836.008749411</v>
      </c>
      <c r="BR1227" s="8" t="str">
        <v>Yes</v>
      </c>
    </row>
    <row r="1228" spans="54:70" x14ac:dyDescent="0.2">
      <c r="BB1228" s="94"/>
      <c r="BL1228" s="8">
        <v>1179</v>
      </c>
      <c r="BM1228" s="8">
        <v>6609650.060123574</v>
      </c>
      <c r="BN1228" s="8">
        <v>0</v>
      </c>
      <c r="BO1228" s="8">
        <v>6609650.060123574</v>
      </c>
      <c r="BP1228" s="8">
        <v>3152264.9196641874</v>
      </c>
      <c r="BQ1228" s="8">
        <v>-3457385.1404593866</v>
      </c>
      <c r="BR1228" s="8" t="str">
        <v>Yes</v>
      </c>
    </row>
    <row r="1229" spans="54:70" x14ac:dyDescent="0.2">
      <c r="BB1229" s="94"/>
      <c r="BL1229" s="8">
        <v>1180</v>
      </c>
      <c r="BM1229" s="8">
        <v>4753156.1936807241</v>
      </c>
      <c r="BN1229" s="8">
        <v>2076539.1461377018</v>
      </c>
      <c r="BO1229" s="8">
        <v>6829695.3398184255</v>
      </c>
      <c r="BP1229" s="8">
        <v>7005798.3203838309</v>
      </c>
      <c r="BQ1229" s="8">
        <v>176102.98056540545</v>
      </c>
      <c r="BR1229" s="8" t="str">
        <v>No</v>
      </c>
    </row>
    <row r="1230" spans="54:70" x14ac:dyDescent="0.2">
      <c r="BB1230" s="94"/>
      <c r="BL1230" s="8">
        <v>1181</v>
      </c>
      <c r="BM1230" s="8">
        <v>2240700.5337562193</v>
      </c>
      <c r="BN1230" s="8">
        <v>0</v>
      </c>
      <c r="BO1230" s="8">
        <v>2240700.5337562193</v>
      </c>
      <c r="BP1230" s="8">
        <v>3365203.2778672478</v>
      </c>
      <c r="BQ1230" s="8">
        <v>1124502.7441110285</v>
      </c>
      <c r="BR1230" s="8" t="str">
        <v>No</v>
      </c>
    </row>
    <row r="1231" spans="54:70" x14ac:dyDescent="0.2">
      <c r="BB1231" s="94"/>
      <c r="BL1231" s="8">
        <v>1182</v>
      </c>
      <c r="BM1231" s="8">
        <v>3017485.2710442054</v>
      </c>
      <c r="BN1231" s="8">
        <v>0</v>
      </c>
      <c r="BO1231" s="8">
        <v>3017485.2710442054</v>
      </c>
      <c r="BP1231" s="8">
        <v>3312241.1094077923</v>
      </c>
      <c r="BQ1231" s="8">
        <v>294755.83836358692</v>
      </c>
      <c r="BR1231" s="8" t="str">
        <v>No</v>
      </c>
    </row>
    <row r="1232" spans="54:70" x14ac:dyDescent="0.2">
      <c r="BB1232" s="94"/>
      <c r="BL1232" s="8">
        <v>1183</v>
      </c>
      <c r="BM1232" s="8">
        <v>5010063.1807844527</v>
      </c>
      <c r="BN1232" s="8">
        <v>0</v>
      </c>
      <c r="BO1232" s="8">
        <v>5010063.1807844527</v>
      </c>
      <c r="BP1232" s="8">
        <v>2298896.0798745779</v>
      </c>
      <c r="BQ1232" s="8">
        <v>-2711167.1009098748</v>
      </c>
      <c r="BR1232" s="8" t="str">
        <v>Yes</v>
      </c>
    </row>
    <row r="1233" spans="54:70" x14ac:dyDescent="0.2">
      <c r="BB1233" s="94"/>
      <c r="BL1233" s="8">
        <v>1184</v>
      </c>
      <c r="BM1233" s="8">
        <v>7140346.2433658037</v>
      </c>
      <c r="BN1233" s="8">
        <v>5374510.7151376037</v>
      </c>
      <c r="BO1233" s="8">
        <v>12514856.958503406</v>
      </c>
      <c r="BP1233" s="8">
        <v>3517001.0174033446</v>
      </c>
      <c r="BQ1233" s="8">
        <v>-8997855.9411000609</v>
      </c>
      <c r="BR1233" s="8" t="str">
        <v>Yes</v>
      </c>
    </row>
    <row r="1234" spans="54:70" x14ac:dyDescent="0.2">
      <c r="BB1234" s="94"/>
      <c r="BL1234" s="8">
        <v>1185</v>
      </c>
      <c r="BM1234" s="8">
        <v>3775601.5125599504</v>
      </c>
      <c r="BN1234" s="8">
        <v>0</v>
      </c>
      <c r="BO1234" s="8">
        <v>3775601.5125599504</v>
      </c>
      <c r="BP1234" s="8">
        <v>3344543.681794805</v>
      </c>
      <c r="BQ1234" s="8">
        <v>-431057.83076514537</v>
      </c>
      <c r="BR1234" s="8" t="str">
        <v>Yes</v>
      </c>
    </row>
    <row r="1235" spans="54:70" x14ac:dyDescent="0.2">
      <c r="BB1235" s="94"/>
      <c r="BL1235" s="8">
        <v>1186</v>
      </c>
      <c r="BM1235" s="8">
        <v>1993988.5143944789</v>
      </c>
      <c r="BN1235" s="8">
        <v>0</v>
      </c>
      <c r="BO1235" s="8">
        <v>1993988.5143944789</v>
      </c>
      <c r="BP1235" s="8">
        <v>2158267.7091846629</v>
      </c>
      <c r="BQ1235" s="8">
        <v>164279.19479018403</v>
      </c>
      <c r="BR1235" s="8" t="str">
        <v>No</v>
      </c>
    </row>
    <row r="1236" spans="54:70" x14ac:dyDescent="0.2">
      <c r="BB1236" s="94"/>
      <c r="BL1236" s="8">
        <v>1187</v>
      </c>
      <c r="BM1236" s="8">
        <v>3302148.70935721</v>
      </c>
      <c r="BN1236" s="8">
        <v>3781062.8524627043</v>
      </c>
      <c r="BO1236" s="8">
        <v>7083211.5618199147</v>
      </c>
      <c r="BP1236" s="8">
        <v>4693710.823904925</v>
      </c>
      <c r="BQ1236" s="8">
        <v>-2389500.7379149897</v>
      </c>
      <c r="BR1236" s="8" t="str">
        <v>Yes</v>
      </c>
    </row>
    <row r="1237" spans="54:70" x14ac:dyDescent="0.2">
      <c r="BB1237" s="94"/>
      <c r="BL1237" s="8">
        <v>1188</v>
      </c>
      <c r="BM1237" s="8">
        <v>4198428.0474671628</v>
      </c>
      <c r="BN1237" s="8">
        <v>5909298.6831130702</v>
      </c>
      <c r="BO1237" s="8">
        <v>10107726.730580233</v>
      </c>
      <c r="BP1237" s="8">
        <v>2472500.3748867125</v>
      </c>
      <c r="BQ1237" s="8">
        <v>-7635226.355693521</v>
      </c>
      <c r="BR1237" s="8" t="str">
        <v>Yes</v>
      </c>
    </row>
    <row r="1238" spans="54:70" x14ac:dyDescent="0.2">
      <c r="BB1238" s="94"/>
      <c r="BL1238" s="8">
        <v>1189</v>
      </c>
      <c r="BM1238" s="8">
        <v>2240606.1879097112</v>
      </c>
      <c r="BN1238" s="8">
        <v>1190747.9630084098</v>
      </c>
      <c r="BO1238" s="8">
        <v>3431354.150918121</v>
      </c>
      <c r="BP1238" s="8">
        <v>2310035.751974599</v>
      </c>
      <c r="BQ1238" s="8">
        <v>-1121318.398943522</v>
      </c>
      <c r="BR1238" s="8" t="str">
        <v>Yes</v>
      </c>
    </row>
    <row r="1239" spans="54:70" x14ac:dyDescent="0.2">
      <c r="BB1239" s="94"/>
      <c r="BL1239" s="8">
        <v>1190</v>
      </c>
      <c r="BM1239" s="8">
        <v>1567678.3753191726</v>
      </c>
      <c r="BN1239" s="8">
        <v>1226779.6647512596</v>
      </c>
      <c r="BO1239" s="8">
        <v>2794458.0400704322</v>
      </c>
      <c r="BP1239" s="8">
        <v>3358813.5797278392</v>
      </c>
      <c r="BQ1239" s="8">
        <v>564355.53965740697</v>
      </c>
      <c r="BR1239" s="8" t="str">
        <v>No</v>
      </c>
    </row>
    <row r="1240" spans="54:70" x14ac:dyDescent="0.2">
      <c r="BB1240" s="94"/>
      <c r="BL1240" s="8">
        <v>1191</v>
      </c>
      <c r="BM1240" s="8">
        <v>2997205.1184325274</v>
      </c>
      <c r="BN1240" s="8">
        <v>0</v>
      </c>
      <c r="BO1240" s="8">
        <v>2997205.1184325274</v>
      </c>
      <c r="BP1240" s="8">
        <v>6317146.9167220397</v>
      </c>
      <c r="BQ1240" s="8">
        <v>3319941.7982895123</v>
      </c>
      <c r="BR1240" s="8" t="str">
        <v>No</v>
      </c>
    </row>
    <row r="1241" spans="54:70" x14ac:dyDescent="0.2">
      <c r="BB1241" s="94"/>
      <c r="BL1241" s="8">
        <v>1192</v>
      </c>
      <c r="BM1241" s="8">
        <v>8578876.2442677692</v>
      </c>
      <c r="BN1241" s="8">
        <v>11056308.365973782</v>
      </c>
      <c r="BO1241" s="8">
        <v>19635184.610241551</v>
      </c>
      <c r="BP1241" s="8">
        <v>3319015.1652676528</v>
      </c>
      <c r="BQ1241" s="8">
        <v>-16316169.444973897</v>
      </c>
      <c r="BR1241" s="8" t="str">
        <v>Yes</v>
      </c>
    </row>
    <row r="1242" spans="54:70" x14ac:dyDescent="0.2">
      <c r="BB1242" s="94"/>
      <c r="BL1242" s="8">
        <v>1193</v>
      </c>
      <c r="BM1242" s="8">
        <v>3011957.1104294462</v>
      </c>
      <c r="BN1242" s="8">
        <v>0</v>
      </c>
      <c r="BO1242" s="8">
        <v>3011957.1104294462</v>
      </c>
      <c r="BP1242" s="8">
        <v>6290141.0002181763</v>
      </c>
      <c r="BQ1242" s="8">
        <v>3278183.8897887301</v>
      </c>
      <c r="BR1242" s="8" t="str">
        <v>No</v>
      </c>
    </row>
    <row r="1243" spans="54:70" x14ac:dyDescent="0.2">
      <c r="BB1243" s="94"/>
      <c r="BL1243" s="8">
        <v>1194</v>
      </c>
      <c r="BM1243" s="8">
        <v>2271340.8281747727</v>
      </c>
      <c r="BN1243" s="8">
        <v>1413378.4516569185</v>
      </c>
      <c r="BO1243" s="8">
        <v>3684719.2798316912</v>
      </c>
      <c r="BP1243" s="8">
        <v>3439977.1390806697</v>
      </c>
      <c r="BQ1243" s="8">
        <v>-244742.14075102145</v>
      </c>
      <c r="BR1243" s="8" t="str">
        <v>Yes</v>
      </c>
    </row>
    <row r="1244" spans="54:70" x14ac:dyDescent="0.2">
      <c r="BB1244" s="94"/>
      <c r="BL1244" s="8">
        <v>1195</v>
      </c>
      <c r="BM1244" s="8">
        <v>2511518.2698487882</v>
      </c>
      <c r="BN1244" s="8">
        <v>0</v>
      </c>
      <c r="BO1244" s="8">
        <v>2511518.2698487882</v>
      </c>
      <c r="BP1244" s="8">
        <v>3465710.8974833321</v>
      </c>
      <c r="BQ1244" s="8">
        <v>954192.62763454393</v>
      </c>
      <c r="BR1244" s="8" t="str">
        <v>No</v>
      </c>
    </row>
    <row r="1245" spans="54:70" x14ac:dyDescent="0.2">
      <c r="BB1245" s="94"/>
      <c r="BL1245" s="8">
        <v>1196</v>
      </c>
      <c r="BM1245" s="8">
        <v>2817097.3919337867</v>
      </c>
      <c r="BN1245" s="8">
        <v>0</v>
      </c>
      <c r="BO1245" s="8">
        <v>2817097.3919337867</v>
      </c>
      <c r="BP1245" s="8">
        <v>3276637.8169988161</v>
      </c>
      <c r="BQ1245" s="8">
        <v>459540.42506502941</v>
      </c>
      <c r="BR1245" s="8" t="str">
        <v>No</v>
      </c>
    </row>
    <row r="1246" spans="54:70" x14ac:dyDescent="0.2">
      <c r="BB1246" s="94"/>
      <c r="BL1246" s="8">
        <v>1197</v>
      </c>
      <c r="BM1246" s="8">
        <v>4103966.9682472399</v>
      </c>
      <c r="BN1246" s="8">
        <v>3227936.0008541644</v>
      </c>
      <c r="BO1246" s="8">
        <v>7331902.9691014048</v>
      </c>
      <c r="BP1246" s="8">
        <v>4844184.5432329755</v>
      </c>
      <c r="BQ1246" s="8">
        <v>-2487718.4258684292</v>
      </c>
      <c r="BR1246" s="8" t="str">
        <v>Yes</v>
      </c>
    </row>
    <row r="1247" spans="54:70" x14ac:dyDescent="0.2">
      <c r="BB1247" s="94"/>
      <c r="BL1247" s="8">
        <v>1198</v>
      </c>
      <c r="BM1247" s="8">
        <v>8286624.200693096</v>
      </c>
      <c r="BN1247" s="8">
        <v>0</v>
      </c>
      <c r="BO1247" s="8">
        <v>8286624.200693096</v>
      </c>
      <c r="BP1247" s="8">
        <v>4462776.8253501095</v>
      </c>
      <c r="BQ1247" s="8">
        <v>-3823847.3753429865</v>
      </c>
      <c r="BR1247" s="8" t="str">
        <v>Yes</v>
      </c>
    </row>
    <row r="1248" spans="54:70" x14ac:dyDescent="0.2">
      <c r="BB1248" s="94"/>
      <c r="BL1248" s="8">
        <v>1199</v>
      </c>
      <c r="BM1248" s="8">
        <v>1678223.987309115</v>
      </c>
      <c r="BN1248" s="8">
        <v>347721.84448396746</v>
      </c>
      <c r="BO1248" s="8">
        <v>2025945.8317930824</v>
      </c>
      <c r="BP1248" s="8">
        <v>6403119.6198681351</v>
      </c>
      <c r="BQ1248" s="8">
        <v>4377173.7880750522</v>
      </c>
      <c r="BR1248" s="8" t="str">
        <v>No</v>
      </c>
    </row>
    <row r="1249" spans="54:70" x14ac:dyDescent="0.2">
      <c r="BB1249" s="94"/>
      <c r="BL1249" s="8">
        <v>1200</v>
      </c>
      <c r="BM1249" s="8">
        <v>7572825.0891310824</v>
      </c>
      <c r="BN1249" s="8">
        <v>0</v>
      </c>
      <c r="BO1249" s="8">
        <v>7572825.0891310824</v>
      </c>
      <c r="BP1249" s="8">
        <v>3169757.1304661753</v>
      </c>
      <c r="BQ1249" s="8">
        <v>-4403067.9586649071</v>
      </c>
      <c r="BR1249" s="8" t="str">
        <v>Yes</v>
      </c>
    </row>
    <row r="1250" spans="54:70" x14ac:dyDescent="0.2">
      <c r="BB1250" s="94"/>
      <c r="BL1250" s="8">
        <v>1201</v>
      </c>
      <c r="BM1250" s="8">
        <v>2175407.4199937037</v>
      </c>
      <c r="BN1250" s="8">
        <v>1394799.4701114187</v>
      </c>
      <c r="BO1250" s="8">
        <v>3570206.8901051227</v>
      </c>
      <c r="BP1250" s="8">
        <v>4549592.3575393269</v>
      </c>
      <c r="BQ1250" s="8">
        <v>979385.46743420418</v>
      </c>
      <c r="BR1250" s="8" t="str">
        <v>No</v>
      </c>
    </row>
    <row r="1251" spans="54:70" x14ac:dyDescent="0.2">
      <c r="BB1251" s="94"/>
      <c r="BL1251" s="8">
        <v>1202</v>
      </c>
      <c r="BM1251" s="8">
        <v>3257218.0207263734</v>
      </c>
      <c r="BN1251" s="8">
        <v>7175379.5895954818</v>
      </c>
      <c r="BO1251" s="8">
        <v>10432597.610321855</v>
      </c>
      <c r="BP1251" s="8">
        <v>2182062.9601432132</v>
      </c>
      <c r="BQ1251" s="8">
        <v>-8250534.650178642</v>
      </c>
      <c r="BR1251" s="8" t="str">
        <v>Yes</v>
      </c>
    </row>
    <row r="1252" spans="54:70" x14ac:dyDescent="0.2">
      <c r="BB1252" s="94"/>
      <c r="BL1252" s="8">
        <v>1203</v>
      </c>
      <c r="BM1252" s="8">
        <v>4437046.4729657285</v>
      </c>
      <c r="BN1252" s="8">
        <v>4792312.5902348375</v>
      </c>
      <c r="BO1252" s="8">
        <v>9229359.0632005669</v>
      </c>
      <c r="BP1252" s="8">
        <v>3387633.628471585</v>
      </c>
      <c r="BQ1252" s="8">
        <v>-5841725.4347289819</v>
      </c>
      <c r="BR1252" s="8" t="str">
        <v>Yes</v>
      </c>
    </row>
    <row r="1253" spans="54:70" x14ac:dyDescent="0.2">
      <c r="BB1253" s="94"/>
      <c r="BL1253" s="8">
        <v>1204</v>
      </c>
      <c r="BM1253" s="8">
        <v>2444442.2627018271</v>
      </c>
      <c r="BN1253" s="8">
        <v>3726605.2514980622</v>
      </c>
      <c r="BO1253" s="8">
        <v>6171047.5141998893</v>
      </c>
      <c r="BP1253" s="8">
        <v>3222610.8873398653</v>
      </c>
      <c r="BQ1253" s="8">
        <v>-2948436.6268600239</v>
      </c>
      <c r="BR1253" s="8" t="str">
        <v>Yes</v>
      </c>
    </row>
    <row r="1254" spans="54:70" x14ac:dyDescent="0.2">
      <c r="BB1254" s="94"/>
      <c r="BL1254" s="8">
        <v>1205</v>
      </c>
      <c r="BM1254" s="8">
        <v>6206193.7487923205</v>
      </c>
      <c r="BN1254" s="8">
        <v>0</v>
      </c>
      <c r="BO1254" s="8">
        <v>6206193.7487923205</v>
      </c>
      <c r="BP1254" s="8">
        <v>3376227.2612678115</v>
      </c>
      <c r="BQ1254" s="8">
        <v>-2829966.487524509</v>
      </c>
      <c r="BR1254" s="8" t="str">
        <v>Yes</v>
      </c>
    </row>
    <row r="1255" spans="54:70" x14ac:dyDescent="0.2">
      <c r="BB1255" s="94"/>
      <c r="BL1255" s="8">
        <v>1206</v>
      </c>
      <c r="BM1255" s="8">
        <v>11111550.594840815</v>
      </c>
      <c r="BN1255" s="8">
        <v>0</v>
      </c>
      <c r="BO1255" s="8">
        <v>11111550.594840815</v>
      </c>
      <c r="BP1255" s="8">
        <v>4279329.5672380682</v>
      </c>
      <c r="BQ1255" s="8">
        <v>-6832221.0276027471</v>
      </c>
      <c r="BR1255" s="8" t="str">
        <v>Yes</v>
      </c>
    </row>
    <row r="1256" spans="54:70" x14ac:dyDescent="0.2">
      <c r="BB1256" s="94"/>
      <c r="BL1256" s="8">
        <v>1207</v>
      </c>
      <c r="BM1256" s="8">
        <v>5357976.8963470925</v>
      </c>
      <c r="BN1256" s="8">
        <v>0</v>
      </c>
      <c r="BO1256" s="8">
        <v>5357976.8963470925</v>
      </c>
      <c r="BP1256" s="8">
        <v>2168532.9790318748</v>
      </c>
      <c r="BQ1256" s="8">
        <v>-3189443.9173152177</v>
      </c>
      <c r="BR1256" s="8" t="str">
        <v>Yes</v>
      </c>
    </row>
    <row r="1257" spans="54:70" x14ac:dyDescent="0.2">
      <c r="BB1257" s="94"/>
      <c r="BL1257" s="8">
        <v>1208</v>
      </c>
      <c r="BM1257" s="8">
        <v>4733017.9833240639</v>
      </c>
      <c r="BN1257" s="8">
        <v>0</v>
      </c>
      <c r="BO1257" s="8">
        <v>4733017.9833240639</v>
      </c>
      <c r="BP1257" s="8">
        <v>6310177.1393725201</v>
      </c>
      <c r="BQ1257" s="8">
        <v>1577159.1560484562</v>
      </c>
      <c r="BR1257" s="8" t="str">
        <v>No</v>
      </c>
    </row>
    <row r="1258" spans="54:70" x14ac:dyDescent="0.2">
      <c r="BB1258" s="94"/>
      <c r="BL1258" s="8">
        <v>1209</v>
      </c>
      <c r="BM1258" s="8">
        <v>4309427.4492273517</v>
      </c>
      <c r="BN1258" s="8">
        <v>0</v>
      </c>
      <c r="BO1258" s="8">
        <v>4309427.4492273517</v>
      </c>
      <c r="BP1258" s="8">
        <v>2214612.6062963395</v>
      </c>
      <c r="BQ1258" s="8">
        <v>-2094814.8429310122</v>
      </c>
      <c r="BR1258" s="8" t="str">
        <v>Yes</v>
      </c>
    </row>
    <row r="1259" spans="54:70" x14ac:dyDescent="0.2">
      <c r="BB1259" s="94"/>
      <c r="BL1259" s="8">
        <v>1210</v>
      </c>
      <c r="BM1259" s="8">
        <v>5249260.7426243033</v>
      </c>
      <c r="BN1259" s="8">
        <v>0</v>
      </c>
      <c r="BO1259" s="8">
        <v>5249260.7426243033</v>
      </c>
      <c r="BP1259" s="8">
        <v>6727173.4846320543</v>
      </c>
      <c r="BQ1259" s="8">
        <v>1477912.742007751</v>
      </c>
      <c r="BR1259" s="8" t="str">
        <v>No</v>
      </c>
    </row>
    <row r="1260" spans="54:70" x14ac:dyDescent="0.2">
      <c r="BB1260" s="94"/>
      <c r="BL1260" s="8">
        <v>1211</v>
      </c>
      <c r="BM1260" s="8">
        <v>5139981.3761242181</v>
      </c>
      <c r="BN1260" s="8">
        <v>4363087.397549632</v>
      </c>
      <c r="BO1260" s="8">
        <v>9503068.773673851</v>
      </c>
      <c r="BP1260" s="8">
        <v>3225204.5802420038</v>
      </c>
      <c r="BQ1260" s="8">
        <v>-6277864.1934318468</v>
      </c>
      <c r="BR1260" s="8" t="str">
        <v>Yes</v>
      </c>
    </row>
    <row r="1261" spans="54:70" x14ac:dyDescent="0.2">
      <c r="BB1261" s="94"/>
      <c r="BL1261" s="8">
        <v>1212</v>
      </c>
      <c r="BM1261" s="8">
        <v>3331065.0148389405</v>
      </c>
      <c r="BN1261" s="8">
        <v>2172424.2542530224</v>
      </c>
      <c r="BO1261" s="8">
        <v>5503489.2690919628</v>
      </c>
      <c r="BP1261" s="8">
        <v>4223779.1217932217</v>
      </c>
      <c r="BQ1261" s="8">
        <v>-1279710.1472987412</v>
      </c>
      <c r="BR1261" s="8" t="str">
        <v>Yes</v>
      </c>
    </row>
    <row r="1262" spans="54:70" x14ac:dyDescent="0.2">
      <c r="BB1262" s="94"/>
      <c r="BL1262" s="8">
        <v>1213</v>
      </c>
      <c r="BM1262" s="8">
        <v>5376985.9964391775</v>
      </c>
      <c r="BN1262" s="8">
        <v>0</v>
      </c>
      <c r="BO1262" s="8">
        <v>5376985.9964391775</v>
      </c>
      <c r="BP1262" s="8">
        <v>3272028.1597507894</v>
      </c>
      <c r="BQ1262" s="8">
        <v>-2104957.8366883881</v>
      </c>
      <c r="BR1262" s="8" t="str">
        <v>Yes</v>
      </c>
    </row>
    <row r="1263" spans="54:70" x14ac:dyDescent="0.2">
      <c r="BB1263" s="94"/>
      <c r="BL1263" s="8">
        <v>1214</v>
      </c>
      <c r="BM1263" s="8">
        <v>1787718.6611262353</v>
      </c>
      <c r="BN1263" s="8">
        <v>-361111.04925853969</v>
      </c>
      <c r="BO1263" s="8">
        <v>1426607.6118676956</v>
      </c>
      <c r="BP1263" s="8">
        <v>6925269.736097889</v>
      </c>
      <c r="BQ1263" s="8">
        <v>5498662.124230193</v>
      </c>
      <c r="BR1263" s="8" t="str">
        <v>No</v>
      </c>
    </row>
    <row r="1264" spans="54:70" x14ac:dyDescent="0.2">
      <c r="BB1264" s="94"/>
      <c r="BL1264" s="8">
        <v>1215</v>
      </c>
      <c r="BM1264" s="8">
        <v>4748496.0319153313</v>
      </c>
      <c r="BN1264" s="8">
        <v>2959374.1830251813</v>
      </c>
      <c r="BO1264" s="8">
        <v>7707870.2149405126</v>
      </c>
      <c r="BP1264" s="8">
        <v>6389091.8391919518</v>
      </c>
      <c r="BQ1264" s="8">
        <v>-1318778.3757485608</v>
      </c>
      <c r="BR1264" s="8" t="str">
        <v>Yes</v>
      </c>
    </row>
    <row r="1265" spans="54:70" x14ac:dyDescent="0.2">
      <c r="BB1265" s="94"/>
      <c r="BL1265" s="8">
        <v>1216</v>
      </c>
      <c r="BM1265" s="8">
        <v>4515207.6069916748</v>
      </c>
      <c r="BN1265" s="8">
        <v>3282534.4959676666</v>
      </c>
      <c r="BO1265" s="8">
        <v>7797742.1029593414</v>
      </c>
      <c r="BP1265" s="8">
        <v>5984447.8977422817</v>
      </c>
      <c r="BQ1265" s="8">
        <v>-1813294.2052170597</v>
      </c>
      <c r="BR1265" s="8" t="str">
        <v>Yes</v>
      </c>
    </row>
    <row r="1266" spans="54:70" x14ac:dyDescent="0.2">
      <c r="BB1266" s="94"/>
      <c r="BL1266" s="8">
        <v>1217</v>
      </c>
      <c r="BM1266" s="8">
        <v>5875197.6386836851</v>
      </c>
      <c r="BN1266" s="8">
        <v>0</v>
      </c>
      <c r="BO1266" s="8">
        <v>5875197.6386836851</v>
      </c>
      <c r="BP1266" s="8">
        <v>3292603.1636285549</v>
      </c>
      <c r="BQ1266" s="8">
        <v>-2582594.4750551302</v>
      </c>
      <c r="BR1266" s="8" t="str">
        <v>Yes</v>
      </c>
    </row>
    <row r="1267" spans="54:70" x14ac:dyDescent="0.2">
      <c r="BB1267" s="94"/>
      <c r="BL1267" s="8">
        <v>1218</v>
      </c>
      <c r="BM1267" s="8">
        <v>1620487.0931947122</v>
      </c>
      <c r="BN1267" s="8">
        <v>-36908.085799795837</v>
      </c>
      <c r="BO1267" s="8">
        <v>1583579.0073949164</v>
      </c>
      <c r="BP1267" s="8">
        <v>4296459.4203085117</v>
      </c>
      <c r="BQ1267" s="8">
        <v>2712880.4129135953</v>
      </c>
      <c r="BR1267" s="8" t="str">
        <v>No</v>
      </c>
    </row>
    <row r="1268" spans="54:70" x14ac:dyDescent="0.2">
      <c r="BB1268" s="94"/>
      <c r="BL1268" s="8">
        <v>1219</v>
      </c>
      <c r="BM1268" s="8">
        <v>2687604.6269132569</v>
      </c>
      <c r="BN1268" s="8">
        <v>1875307.7431066071</v>
      </c>
      <c r="BO1268" s="8">
        <v>4562912.3700198643</v>
      </c>
      <c r="BP1268" s="8">
        <v>2524584.6570747346</v>
      </c>
      <c r="BQ1268" s="8">
        <v>-2038327.7129451297</v>
      </c>
      <c r="BR1268" s="8" t="str">
        <v>Yes</v>
      </c>
    </row>
    <row r="1269" spans="54:70" x14ac:dyDescent="0.2">
      <c r="BB1269" s="94"/>
      <c r="BL1269" s="8">
        <v>1220</v>
      </c>
      <c r="BM1269" s="8">
        <v>5018902.1407206561</v>
      </c>
      <c r="BN1269" s="8">
        <v>0</v>
      </c>
      <c r="BO1269" s="8">
        <v>5018902.1407206561</v>
      </c>
      <c r="BP1269" s="8">
        <v>6293550.8157045012</v>
      </c>
      <c r="BQ1269" s="8">
        <v>1274648.6749838451</v>
      </c>
      <c r="BR1269" s="8" t="str">
        <v>No</v>
      </c>
    </row>
    <row r="1270" spans="54:70" x14ac:dyDescent="0.2">
      <c r="BB1270" s="94"/>
      <c r="BL1270" s="8">
        <v>1221</v>
      </c>
      <c r="BM1270" s="8">
        <v>8994346.7600641735</v>
      </c>
      <c r="BN1270" s="8">
        <v>0</v>
      </c>
      <c r="BO1270" s="8">
        <v>8994346.7600641735</v>
      </c>
      <c r="BP1270" s="8">
        <v>6546190.6329555959</v>
      </c>
      <c r="BQ1270" s="8">
        <v>-2448156.1271085776</v>
      </c>
      <c r="BR1270" s="8" t="str">
        <v>Yes</v>
      </c>
    </row>
    <row r="1271" spans="54:70" x14ac:dyDescent="0.2">
      <c r="BB1271" s="94"/>
      <c r="BL1271" s="8">
        <v>1222</v>
      </c>
      <c r="BM1271" s="8">
        <v>2114277.2419085177</v>
      </c>
      <c r="BN1271" s="8">
        <v>0</v>
      </c>
      <c r="BO1271" s="8">
        <v>2114277.2419085177</v>
      </c>
      <c r="BP1271" s="8">
        <v>2371676.4738523969</v>
      </c>
      <c r="BQ1271" s="8">
        <v>257399.23194387928</v>
      </c>
      <c r="BR1271" s="8" t="str">
        <v>No</v>
      </c>
    </row>
    <row r="1272" spans="54:70" x14ac:dyDescent="0.2">
      <c r="BB1272" s="94"/>
      <c r="BL1272" s="8">
        <v>1223</v>
      </c>
      <c r="BM1272" s="8">
        <v>19067178.587131247</v>
      </c>
      <c r="BN1272" s="8">
        <v>0</v>
      </c>
      <c r="BO1272" s="8">
        <v>19067178.587131247</v>
      </c>
      <c r="BP1272" s="8">
        <v>6193492.0845059017</v>
      </c>
      <c r="BQ1272" s="8">
        <v>-12873686.502625346</v>
      </c>
      <c r="BR1272" s="8" t="str">
        <v>Yes</v>
      </c>
    </row>
    <row r="1273" spans="54:70" x14ac:dyDescent="0.2">
      <c r="BB1273" s="94"/>
      <c r="BL1273" s="8">
        <v>1224</v>
      </c>
      <c r="BM1273" s="8">
        <v>3935108.5988330971</v>
      </c>
      <c r="BN1273" s="8">
        <v>0</v>
      </c>
      <c r="BO1273" s="8">
        <v>3935108.5988330971</v>
      </c>
      <c r="BP1273" s="8">
        <v>3497901.5355593977</v>
      </c>
      <c r="BQ1273" s="8">
        <v>-437207.06327369949</v>
      </c>
      <c r="BR1273" s="8" t="str">
        <v>Yes</v>
      </c>
    </row>
    <row r="1274" spans="54:70" x14ac:dyDescent="0.2">
      <c r="BB1274" s="94"/>
      <c r="BL1274" s="8">
        <v>1225</v>
      </c>
      <c r="BM1274" s="8">
        <v>5887086.5998013951</v>
      </c>
      <c r="BN1274" s="8">
        <v>2586665.7839953825</v>
      </c>
      <c r="BO1274" s="8">
        <v>8473752.3837967776</v>
      </c>
      <c r="BP1274" s="8">
        <v>3392363.0199472206</v>
      </c>
      <c r="BQ1274" s="8">
        <v>-5081389.363849557</v>
      </c>
      <c r="BR1274" s="8" t="str">
        <v>Yes</v>
      </c>
    </row>
    <row r="1275" spans="54:70" x14ac:dyDescent="0.2">
      <c r="BB1275" s="94"/>
      <c r="BL1275" s="8">
        <v>1226</v>
      </c>
      <c r="BM1275" s="8">
        <v>5849655.2438785816</v>
      </c>
      <c r="BN1275" s="8">
        <v>0</v>
      </c>
      <c r="BO1275" s="8">
        <v>5849655.2438785816</v>
      </c>
      <c r="BP1275" s="8">
        <v>6315073.7201734912</v>
      </c>
      <c r="BQ1275" s="8">
        <v>465418.4762949096</v>
      </c>
      <c r="BR1275" s="8" t="str">
        <v>No</v>
      </c>
    </row>
    <row r="1276" spans="54:70" x14ac:dyDescent="0.2">
      <c r="BB1276" s="94"/>
      <c r="BL1276" s="8">
        <v>1227</v>
      </c>
      <c r="BM1276" s="8">
        <v>2174136.4118759641</v>
      </c>
      <c r="BN1276" s="8">
        <v>940951.81814250455</v>
      </c>
      <c r="BO1276" s="8">
        <v>3115088.2300184686</v>
      </c>
      <c r="BP1276" s="8">
        <v>2429238.9551390056</v>
      </c>
      <c r="BQ1276" s="8">
        <v>-685849.27487946302</v>
      </c>
      <c r="BR1276" s="8" t="str">
        <v>Yes</v>
      </c>
    </row>
    <row r="1277" spans="54:70" x14ac:dyDescent="0.2">
      <c r="BB1277" s="94"/>
      <c r="BL1277" s="8">
        <v>1228</v>
      </c>
      <c r="BM1277" s="8">
        <v>3072652.3233906953</v>
      </c>
      <c r="BN1277" s="8">
        <v>1579177.1202419621</v>
      </c>
      <c r="BO1277" s="8">
        <v>4651829.4436326576</v>
      </c>
      <c r="BP1277" s="8">
        <v>6583836.4319551522</v>
      </c>
      <c r="BQ1277" s="8">
        <v>1932006.9883224946</v>
      </c>
      <c r="BR1277" s="8" t="str">
        <v>No</v>
      </c>
    </row>
    <row r="1278" spans="54:70" x14ac:dyDescent="0.2">
      <c r="BB1278" s="94"/>
      <c r="BL1278" s="8">
        <v>1229</v>
      </c>
      <c r="BM1278" s="8">
        <v>3500048.1059236564</v>
      </c>
      <c r="BN1278" s="8">
        <v>814795.07761856657</v>
      </c>
      <c r="BO1278" s="8">
        <v>4314843.1835422227</v>
      </c>
      <c r="BP1278" s="8">
        <v>3338254.7312276401</v>
      </c>
      <c r="BQ1278" s="8">
        <v>-976588.45231458265</v>
      </c>
      <c r="BR1278" s="8" t="str">
        <v>Yes</v>
      </c>
    </row>
    <row r="1279" spans="54:70" x14ac:dyDescent="0.2">
      <c r="BB1279" s="94"/>
      <c r="BL1279" s="8">
        <v>1230</v>
      </c>
      <c r="BM1279" s="8">
        <v>4835566.3731769994</v>
      </c>
      <c r="BN1279" s="8">
        <v>8104913.4434337355</v>
      </c>
      <c r="BO1279" s="8">
        <v>12940479.816610735</v>
      </c>
      <c r="BP1279" s="8">
        <v>3247446.6818669727</v>
      </c>
      <c r="BQ1279" s="8">
        <v>-9693033.1347437613</v>
      </c>
      <c r="BR1279" s="8" t="str">
        <v>Yes</v>
      </c>
    </row>
    <row r="1280" spans="54:70" x14ac:dyDescent="0.2">
      <c r="BB1280" s="94"/>
      <c r="BL1280" s="8">
        <v>1231</v>
      </c>
      <c r="BM1280" s="8">
        <v>3810108.5190705722</v>
      </c>
      <c r="BN1280" s="8">
        <v>0</v>
      </c>
      <c r="BO1280" s="8">
        <v>3810108.5190705722</v>
      </c>
      <c r="BP1280" s="8">
        <v>4054395.0343347075</v>
      </c>
      <c r="BQ1280" s="8">
        <v>244286.51526413532</v>
      </c>
      <c r="BR1280" s="8" t="str">
        <v>No</v>
      </c>
    </row>
    <row r="1281" spans="54:70" x14ac:dyDescent="0.2">
      <c r="BB1281" s="94"/>
      <c r="BL1281" s="8">
        <v>1232</v>
      </c>
      <c r="BM1281" s="8">
        <v>3151594.5935229179</v>
      </c>
      <c r="BN1281" s="8">
        <v>0</v>
      </c>
      <c r="BO1281" s="8">
        <v>3151594.5935229179</v>
      </c>
      <c r="BP1281" s="8">
        <v>2022178.2174726035</v>
      </c>
      <c r="BQ1281" s="8">
        <v>-1129416.3760503144</v>
      </c>
      <c r="BR1281" s="8" t="str">
        <v>Yes</v>
      </c>
    </row>
    <row r="1282" spans="54:70" x14ac:dyDescent="0.2">
      <c r="BB1282" s="94"/>
      <c r="BL1282" s="8">
        <v>1233</v>
      </c>
      <c r="BM1282" s="8">
        <v>2082189.8216473246</v>
      </c>
      <c r="BN1282" s="8">
        <v>0</v>
      </c>
      <c r="BO1282" s="8">
        <v>2082189.8216473246</v>
      </c>
      <c r="BP1282" s="8">
        <v>4215914.7895568656</v>
      </c>
      <c r="BQ1282" s="8">
        <v>2133724.967909541</v>
      </c>
      <c r="BR1282" s="8" t="str">
        <v>No</v>
      </c>
    </row>
    <row r="1283" spans="54:70" x14ac:dyDescent="0.2">
      <c r="BB1283" s="94"/>
      <c r="BL1283" s="8">
        <v>1234</v>
      </c>
      <c r="BM1283" s="8">
        <v>3662833.4395339862</v>
      </c>
      <c r="BN1283" s="8">
        <v>0</v>
      </c>
      <c r="BO1283" s="8">
        <v>3662833.4395339862</v>
      </c>
      <c r="BP1283" s="8">
        <v>4048287.1643386693</v>
      </c>
      <c r="BQ1283" s="8">
        <v>385453.72480468312</v>
      </c>
      <c r="BR1283" s="8" t="str">
        <v>No</v>
      </c>
    </row>
    <row r="1284" spans="54:70" x14ac:dyDescent="0.2">
      <c r="BB1284" s="94"/>
      <c r="BL1284" s="8">
        <v>1235</v>
      </c>
      <c r="BM1284" s="8">
        <v>6683715.4187736213</v>
      </c>
      <c r="BN1284" s="8">
        <v>6504691.3672852935</v>
      </c>
      <c r="BO1284" s="8">
        <v>13188406.786058914</v>
      </c>
      <c r="BP1284" s="8">
        <v>3324002.7169164917</v>
      </c>
      <c r="BQ1284" s="8">
        <v>-9864404.0691424217</v>
      </c>
      <c r="BR1284" s="8" t="str">
        <v>Yes</v>
      </c>
    </row>
    <row r="1285" spans="54:70" x14ac:dyDescent="0.2">
      <c r="BB1285" s="94"/>
      <c r="BL1285" s="8">
        <v>1236</v>
      </c>
      <c r="BM1285" s="8">
        <v>5422087.255842559</v>
      </c>
      <c r="BN1285" s="8">
        <v>3621593.4050232749</v>
      </c>
      <c r="BO1285" s="8">
        <v>9043680.660865834</v>
      </c>
      <c r="BP1285" s="8">
        <v>6427130.1523052612</v>
      </c>
      <c r="BQ1285" s="8">
        <v>-2616550.5085605728</v>
      </c>
      <c r="BR1285" s="8" t="str">
        <v>Yes</v>
      </c>
    </row>
    <row r="1286" spans="54:70" x14ac:dyDescent="0.2">
      <c r="BB1286" s="94"/>
      <c r="BL1286" s="8">
        <v>1237</v>
      </c>
      <c r="BM1286" s="8">
        <v>5567230.0527414111</v>
      </c>
      <c r="BN1286" s="8">
        <v>8688621.9723104294</v>
      </c>
      <c r="BO1286" s="8">
        <v>14255852.02505184</v>
      </c>
      <c r="BP1286" s="8">
        <v>4748930.801954044</v>
      </c>
      <c r="BQ1286" s="8">
        <v>-9506921.2230977956</v>
      </c>
      <c r="BR1286" s="8" t="str">
        <v>Yes</v>
      </c>
    </row>
    <row r="1287" spans="54:70" x14ac:dyDescent="0.2">
      <c r="BB1287" s="94"/>
      <c r="BL1287" s="8">
        <v>1238</v>
      </c>
      <c r="BM1287" s="8">
        <v>2894103.9778151759</v>
      </c>
      <c r="BN1287" s="8">
        <v>26663.180838291039</v>
      </c>
      <c r="BO1287" s="8">
        <v>2920767.158653467</v>
      </c>
      <c r="BP1287" s="8">
        <v>6678128.9184793681</v>
      </c>
      <c r="BQ1287" s="8">
        <v>3757361.7598259011</v>
      </c>
      <c r="BR1287" s="8" t="str">
        <v>No</v>
      </c>
    </row>
    <row r="1288" spans="54:70" x14ac:dyDescent="0.2">
      <c r="BB1288" s="94"/>
      <c r="BL1288" s="8">
        <v>1239</v>
      </c>
      <c r="BM1288" s="8">
        <v>6177425.3160099108</v>
      </c>
      <c r="BN1288" s="8">
        <v>0</v>
      </c>
      <c r="BO1288" s="8">
        <v>6177425.3160099108</v>
      </c>
      <c r="BP1288" s="8">
        <v>2408054.1488663084</v>
      </c>
      <c r="BQ1288" s="8">
        <v>-3769371.1671436024</v>
      </c>
      <c r="BR1288" s="8" t="str">
        <v>Yes</v>
      </c>
    </row>
    <row r="1289" spans="54:70" x14ac:dyDescent="0.2">
      <c r="BB1289" s="94"/>
      <c r="BL1289" s="8">
        <v>1240</v>
      </c>
      <c r="BM1289" s="8">
        <v>4963394.3063533232</v>
      </c>
      <c r="BN1289" s="8">
        <v>0</v>
      </c>
      <c r="BO1289" s="8">
        <v>4963394.3063533232</v>
      </c>
      <c r="BP1289" s="8">
        <v>3329445.1275582849</v>
      </c>
      <c r="BQ1289" s="8">
        <v>-1633949.1787950383</v>
      </c>
      <c r="BR1289" s="8" t="str">
        <v>Yes</v>
      </c>
    </row>
    <row r="1290" spans="54:70" x14ac:dyDescent="0.2">
      <c r="BB1290" s="94"/>
      <c r="BL1290" s="8">
        <v>1241</v>
      </c>
      <c r="BM1290" s="8">
        <v>8859835.5432973411</v>
      </c>
      <c r="BN1290" s="8">
        <v>11704537.021177173</v>
      </c>
      <c r="BO1290" s="8">
        <v>20564372.564474516</v>
      </c>
      <c r="BP1290" s="8">
        <v>4627533.4453454558</v>
      </c>
      <c r="BQ1290" s="8">
        <v>-15936839.11912906</v>
      </c>
      <c r="BR1290" s="8" t="str">
        <v>Yes</v>
      </c>
    </row>
    <row r="1291" spans="54:70" x14ac:dyDescent="0.2">
      <c r="BB1291" s="94"/>
      <c r="BL1291" s="8">
        <v>1242</v>
      </c>
      <c r="BM1291" s="8">
        <v>11918830.631872913</v>
      </c>
      <c r="BN1291" s="8">
        <v>0</v>
      </c>
      <c r="BO1291" s="8">
        <v>11918830.631872913</v>
      </c>
      <c r="BP1291" s="8">
        <v>2230174.3067254568</v>
      </c>
      <c r="BQ1291" s="8">
        <v>-9688656.3251474556</v>
      </c>
      <c r="BR1291" s="8" t="str">
        <v>Yes</v>
      </c>
    </row>
    <row r="1292" spans="54:70" x14ac:dyDescent="0.2">
      <c r="BB1292" s="94"/>
      <c r="BL1292" s="8">
        <v>1243</v>
      </c>
      <c r="BM1292" s="8">
        <v>6167742.6631330205</v>
      </c>
      <c r="BN1292" s="8">
        <v>0</v>
      </c>
      <c r="BO1292" s="8">
        <v>6167742.6631330205</v>
      </c>
      <c r="BP1292" s="8">
        <v>3480118.8144772956</v>
      </c>
      <c r="BQ1292" s="8">
        <v>-2687623.8486557249</v>
      </c>
      <c r="BR1292" s="8" t="str">
        <v>Yes</v>
      </c>
    </row>
    <row r="1293" spans="54:70" x14ac:dyDescent="0.2">
      <c r="BB1293" s="94"/>
      <c r="BL1293" s="8">
        <v>1244</v>
      </c>
      <c r="BM1293" s="8">
        <v>4200547.9656367125</v>
      </c>
      <c r="BN1293" s="8">
        <v>8398064.5697315</v>
      </c>
      <c r="BO1293" s="8">
        <v>12598612.535368212</v>
      </c>
      <c r="BP1293" s="8">
        <v>2314408.6213607714</v>
      </c>
      <c r="BQ1293" s="8">
        <v>-10284203.91400744</v>
      </c>
      <c r="BR1293" s="8" t="str">
        <v>Yes</v>
      </c>
    </row>
    <row r="1294" spans="54:70" x14ac:dyDescent="0.2">
      <c r="BB1294" s="94"/>
      <c r="BL1294" s="8">
        <v>1245</v>
      </c>
      <c r="BM1294" s="8">
        <v>4152488.977860285</v>
      </c>
      <c r="BN1294" s="8">
        <v>4879474.682248163</v>
      </c>
      <c r="BO1294" s="8">
        <v>9031963.6601084471</v>
      </c>
      <c r="BP1294" s="8">
        <v>4238473.5534526845</v>
      </c>
      <c r="BQ1294" s="8">
        <v>-4793490.1066557625</v>
      </c>
      <c r="BR1294" s="8" t="str">
        <v>Yes</v>
      </c>
    </row>
    <row r="1295" spans="54:70" x14ac:dyDescent="0.2">
      <c r="BB1295" s="94"/>
      <c r="BL1295" s="8">
        <v>1246</v>
      </c>
      <c r="BM1295" s="8">
        <v>2867299.8076452781</v>
      </c>
      <c r="BN1295" s="8">
        <v>2699924.5883917818</v>
      </c>
      <c r="BO1295" s="8">
        <v>5567224.3960370598</v>
      </c>
      <c r="BP1295" s="8">
        <v>2197694.1569373147</v>
      </c>
      <c r="BQ1295" s="8">
        <v>-3369530.2390997452</v>
      </c>
      <c r="BR1295" s="8" t="str">
        <v>Yes</v>
      </c>
    </row>
    <row r="1296" spans="54:70" x14ac:dyDescent="0.2">
      <c r="BB1296" s="94"/>
      <c r="BL1296" s="8">
        <v>1247</v>
      </c>
      <c r="BM1296" s="8">
        <v>4178987.9975251267</v>
      </c>
      <c r="BN1296" s="8">
        <v>3069982.0757745383</v>
      </c>
      <c r="BO1296" s="8">
        <v>7248970.073299665</v>
      </c>
      <c r="BP1296" s="8">
        <v>2297899.7556394539</v>
      </c>
      <c r="BQ1296" s="8">
        <v>-4951070.3176602107</v>
      </c>
      <c r="BR1296" s="8" t="str">
        <v>Yes</v>
      </c>
    </row>
    <row r="1297" spans="54:70" x14ac:dyDescent="0.2">
      <c r="BB1297" s="94"/>
      <c r="BL1297" s="8">
        <v>1248</v>
      </c>
      <c r="BM1297" s="8">
        <v>5565668.5339187738</v>
      </c>
      <c r="BN1297" s="8">
        <v>3130785.7002275917</v>
      </c>
      <c r="BO1297" s="8">
        <v>8696454.2341463659</v>
      </c>
      <c r="BP1297" s="8">
        <v>6296253.9094828069</v>
      </c>
      <c r="BQ1297" s="8">
        <v>-2400200.324663559</v>
      </c>
      <c r="BR1297" s="8" t="str">
        <v>Yes</v>
      </c>
    </row>
    <row r="1298" spans="54:70" x14ac:dyDescent="0.2">
      <c r="BB1298" s="94"/>
      <c r="BL1298" s="8">
        <v>1249</v>
      </c>
      <c r="BM1298" s="8">
        <v>4020484.5491511584</v>
      </c>
      <c r="BN1298" s="8">
        <v>2252151.6939558908</v>
      </c>
      <c r="BO1298" s="8">
        <v>6272636.2431070488</v>
      </c>
      <c r="BP1298" s="8">
        <v>4403678.915535586</v>
      </c>
      <c r="BQ1298" s="8">
        <v>-1868957.3275714628</v>
      </c>
      <c r="BR1298" s="8" t="str">
        <v>Yes</v>
      </c>
    </row>
    <row r="1299" spans="54:70" x14ac:dyDescent="0.2">
      <c r="BB1299" s="94"/>
      <c r="BL1299" s="8">
        <v>1250</v>
      </c>
      <c r="BM1299" s="8">
        <v>2784032.4366205637</v>
      </c>
      <c r="BN1299" s="8">
        <v>988770.23296934203</v>
      </c>
      <c r="BO1299" s="8">
        <v>3772802.669589906</v>
      </c>
      <c r="BP1299" s="8">
        <v>3297389.3165900619</v>
      </c>
      <c r="BQ1299" s="8">
        <v>-475413.35299984412</v>
      </c>
      <c r="BR1299" s="8" t="str">
        <v>Yes</v>
      </c>
    </row>
    <row r="1300" spans="54:70" x14ac:dyDescent="0.2">
      <c r="BB1300" s="94"/>
      <c r="BL1300" s="8">
        <v>1251</v>
      </c>
      <c r="BM1300" s="8">
        <v>3951051.8176499018</v>
      </c>
      <c r="BN1300" s="8">
        <v>0</v>
      </c>
      <c r="BO1300" s="8">
        <v>3951051.8176499018</v>
      </c>
      <c r="BP1300" s="8">
        <v>3268558.0493206726</v>
      </c>
      <c r="BQ1300" s="8">
        <v>-682493.76832922921</v>
      </c>
      <c r="BR1300" s="8" t="str">
        <v>Yes</v>
      </c>
    </row>
    <row r="1301" spans="54:70" x14ac:dyDescent="0.2">
      <c r="BB1301" s="94"/>
      <c r="BL1301" s="8">
        <v>1252</v>
      </c>
      <c r="BM1301" s="8">
        <v>2154527.2975495532</v>
      </c>
      <c r="BN1301" s="8">
        <v>1891310.9470722387</v>
      </c>
      <c r="BO1301" s="8">
        <v>4045838.2446217919</v>
      </c>
      <c r="BP1301" s="8">
        <v>3376194.4914622079</v>
      </c>
      <c r="BQ1301" s="8">
        <v>-669643.75315958401</v>
      </c>
      <c r="BR1301" s="8" t="str">
        <v>Yes</v>
      </c>
    </row>
    <row r="1302" spans="54:70" x14ac:dyDescent="0.2">
      <c r="BB1302" s="94"/>
      <c r="BL1302" s="8">
        <v>1253</v>
      </c>
      <c r="BM1302" s="8">
        <v>2486969.5119818742</v>
      </c>
      <c r="BN1302" s="8">
        <v>0</v>
      </c>
      <c r="BO1302" s="8">
        <v>2486969.5119818742</v>
      </c>
      <c r="BP1302" s="8">
        <v>3189893.1114731096</v>
      </c>
      <c r="BQ1302" s="8">
        <v>702923.59949123533</v>
      </c>
      <c r="BR1302" s="8" t="str">
        <v>No</v>
      </c>
    </row>
    <row r="1303" spans="54:70" x14ac:dyDescent="0.2">
      <c r="BB1303" s="94"/>
      <c r="BL1303" s="8">
        <v>1254</v>
      </c>
      <c r="BM1303" s="8">
        <v>3275359.2750546406</v>
      </c>
      <c r="BN1303" s="8">
        <v>0</v>
      </c>
      <c r="BO1303" s="8">
        <v>3275359.2750546406</v>
      </c>
      <c r="BP1303" s="8">
        <v>3527780.7174434052</v>
      </c>
      <c r="BQ1303" s="8">
        <v>252421.44238876458</v>
      </c>
      <c r="BR1303" s="8" t="str">
        <v>No</v>
      </c>
    </row>
    <row r="1304" spans="54:70" x14ac:dyDescent="0.2">
      <c r="BB1304" s="94"/>
      <c r="BL1304" s="8">
        <v>1255</v>
      </c>
      <c r="BM1304" s="8">
        <v>3294659.7779824813</v>
      </c>
      <c r="BN1304" s="8">
        <v>0</v>
      </c>
      <c r="BO1304" s="8">
        <v>3294659.7779824813</v>
      </c>
      <c r="BP1304" s="8">
        <v>5340062.8002067683</v>
      </c>
      <c r="BQ1304" s="8">
        <v>2045403.022224287</v>
      </c>
      <c r="BR1304" s="8" t="str">
        <v>No</v>
      </c>
    </row>
    <row r="1305" spans="54:70" x14ac:dyDescent="0.2">
      <c r="BB1305" s="94"/>
      <c r="BL1305" s="8">
        <v>1256</v>
      </c>
      <c r="BM1305" s="8">
        <v>12107392.236597454</v>
      </c>
      <c r="BN1305" s="8">
        <v>0</v>
      </c>
      <c r="BO1305" s="8">
        <v>12107392.236597454</v>
      </c>
      <c r="BP1305" s="8">
        <v>5883643.2530782688</v>
      </c>
      <c r="BQ1305" s="8">
        <v>-6223748.9835191853</v>
      </c>
      <c r="BR1305" s="8" t="str">
        <v>Yes</v>
      </c>
    </row>
    <row r="1306" spans="54:70" x14ac:dyDescent="0.2">
      <c r="BB1306" s="94"/>
      <c r="BL1306" s="8">
        <v>1257</v>
      </c>
      <c r="BM1306" s="8">
        <v>3508400.1701508351</v>
      </c>
      <c r="BN1306" s="8">
        <v>0</v>
      </c>
      <c r="BO1306" s="8">
        <v>3508400.1701508351</v>
      </c>
      <c r="BP1306" s="8">
        <v>6334798.9170312565</v>
      </c>
      <c r="BQ1306" s="8">
        <v>2826398.7468804214</v>
      </c>
      <c r="BR1306" s="8" t="str">
        <v>No</v>
      </c>
    </row>
    <row r="1307" spans="54:70" x14ac:dyDescent="0.2">
      <c r="BB1307" s="94"/>
      <c r="BL1307" s="8">
        <v>1258</v>
      </c>
      <c r="BM1307" s="8">
        <v>3082969.0122381775</v>
      </c>
      <c r="BN1307" s="8">
        <v>2929365.3202890586</v>
      </c>
      <c r="BO1307" s="8">
        <v>6012334.3325272361</v>
      </c>
      <c r="BP1307" s="8">
        <v>4778588.7971737916</v>
      </c>
      <c r="BQ1307" s="8">
        <v>-1233745.5353534445</v>
      </c>
      <c r="BR1307" s="8" t="str">
        <v>Yes</v>
      </c>
    </row>
    <row r="1308" spans="54:70" x14ac:dyDescent="0.2">
      <c r="BB1308" s="94"/>
      <c r="BL1308" s="8">
        <v>1259</v>
      </c>
      <c r="BM1308" s="8">
        <v>1861756.1710506098</v>
      </c>
      <c r="BN1308" s="8">
        <v>410593.54006468883</v>
      </c>
      <c r="BO1308" s="8">
        <v>2272349.7111152988</v>
      </c>
      <c r="BP1308" s="8">
        <v>3234316.7739177975</v>
      </c>
      <c r="BQ1308" s="8">
        <v>961967.06280249869</v>
      </c>
      <c r="BR1308" s="8" t="str">
        <v>No</v>
      </c>
    </row>
    <row r="1309" spans="54:70" x14ac:dyDescent="0.2">
      <c r="BB1309" s="94"/>
      <c r="BL1309" s="8">
        <v>1260</v>
      </c>
      <c r="BM1309" s="8">
        <v>3122068.2457513069</v>
      </c>
      <c r="BN1309" s="8">
        <v>0</v>
      </c>
      <c r="BO1309" s="8">
        <v>3122068.2457513069</v>
      </c>
      <c r="BP1309" s="8">
        <v>4389792.2266105562</v>
      </c>
      <c r="BQ1309" s="8">
        <v>1267723.9808592494</v>
      </c>
      <c r="BR1309" s="8" t="str">
        <v>No</v>
      </c>
    </row>
    <row r="1310" spans="54:70" x14ac:dyDescent="0.2">
      <c r="BB1310" s="94"/>
      <c r="BL1310" s="8">
        <v>1261</v>
      </c>
      <c r="BM1310" s="8">
        <v>2750507.8787255408</v>
      </c>
      <c r="BN1310" s="8">
        <v>0</v>
      </c>
      <c r="BO1310" s="8">
        <v>2750507.8787255408</v>
      </c>
      <c r="BP1310" s="8">
        <v>6450138.8079789914</v>
      </c>
      <c r="BQ1310" s="8">
        <v>3699630.9292534506</v>
      </c>
      <c r="BR1310" s="8" t="str">
        <v>No</v>
      </c>
    </row>
    <row r="1311" spans="54:70" x14ac:dyDescent="0.2">
      <c r="BB1311" s="94"/>
      <c r="BL1311" s="8">
        <v>1262</v>
      </c>
      <c r="BM1311" s="8">
        <v>4419313.0375283677</v>
      </c>
      <c r="BN1311" s="8">
        <v>2393992.6253444343</v>
      </c>
      <c r="BO1311" s="8">
        <v>6813305.6628728025</v>
      </c>
      <c r="BP1311" s="8">
        <v>3261562.3858314813</v>
      </c>
      <c r="BQ1311" s="8">
        <v>-3551743.2770413212</v>
      </c>
      <c r="BR1311" s="8" t="str">
        <v>Yes</v>
      </c>
    </row>
    <row r="1312" spans="54:70" x14ac:dyDescent="0.2">
      <c r="BB1312" s="94"/>
      <c r="BL1312" s="8">
        <v>1263</v>
      </c>
      <c r="BM1312" s="8">
        <v>7077740.8526101587</v>
      </c>
      <c r="BN1312" s="8">
        <v>4371749.7244528588</v>
      </c>
      <c r="BO1312" s="8">
        <v>11449490.577063017</v>
      </c>
      <c r="BP1312" s="8">
        <v>4544133.311406808</v>
      </c>
      <c r="BQ1312" s="8">
        <v>-6905357.2656562086</v>
      </c>
      <c r="BR1312" s="8" t="str">
        <v>Yes</v>
      </c>
    </row>
    <row r="1313" spans="54:70" x14ac:dyDescent="0.2">
      <c r="BB1313" s="94"/>
      <c r="BL1313" s="8">
        <v>1264</v>
      </c>
      <c r="BM1313" s="8">
        <v>4151054.1446505142</v>
      </c>
      <c r="BN1313" s="8">
        <v>4729343.3175450778</v>
      </c>
      <c r="BO1313" s="8">
        <v>8880397.462195592</v>
      </c>
      <c r="BP1313" s="8">
        <v>2381602.5343675101</v>
      </c>
      <c r="BQ1313" s="8">
        <v>-6498794.9278280819</v>
      </c>
      <c r="BR1313" s="8" t="str">
        <v>Yes</v>
      </c>
    </row>
    <row r="1314" spans="54:70" x14ac:dyDescent="0.2">
      <c r="BB1314" s="94"/>
      <c r="BL1314" s="8">
        <v>1265</v>
      </c>
      <c r="BM1314" s="8">
        <v>2290598.4870526912</v>
      </c>
      <c r="BN1314" s="8">
        <v>2252003.9564752425</v>
      </c>
      <c r="BO1314" s="8">
        <v>4542602.4435279332</v>
      </c>
      <c r="BP1314" s="8">
        <v>3279566.630217955</v>
      </c>
      <c r="BQ1314" s="8">
        <v>-1263035.8133099782</v>
      </c>
      <c r="BR1314" s="8" t="str">
        <v>Yes</v>
      </c>
    </row>
    <row r="1315" spans="54:70" x14ac:dyDescent="0.2">
      <c r="BB1315" s="94"/>
      <c r="BL1315" s="8">
        <v>1266</v>
      </c>
      <c r="BM1315" s="8">
        <v>4528950.4017411033</v>
      </c>
      <c r="BN1315" s="8">
        <v>3600461.5300242463</v>
      </c>
      <c r="BO1315" s="8">
        <v>8129411.9317653496</v>
      </c>
      <c r="BP1315" s="8">
        <v>3248240.6389357569</v>
      </c>
      <c r="BQ1315" s="8">
        <v>-4881171.2928295927</v>
      </c>
      <c r="BR1315" s="8" t="str">
        <v>Yes</v>
      </c>
    </row>
    <row r="1316" spans="54:70" x14ac:dyDescent="0.2">
      <c r="BB1316" s="94"/>
      <c r="BL1316" s="8">
        <v>1267</v>
      </c>
      <c r="BM1316" s="8">
        <v>1833293.6138188816</v>
      </c>
      <c r="BN1316" s="8">
        <v>0</v>
      </c>
      <c r="BO1316" s="8">
        <v>1833293.6138188816</v>
      </c>
      <c r="BP1316" s="8">
        <v>2352131.9965331494</v>
      </c>
      <c r="BQ1316" s="8">
        <v>518838.38271426782</v>
      </c>
      <c r="BR1316" s="8" t="str">
        <v>No</v>
      </c>
    </row>
    <row r="1317" spans="54:70" x14ac:dyDescent="0.2">
      <c r="BB1317" s="94"/>
      <c r="BL1317" s="8">
        <v>1268</v>
      </c>
      <c r="BM1317" s="8">
        <v>2429014.2049622345</v>
      </c>
      <c r="BN1317" s="8">
        <v>0</v>
      </c>
      <c r="BO1317" s="8">
        <v>2429014.2049622345</v>
      </c>
      <c r="BP1317" s="8">
        <v>2140481.0259047314</v>
      </c>
      <c r="BQ1317" s="8">
        <v>-288533.17905750312</v>
      </c>
      <c r="BR1317" s="8" t="str">
        <v>Yes</v>
      </c>
    </row>
    <row r="1318" spans="54:70" x14ac:dyDescent="0.2">
      <c r="BB1318" s="94"/>
      <c r="BL1318" s="8">
        <v>1269</v>
      </c>
      <c r="BM1318" s="8">
        <v>2670813.0171626443</v>
      </c>
      <c r="BN1318" s="8">
        <v>593266.0041774878</v>
      </c>
      <c r="BO1318" s="8">
        <v>3264079.0213401322</v>
      </c>
      <c r="BP1318" s="8">
        <v>4522326.4853214342</v>
      </c>
      <c r="BQ1318" s="8">
        <v>1258247.463981302</v>
      </c>
      <c r="BR1318" s="8" t="str">
        <v>No</v>
      </c>
    </row>
    <row r="1319" spans="54:70" x14ac:dyDescent="0.2">
      <c r="BB1319" s="94"/>
      <c r="BL1319" s="8">
        <v>1270</v>
      </c>
      <c r="BM1319" s="8">
        <v>2355689.8333828868</v>
      </c>
      <c r="BN1319" s="8">
        <v>0</v>
      </c>
      <c r="BO1319" s="8">
        <v>2355689.8333828868</v>
      </c>
      <c r="BP1319" s="8">
        <v>5864033.7777086571</v>
      </c>
      <c r="BQ1319" s="8">
        <v>3508343.9443257703</v>
      </c>
      <c r="BR1319" s="8" t="str">
        <v>No</v>
      </c>
    </row>
    <row r="1320" spans="54:70" x14ac:dyDescent="0.2">
      <c r="BB1320" s="94"/>
      <c r="BL1320" s="8">
        <v>1271</v>
      </c>
      <c r="BM1320" s="8">
        <v>5219401.72932579</v>
      </c>
      <c r="BN1320" s="8">
        <v>0</v>
      </c>
      <c r="BO1320" s="8">
        <v>5219401.72932579</v>
      </c>
      <c r="BP1320" s="8">
        <v>2388689.3313320829</v>
      </c>
      <c r="BQ1320" s="8">
        <v>-2830712.3979937071</v>
      </c>
      <c r="BR1320" s="8" t="str">
        <v>Yes</v>
      </c>
    </row>
    <row r="1321" spans="54:70" x14ac:dyDescent="0.2">
      <c r="BB1321" s="94"/>
      <c r="BL1321" s="8">
        <v>1272</v>
      </c>
      <c r="BM1321" s="8">
        <v>6379196.4695989741</v>
      </c>
      <c r="BN1321" s="8">
        <v>0</v>
      </c>
      <c r="BO1321" s="8">
        <v>6379196.4695989741</v>
      </c>
      <c r="BP1321" s="8">
        <v>4249650.7983609159</v>
      </c>
      <c r="BQ1321" s="8">
        <v>-2129545.6712380582</v>
      </c>
      <c r="BR1321" s="8" t="str">
        <v>Yes</v>
      </c>
    </row>
    <row r="1322" spans="54:70" x14ac:dyDescent="0.2">
      <c r="BB1322" s="94"/>
      <c r="BL1322" s="8">
        <v>1273</v>
      </c>
      <c r="BM1322" s="8">
        <v>6020215.6463338379</v>
      </c>
      <c r="BN1322" s="8">
        <v>5576698.571534575</v>
      </c>
      <c r="BO1322" s="8">
        <v>11596914.217868414</v>
      </c>
      <c r="BP1322" s="8">
        <v>3419547.9862394715</v>
      </c>
      <c r="BQ1322" s="8">
        <v>-8177366.2316289423</v>
      </c>
      <c r="BR1322" s="8" t="str">
        <v>Yes</v>
      </c>
    </row>
    <row r="1323" spans="54:70" x14ac:dyDescent="0.2">
      <c r="BB1323" s="94"/>
      <c r="BL1323" s="8">
        <v>1274</v>
      </c>
      <c r="BM1323" s="8">
        <v>9268642.0686378572</v>
      </c>
      <c r="BN1323" s="8">
        <v>8201644.0367086949</v>
      </c>
      <c r="BO1323" s="8">
        <v>17470286.105346553</v>
      </c>
      <c r="BP1323" s="8">
        <v>3306644.5467643165</v>
      </c>
      <c r="BQ1323" s="8">
        <v>-14163641.558582237</v>
      </c>
      <c r="BR1323" s="8" t="str">
        <v>Yes</v>
      </c>
    </row>
    <row r="1324" spans="54:70" x14ac:dyDescent="0.2">
      <c r="BB1324" s="94"/>
      <c r="BL1324" s="8">
        <v>1275</v>
      </c>
      <c r="BM1324" s="8">
        <v>3222952.6072191834</v>
      </c>
      <c r="BN1324" s="8">
        <v>0</v>
      </c>
      <c r="BO1324" s="8">
        <v>3222952.6072191834</v>
      </c>
      <c r="BP1324" s="8">
        <v>3287020.1340205185</v>
      </c>
      <c r="BQ1324" s="8">
        <v>64067.52680133516</v>
      </c>
      <c r="BR1324" s="8" t="str">
        <v>No</v>
      </c>
    </row>
    <row r="1325" spans="54:70" x14ac:dyDescent="0.2">
      <c r="BB1325" s="94"/>
      <c r="BL1325" s="8">
        <v>1276</v>
      </c>
      <c r="BM1325" s="8">
        <v>5250120.5268730978</v>
      </c>
      <c r="BN1325" s="8">
        <v>8019803.8977418616</v>
      </c>
      <c r="BO1325" s="8">
        <v>13269924.424614958</v>
      </c>
      <c r="BP1325" s="8">
        <v>3510881.3441794296</v>
      </c>
      <c r="BQ1325" s="8">
        <v>-9759043.0804355294</v>
      </c>
      <c r="BR1325" s="8" t="str">
        <v>Yes</v>
      </c>
    </row>
    <row r="1326" spans="54:70" x14ac:dyDescent="0.2">
      <c r="BB1326" s="94"/>
      <c r="BL1326" s="8">
        <v>1277</v>
      </c>
      <c r="BM1326" s="8">
        <v>3052945.9373075394</v>
      </c>
      <c r="BN1326" s="8">
        <v>0</v>
      </c>
      <c r="BO1326" s="8">
        <v>3052945.9373075394</v>
      </c>
      <c r="BP1326" s="8">
        <v>3552098.4030135842</v>
      </c>
      <c r="BQ1326" s="8">
        <v>499152.46570604481</v>
      </c>
      <c r="BR1326" s="8" t="str">
        <v>No</v>
      </c>
    </row>
    <row r="1327" spans="54:70" x14ac:dyDescent="0.2">
      <c r="BB1327" s="94"/>
      <c r="BL1327" s="8">
        <v>1278</v>
      </c>
      <c r="BM1327" s="8">
        <v>2985742.2540958067</v>
      </c>
      <c r="BN1327" s="8">
        <v>1947425.5110511424</v>
      </c>
      <c r="BO1327" s="8">
        <v>4933167.7651469493</v>
      </c>
      <c r="BP1327" s="8">
        <v>4811880.4173898576</v>
      </c>
      <c r="BQ1327" s="8">
        <v>-121287.34775709175</v>
      </c>
      <c r="BR1327" s="8" t="str">
        <v>Yes</v>
      </c>
    </row>
    <row r="1328" spans="54:70" x14ac:dyDescent="0.2">
      <c r="BB1328" s="94"/>
      <c r="BL1328" s="8">
        <v>1279</v>
      </c>
      <c r="BM1328" s="8">
        <v>5070778.5121090254</v>
      </c>
      <c r="BN1328" s="8">
        <v>3856127.6320990245</v>
      </c>
      <c r="BO1328" s="8">
        <v>8926906.1442080494</v>
      </c>
      <c r="BP1328" s="8">
        <v>6880629.2409214526</v>
      </c>
      <c r="BQ1328" s="8">
        <v>-2046276.9032865968</v>
      </c>
      <c r="BR1328" s="8" t="str">
        <v>Yes</v>
      </c>
    </row>
    <row r="1329" spans="54:70" x14ac:dyDescent="0.2">
      <c r="BB1329" s="94"/>
      <c r="BL1329" s="8">
        <v>1280</v>
      </c>
      <c r="BM1329" s="8">
        <v>7528696.5687577799</v>
      </c>
      <c r="BN1329" s="8">
        <v>0</v>
      </c>
      <c r="BO1329" s="8">
        <v>7528696.5687577799</v>
      </c>
      <c r="BP1329" s="8">
        <v>2065960.9962166701</v>
      </c>
      <c r="BQ1329" s="8">
        <v>-5462735.5725411102</v>
      </c>
      <c r="BR1329" s="8" t="str">
        <v>Yes</v>
      </c>
    </row>
    <row r="1330" spans="54:70" x14ac:dyDescent="0.2">
      <c r="BB1330" s="94"/>
      <c r="BL1330" s="8">
        <v>1281</v>
      </c>
      <c r="BM1330" s="8">
        <v>5807232.3863361701</v>
      </c>
      <c r="BN1330" s="8">
        <v>5268538.8710099077</v>
      </c>
      <c r="BO1330" s="8">
        <v>11075771.257346079</v>
      </c>
      <c r="BP1330" s="8">
        <v>4158057.6973380046</v>
      </c>
      <c r="BQ1330" s="8">
        <v>-6917713.5600080742</v>
      </c>
      <c r="BR1330" s="8" t="str">
        <v>Yes</v>
      </c>
    </row>
    <row r="1331" spans="54:70" x14ac:dyDescent="0.2">
      <c r="BB1331" s="94"/>
      <c r="BL1331" s="8">
        <v>1282</v>
      </c>
      <c r="BM1331" s="8">
        <v>4227622.8807795523</v>
      </c>
      <c r="BN1331" s="8">
        <v>0</v>
      </c>
      <c r="BO1331" s="8">
        <v>4227622.8807795523</v>
      </c>
      <c r="BP1331" s="8">
        <v>6108926.1732389275</v>
      </c>
      <c r="BQ1331" s="8">
        <v>1881303.2924593752</v>
      </c>
      <c r="BR1331" s="8" t="str">
        <v>No</v>
      </c>
    </row>
    <row r="1332" spans="54:70" x14ac:dyDescent="0.2">
      <c r="BB1332" s="94"/>
      <c r="BL1332" s="8">
        <v>1283</v>
      </c>
      <c r="BM1332" s="8">
        <v>8387909.6797830937</v>
      </c>
      <c r="BN1332" s="8">
        <v>5981929.4467472099</v>
      </c>
      <c r="BO1332" s="8">
        <v>14369839.126530305</v>
      </c>
      <c r="BP1332" s="8">
        <v>3508486.8893965217</v>
      </c>
      <c r="BQ1332" s="8">
        <v>-10861352.237133782</v>
      </c>
      <c r="BR1332" s="8" t="str">
        <v>Yes</v>
      </c>
    </row>
    <row r="1333" spans="54:70" x14ac:dyDescent="0.2">
      <c r="BB1333" s="94"/>
      <c r="BL1333" s="8">
        <v>1284</v>
      </c>
      <c r="BM1333" s="8">
        <v>2309702.4070338472</v>
      </c>
      <c r="BN1333" s="8">
        <v>0</v>
      </c>
      <c r="BO1333" s="8">
        <v>2309702.4070338472</v>
      </c>
      <c r="BP1333" s="8">
        <v>4008031.8454756504</v>
      </c>
      <c r="BQ1333" s="8">
        <v>1698329.4384418032</v>
      </c>
      <c r="BR1333" s="8" t="str">
        <v>No</v>
      </c>
    </row>
    <row r="1334" spans="54:70" x14ac:dyDescent="0.2">
      <c r="BB1334" s="94"/>
      <c r="BL1334" s="8">
        <v>1285</v>
      </c>
      <c r="BM1334" s="8">
        <v>1369000.206560456</v>
      </c>
      <c r="BN1334" s="8">
        <v>1646005.6100183642</v>
      </c>
      <c r="BO1334" s="8">
        <v>3015005.8165788203</v>
      </c>
      <c r="BP1334" s="8">
        <v>2238992.4887868785</v>
      </c>
      <c r="BQ1334" s="8">
        <v>-776013.32779194182</v>
      </c>
      <c r="BR1334" s="8" t="str">
        <v>Yes</v>
      </c>
    </row>
    <row r="1335" spans="54:70" x14ac:dyDescent="0.2">
      <c r="BB1335" s="94"/>
      <c r="BL1335" s="8">
        <v>1286</v>
      </c>
      <c r="BM1335" s="8">
        <v>6452379.8744042618</v>
      </c>
      <c r="BN1335" s="8">
        <v>0</v>
      </c>
      <c r="BO1335" s="8">
        <v>6452379.8744042618</v>
      </c>
      <c r="BP1335" s="8">
        <v>4202022.1654110961</v>
      </c>
      <c r="BQ1335" s="8">
        <v>-2250357.7089931658</v>
      </c>
      <c r="BR1335" s="8" t="str">
        <v>Yes</v>
      </c>
    </row>
    <row r="1336" spans="54:70" x14ac:dyDescent="0.2">
      <c r="BB1336" s="94"/>
      <c r="BL1336" s="8">
        <v>1287</v>
      </c>
      <c r="BM1336" s="8">
        <v>7599458.0539800655</v>
      </c>
      <c r="BN1336" s="8">
        <v>0</v>
      </c>
      <c r="BO1336" s="8">
        <v>7599458.0539800655</v>
      </c>
      <c r="BP1336" s="8">
        <v>6089613.8519735392</v>
      </c>
      <c r="BQ1336" s="8">
        <v>-1509844.2020065263</v>
      </c>
      <c r="BR1336" s="8" t="str">
        <v>Yes</v>
      </c>
    </row>
    <row r="1337" spans="54:70" x14ac:dyDescent="0.2">
      <c r="BB1337" s="94"/>
      <c r="BL1337" s="8">
        <v>1288</v>
      </c>
      <c r="BM1337" s="8">
        <v>4409030.2416116213</v>
      </c>
      <c r="BN1337" s="8">
        <v>2582389.9422786422</v>
      </c>
      <c r="BO1337" s="8">
        <v>6991420.1838902635</v>
      </c>
      <c r="BP1337" s="8">
        <v>4139436.1346852155</v>
      </c>
      <c r="BQ1337" s="8">
        <v>-2851984.049205048</v>
      </c>
      <c r="BR1337" s="8" t="str">
        <v>Yes</v>
      </c>
    </row>
    <row r="1338" spans="54:70" x14ac:dyDescent="0.2">
      <c r="BB1338" s="94"/>
      <c r="BL1338" s="8">
        <v>1289</v>
      </c>
      <c r="BM1338" s="8">
        <v>3122911.9991416442</v>
      </c>
      <c r="BN1338" s="8">
        <v>0</v>
      </c>
      <c r="BO1338" s="8">
        <v>3122911.9991416442</v>
      </c>
      <c r="BP1338" s="8">
        <v>6553311.3788408712</v>
      </c>
      <c r="BQ1338" s="8">
        <v>3430399.3796992269</v>
      </c>
      <c r="BR1338" s="8" t="str">
        <v>No</v>
      </c>
    </row>
    <row r="1339" spans="54:70" x14ac:dyDescent="0.2">
      <c r="BB1339" s="94"/>
      <c r="BL1339" s="8">
        <v>1290</v>
      </c>
      <c r="BM1339" s="8">
        <v>2904180.5179453008</v>
      </c>
      <c r="BN1339" s="8">
        <v>2625900.3445613962</v>
      </c>
      <c r="BO1339" s="8">
        <v>5530080.862506697</v>
      </c>
      <c r="BP1339" s="8">
        <v>4350459.7310069669</v>
      </c>
      <c r="BQ1339" s="8">
        <v>-1179621.1314997301</v>
      </c>
      <c r="BR1339" s="8" t="str">
        <v>Yes</v>
      </c>
    </row>
    <row r="1340" spans="54:70" x14ac:dyDescent="0.2">
      <c r="BB1340" s="94"/>
      <c r="BL1340" s="8">
        <v>1291</v>
      </c>
      <c r="BM1340" s="8">
        <v>4606580.5154373702</v>
      </c>
      <c r="BN1340" s="8">
        <v>3200346.2339622616</v>
      </c>
      <c r="BO1340" s="8">
        <v>7806926.7493996322</v>
      </c>
      <c r="BP1340" s="8">
        <v>6251951.2277293028</v>
      </c>
      <c r="BQ1340" s="8">
        <v>-1554975.5216703294</v>
      </c>
      <c r="BR1340" s="8" t="str">
        <v>Yes</v>
      </c>
    </row>
    <row r="1341" spans="54:70" x14ac:dyDescent="0.2">
      <c r="BB1341" s="94"/>
      <c r="BL1341" s="8">
        <v>1292</v>
      </c>
      <c r="BM1341" s="8">
        <v>9096237.4781071339</v>
      </c>
      <c r="BN1341" s="8">
        <v>0</v>
      </c>
      <c r="BO1341" s="8">
        <v>9096237.4781071339</v>
      </c>
      <c r="BP1341" s="8">
        <v>2184063.916606701</v>
      </c>
      <c r="BQ1341" s="8">
        <v>-6912173.5615004329</v>
      </c>
      <c r="BR1341" s="8" t="str">
        <v>Yes</v>
      </c>
    </row>
    <row r="1342" spans="54:70" x14ac:dyDescent="0.2">
      <c r="BB1342" s="94"/>
      <c r="BL1342" s="8">
        <v>1293</v>
      </c>
      <c r="BM1342" s="8">
        <v>1477695.8835349283</v>
      </c>
      <c r="BN1342" s="8">
        <v>0</v>
      </c>
      <c r="BO1342" s="8">
        <v>1477695.8835349283</v>
      </c>
      <c r="BP1342" s="8">
        <v>3558490.7195412731</v>
      </c>
      <c r="BQ1342" s="8">
        <v>2080794.8360063448</v>
      </c>
      <c r="BR1342" s="8" t="str">
        <v>No</v>
      </c>
    </row>
    <row r="1343" spans="54:70" x14ac:dyDescent="0.2">
      <c r="BB1343" s="94"/>
      <c r="BL1343" s="8">
        <v>1294</v>
      </c>
      <c r="BM1343" s="8">
        <v>4565372.8934142068</v>
      </c>
      <c r="BN1343" s="8">
        <v>0</v>
      </c>
      <c r="BO1343" s="8">
        <v>4565372.8934142068</v>
      </c>
      <c r="BP1343" s="8">
        <v>3877252.5177377989</v>
      </c>
      <c r="BQ1343" s="8">
        <v>-688120.37567640794</v>
      </c>
      <c r="BR1343" s="8" t="str">
        <v>Yes</v>
      </c>
    </row>
    <row r="1344" spans="54:70" x14ac:dyDescent="0.2">
      <c r="BB1344" s="94"/>
      <c r="BL1344" s="8">
        <v>1295</v>
      </c>
      <c r="BM1344" s="8">
        <v>3288049.4436570611</v>
      </c>
      <c r="BN1344" s="8">
        <v>0</v>
      </c>
      <c r="BO1344" s="8">
        <v>3288049.4436570611</v>
      </c>
      <c r="BP1344" s="8">
        <v>3514868.1829291089</v>
      </c>
      <c r="BQ1344" s="8">
        <v>226818.73927204777</v>
      </c>
      <c r="BR1344" s="8" t="str">
        <v>No</v>
      </c>
    </row>
    <row r="1345" spans="54:70" x14ac:dyDescent="0.2">
      <c r="BB1345" s="94"/>
      <c r="BL1345" s="8">
        <v>1296</v>
      </c>
      <c r="BM1345" s="8">
        <v>2197777.7395536294</v>
      </c>
      <c r="BN1345" s="8">
        <v>0</v>
      </c>
      <c r="BO1345" s="8">
        <v>2197777.7395536294</v>
      </c>
      <c r="BP1345" s="8">
        <v>6517895.9685741169</v>
      </c>
      <c r="BQ1345" s="8">
        <v>4320118.2290204875</v>
      </c>
      <c r="BR1345" s="8" t="str">
        <v>No</v>
      </c>
    </row>
    <row r="1346" spans="54:70" x14ac:dyDescent="0.2">
      <c r="BB1346" s="94"/>
      <c r="BL1346" s="8">
        <v>1297</v>
      </c>
      <c r="BM1346" s="8">
        <v>10326308.021313269</v>
      </c>
      <c r="BN1346" s="8">
        <v>6191927.3009074777</v>
      </c>
      <c r="BO1346" s="8">
        <v>16518235.322220746</v>
      </c>
      <c r="BP1346" s="8">
        <v>4617177.9878751114</v>
      </c>
      <c r="BQ1346" s="8">
        <v>-11901057.334345635</v>
      </c>
      <c r="BR1346" s="8" t="str">
        <v>Yes</v>
      </c>
    </row>
    <row r="1347" spans="54:70" x14ac:dyDescent="0.2">
      <c r="BB1347" s="94"/>
      <c r="BL1347" s="8">
        <v>1298</v>
      </c>
      <c r="BM1347" s="8">
        <v>2833737.6037431015</v>
      </c>
      <c r="BN1347" s="8">
        <v>1068542.9580270073</v>
      </c>
      <c r="BO1347" s="8">
        <v>3902280.5617701085</v>
      </c>
      <c r="BP1347" s="8">
        <v>3420150.6062740185</v>
      </c>
      <c r="BQ1347" s="8">
        <v>-482129.95549609</v>
      </c>
      <c r="BR1347" s="8" t="str">
        <v>Yes</v>
      </c>
    </row>
    <row r="1348" spans="54:70" x14ac:dyDescent="0.2">
      <c r="BB1348" s="94"/>
      <c r="BL1348" s="8">
        <v>1299</v>
      </c>
      <c r="BM1348" s="8">
        <v>2548270.7249840284</v>
      </c>
      <c r="BN1348" s="8">
        <v>0</v>
      </c>
      <c r="BO1348" s="8">
        <v>2548270.7249840284</v>
      </c>
      <c r="BP1348" s="8">
        <v>3592616.4727610857</v>
      </c>
      <c r="BQ1348" s="8">
        <v>1044345.7477770573</v>
      </c>
      <c r="BR1348" s="8" t="str">
        <v>No</v>
      </c>
    </row>
    <row r="1349" spans="54:70" x14ac:dyDescent="0.2">
      <c r="BB1349" s="94"/>
      <c r="BL1349" s="8">
        <v>1300</v>
      </c>
      <c r="BM1349" s="8">
        <v>3457116.7222341467</v>
      </c>
      <c r="BN1349" s="8">
        <v>0</v>
      </c>
      <c r="BO1349" s="8">
        <v>3457116.7222341467</v>
      </c>
      <c r="BP1349" s="8">
        <v>5727433.0718914233</v>
      </c>
      <c r="BQ1349" s="8">
        <v>2270316.3496572766</v>
      </c>
      <c r="BR1349" s="8" t="str">
        <v>No</v>
      </c>
    </row>
    <row r="1350" spans="54:70" x14ac:dyDescent="0.2">
      <c r="BB1350" s="94"/>
      <c r="BL1350" s="8">
        <v>1301</v>
      </c>
      <c r="BM1350" s="8">
        <v>9372111.3082603347</v>
      </c>
      <c r="BN1350" s="8">
        <v>0</v>
      </c>
      <c r="BO1350" s="8">
        <v>9372111.3082603347</v>
      </c>
      <c r="BP1350" s="8">
        <v>2213861.368743876</v>
      </c>
      <c r="BQ1350" s="8">
        <v>-7158249.9395164587</v>
      </c>
      <c r="BR1350" s="8" t="str">
        <v>Yes</v>
      </c>
    </row>
    <row r="1351" spans="54:70" x14ac:dyDescent="0.2">
      <c r="BB1351" s="94"/>
      <c r="BL1351" s="8">
        <v>1302</v>
      </c>
      <c r="BM1351" s="8">
        <v>4104119.3970148386</v>
      </c>
      <c r="BN1351" s="8">
        <v>0</v>
      </c>
      <c r="BO1351" s="8">
        <v>4104119.3970148386</v>
      </c>
      <c r="BP1351" s="8">
        <v>3532099.6345450538</v>
      </c>
      <c r="BQ1351" s="8">
        <v>-572019.76246978482</v>
      </c>
      <c r="BR1351" s="8" t="str">
        <v>Yes</v>
      </c>
    </row>
    <row r="1352" spans="54:70" x14ac:dyDescent="0.2">
      <c r="BB1352" s="94"/>
      <c r="BL1352" s="8">
        <v>1303</v>
      </c>
      <c r="BM1352" s="8">
        <v>2908548.067348606</v>
      </c>
      <c r="BN1352" s="8">
        <v>1006772.6526145649</v>
      </c>
      <c r="BO1352" s="8">
        <v>3915320.7199631706</v>
      </c>
      <c r="BP1352" s="8">
        <v>4564638.1413910072</v>
      </c>
      <c r="BQ1352" s="8">
        <v>649317.42142783664</v>
      </c>
      <c r="BR1352" s="8" t="str">
        <v>No</v>
      </c>
    </row>
    <row r="1353" spans="54:70" x14ac:dyDescent="0.2">
      <c r="BB1353" s="94"/>
      <c r="BL1353" s="8">
        <v>1304</v>
      </c>
      <c r="BM1353" s="8">
        <v>3256860.8681350201</v>
      </c>
      <c r="BN1353" s="8">
        <v>5285745.214868065</v>
      </c>
      <c r="BO1353" s="8">
        <v>8542606.0830030851</v>
      </c>
      <c r="BP1353" s="8">
        <v>3532026.4244505903</v>
      </c>
      <c r="BQ1353" s="8">
        <v>-5010579.6585524948</v>
      </c>
      <c r="BR1353" s="8" t="str">
        <v>Yes</v>
      </c>
    </row>
    <row r="1354" spans="54:70" x14ac:dyDescent="0.2">
      <c r="BB1354" s="94"/>
      <c r="BL1354" s="8">
        <v>1305</v>
      </c>
      <c r="BM1354" s="8">
        <v>3239439.1129095685</v>
      </c>
      <c r="BN1354" s="8">
        <v>1980558.3885940935</v>
      </c>
      <c r="BO1354" s="8">
        <v>5219997.5015036622</v>
      </c>
      <c r="BP1354" s="8">
        <v>6233266.0819004206</v>
      </c>
      <c r="BQ1354" s="8">
        <v>1013268.5803967584</v>
      </c>
      <c r="BR1354" s="8" t="str">
        <v>No</v>
      </c>
    </row>
    <row r="1355" spans="54:70" x14ac:dyDescent="0.2">
      <c r="BB1355" s="94"/>
      <c r="BL1355" s="8">
        <v>1306</v>
      </c>
      <c r="BM1355" s="8">
        <v>1789483.3667102668</v>
      </c>
      <c r="BN1355" s="8">
        <v>0</v>
      </c>
      <c r="BO1355" s="8">
        <v>1789483.3667102668</v>
      </c>
      <c r="BP1355" s="8">
        <v>4261080.2853617407</v>
      </c>
      <c r="BQ1355" s="8">
        <v>2471596.9186514737</v>
      </c>
      <c r="BR1355" s="8" t="str">
        <v>No</v>
      </c>
    </row>
    <row r="1356" spans="54:70" x14ac:dyDescent="0.2">
      <c r="BB1356" s="94"/>
      <c r="BL1356" s="8">
        <v>1307</v>
      </c>
      <c r="BM1356" s="8">
        <v>11382577.712227874</v>
      </c>
      <c r="BN1356" s="8">
        <v>0</v>
      </c>
      <c r="BO1356" s="8">
        <v>11382577.712227874</v>
      </c>
      <c r="BP1356" s="8">
        <v>3285624.1473947936</v>
      </c>
      <c r="BQ1356" s="8">
        <v>-8096953.5648330804</v>
      </c>
      <c r="BR1356" s="8" t="str">
        <v>Yes</v>
      </c>
    </row>
    <row r="1357" spans="54:70" x14ac:dyDescent="0.2">
      <c r="BB1357" s="94"/>
      <c r="BL1357" s="8">
        <v>1308</v>
      </c>
      <c r="BM1357" s="8">
        <v>1591422.0958054769</v>
      </c>
      <c r="BN1357" s="8">
        <v>1332693.387119812</v>
      </c>
      <c r="BO1357" s="8">
        <v>2924115.4829252888</v>
      </c>
      <c r="BP1357" s="8">
        <v>3256024.4858795507</v>
      </c>
      <c r="BQ1357" s="8">
        <v>331909.00295426184</v>
      </c>
      <c r="BR1357" s="8" t="str">
        <v>No</v>
      </c>
    </row>
    <row r="1358" spans="54:70" x14ac:dyDescent="0.2">
      <c r="BB1358" s="94"/>
      <c r="BL1358" s="8">
        <v>1309</v>
      </c>
      <c r="BM1358" s="8">
        <v>2495285.8528842004</v>
      </c>
      <c r="BN1358" s="8">
        <v>0</v>
      </c>
      <c r="BO1358" s="8">
        <v>2495285.8528842004</v>
      </c>
      <c r="BP1358" s="8">
        <v>6700450.9857478216</v>
      </c>
      <c r="BQ1358" s="8">
        <v>4205165.1328636212</v>
      </c>
      <c r="BR1358" s="8" t="str">
        <v>No</v>
      </c>
    </row>
    <row r="1359" spans="54:70" x14ac:dyDescent="0.2">
      <c r="BB1359" s="94"/>
      <c r="BL1359" s="8">
        <v>1310</v>
      </c>
      <c r="BM1359" s="8">
        <v>3706660.8096413659</v>
      </c>
      <c r="BN1359" s="8">
        <v>0</v>
      </c>
      <c r="BO1359" s="8">
        <v>3706660.8096413659</v>
      </c>
      <c r="BP1359" s="8">
        <v>3539226.462395078</v>
      </c>
      <c r="BQ1359" s="8">
        <v>-167434.34724628786</v>
      </c>
      <c r="BR1359" s="8" t="str">
        <v>Yes</v>
      </c>
    </row>
    <row r="1360" spans="54:70" x14ac:dyDescent="0.2">
      <c r="BB1360" s="94"/>
      <c r="BL1360" s="8">
        <v>1311</v>
      </c>
      <c r="BM1360" s="8">
        <v>4304505.0412132796</v>
      </c>
      <c r="BN1360" s="8">
        <v>0</v>
      </c>
      <c r="BO1360" s="8">
        <v>4304505.0412132796</v>
      </c>
      <c r="BP1360" s="8">
        <v>3602500.2796668899</v>
      </c>
      <c r="BQ1360" s="8">
        <v>-702004.76154638967</v>
      </c>
      <c r="BR1360" s="8" t="str">
        <v>Yes</v>
      </c>
    </row>
    <row r="1361" spans="54:70" x14ac:dyDescent="0.2">
      <c r="BB1361" s="94"/>
      <c r="BL1361" s="8">
        <v>1312</v>
      </c>
      <c r="BM1361" s="8">
        <v>4157566.213265745</v>
      </c>
      <c r="BN1361" s="8">
        <v>2321202.5836358783</v>
      </c>
      <c r="BO1361" s="8">
        <v>6478768.7969016228</v>
      </c>
      <c r="BP1361" s="8">
        <v>5613815.3244879423</v>
      </c>
      <c r="BQ1361" s="8">
        <v>-864953.47241368052</v>
      </c>
      <c r="BR1361" s="8" t="str">
        <v>Yes</v>
      </c>
    </row>
    <row r="1362" spans="54:70" x14ac:dyDescent="0.2">
      <c r="BB1362" s="94"/>
      <c r="BL1362" s="8">
        <v>1313</v>
      </c>
      <c r="BM1362" s="8">
        <v>3669497.3787451684</v>
      </c>
      <c r="BN1362" s="8">
        <v>0</v>
      </c>
      <c r="BO1362" s="8">
        <v>3669497.3787451684</v>
      </c>
      <c r="BP1362" s="8">
        <v>3267332.568232947</v>
      </c>
      <c r="BQ1362" s="8">
        <v>-402164.81051222142</v>
      </c>
      <c r="BR1362" s="8" t="str">
        <v>Yes</v>
      </c>
    </row>
    <row r="1363" spans="54:70" x14ac:dyDescent="0.2">
      <c r="BB1363" s="94"/>
      <c r="BL1363" s="8">
        <v>1314</v>
      </c>
      <c r="BM1363" s="8">
        <v>5720497.8634440107</v>
      </c>
      <c r="BN1363" s="8">
        <v>0</v>
      </c>
      <c r="BO1363" s="8">
        <v>5720497.8634440107</v>
      </c>
      <c r="BP1363" s="8">
        <v>6342537.303008981</v>
      </c>
      <c r="BQ1363" s="8">
        <v>622039.43956497032</v>
      </c>
      <c r="BR1363" s="8" t="str">
        <v>No</v>
      </c>
    </row>
    <row r="1364" spans="54:70" x14ac:dyDescent="0.2">
      <c r="BB1364" s="94"/>
      <c r="BL1364" s="8">
        <v>1315</v>
      </c>
      <c r="BM1364" s="8">
        <v>6080027.3929233951</v>
      </c>
      <c r="BN1364" s="8">
        <v>0</v>
      </c>
      <c r="BO1364" s="8">
        <v>6080027.3929233951</v>
      </c>
      <c r="BP1364" s="8">
        <v>6183152.5032880977</v>
      </c>
      <c r="BQ1364" s="8">
        <v>103125.11036470253</v>
      </c>
      <c r="BR1364" s="8" t="str">
        <v>No</v>
      </c>
    </row>
    <row r="1365" spans="54:70" x14ac:dyDescent="0.2">
      <c r="BB1365" s="94"/>
      <c r="BL1365" s="8">
        <v>1316</v>
      </c>
      <c r="BM1365" s="8">
        <v>8214687.6251030145</v>
      </c>
      <c r="BN1365" s="8">
        <v>0</v>
      </c>
      <c r="BO1365" s="8">
        <v>8214687.6251030145</v>
      </c>
      <c r="BP1365" s="8">
        <v>2346538.1226675678</v>
      </c>
      <c r="BQ1365" s="8">
        <v>-5868149.5024354467</v>
      </c>
      <c r="BR1365" s="8" t="str">
        <v>Yes</v>
      </c>
    </row>
    <row r="1366" spans="54:70" x14ac:dyDescent="0.2">
      <c r="BB1366" s="94"/>
      <c r="BL1366" s="8">
        <v>1317</v>
      </c>
      <c r="BM1366" s="8">
        <v>4984939.8221006244</v>
      </c>
      <c r="BN1366" s="8">
        <v>1738474.5559512691</v>
      </c>
      <c r="BO1366" s="8">
        <v>6723414.3780518938</v>
      </c>
      <c r="BP1366" s="8">
        <v>5918017.2518801456</v>
      </c>
      <c r="BQ1366" s="8">
        <v>-805397.12617174815</v>
      </c>
      <c r="BR1366" s="8" t="str">
        <v>Yes</v>
      </c>
    </row>
    <row r="1367" spans="54:70" x14ac:dyDescent="0.2">
      <c r="BB1367" s="94"/>
      <c r="BL1367" s="8">
        <v>1318</v>
      </c>
      <c r="BM1367" s="8">
        <v>4560264.0430681957</v>
      </c>
      <c r="BN1367" s="8">
        <v>3112306.2764304648</v>
      </c>
      <c r="BO1367" s="8">
        <v>7672570.31949866</v>
      </c>
      <c r="BP1367" s="8">
        <v>3552410.4331695046</v>
      </c>
      <c r="BQ1367" s="8">
        <v>-4120159.8863291554</v>
      </c>
      <c r="BR1367" s="8" t="str">
        <v>Yes</v>
      </c>
    </row>
    <row r="1368" spans="54:70" x14ac:dyDescent="0.2">
      <c r="BB1368" s="94"/>
      <c r="BL1368" s="8">
        <v>1319</v>
      </c>
      <c r="BM1368" s="8">
        <v>3730004.3151072217</v>
      </c>
      <c r="BN1368" s="8">
        <v>194754.09796119685</v>
      </c>
      <c r="BO1368" s="8">
        <v>3924758.4130684184</v>
      </c>
      <c r="BP1368" s="8">
        <v>6645219.9649222298</v>
      </c>
      <c r="BQ1368" s="8">
        <v>2720461.5518538114</v>
      </c>
      <c r="BR1368" s="8" t="str">
        <v>No</v>
      </c>
    </row>
    <row r="1369" spans="54:70" x14ac:dyDescent="0.2">
      <c r="BB1369" s="94"/>
      <c r="BL1369" s="8">
        <v>1320</v>
      </c>
      <c r="BM1369" s="8">
        <v>2235721.0863392698</v>
      </c>
      <c r="BN1369" s="8">
        <v>1953213.9672951032</v>
      </c>
      <c r="BO1369" s="8">
        <v>4188935.053634373</v>
      </c>
      <c r="BP1369" s="8">
        <v>2344746.4802190932</v>
      </c>
      <c r="BQ1369" s="8">
        <v>-1844188.5734152799</v>
      </c>
      <c r="BR1369" s="8" t="str">
        <v>Yes</v>
      </c>
    </row>
    <row r="1370" spans="54:70" x14ac:dyDescent="0.2">
      <c r="BB1370" s="94"/>
      <c r="BL1370" s="8">
        <v>1321</v>
      </c>
      <c r="BM1370" s="8">
        <v>2706366.3983696755</v>
      </c>
      <c r="BN1370" s="8">
        <v>0</v>
      </c>
      <c r="BO1370" s="8">
        <v>2706366.3983696755</v>
      </c>
      <c r="BP1370" s="8">
        <v>2283713.0409309035</v>
      </c>
      <c r="BQ1370" s="8">
        <v>-422653.35743877199</v>
      </c>
      <c r="BR1370" s="8" t="str">
        <v>Yes</v>
      </c>
    </row>
    <row r="1371" spans="54:70" x14ac:dyDescent="0.2">
      <c r="BB1371" s="94"/>
      <c r="BL1371" s="8">
        <v>1322</v>
      </c>
      <c r="BM1371" s="8">
        <v>2883188.095682682</v>
      </c>
      <c r="BN1371" s="8">
        <v>2228632.8636654783</v>
      </c>
      <c r="BO1371" s="8">
        <v>5111820.9593481608</v>
      </c>
      <c r="BP1371" s="8">
        <v>3483303.722117885</v>
      </c>
      <c r="BQ1371" s="8">
        <v>-1628517.2372302758</v>
      </c>
      <c r="BR1371" s="8" t="str">
        <v>Yes</v>
      </c>
    </row>
    <row r="1372" spans="54:70" x14ac:dyDescent="0.2">
      <c r="BB1372" s="94"/>
      <c r="BL1372" s="8">
        <v>1323</v>
      </c>
      <c r="BM1372" s="8">
        <v>6012397.7841990897</v>
      </c>
      <c r="BN1372" s="8">
        <v>0</v>
      </c>
      <c r="BO1372" s="8">
        <v>6012397.7841990897</v>
      </c>
      <c r="BP1372" s="8">
        <v>3440675.7997982237</v>
      </c>
      <c r="BQ1372" s="8">
        <v>-2571721.9844008661</v>
      </c>
      <c r="BR1372" s="8" t="str">
        <v>Yes</v>
      </c>
    </row>
    <row r="1373" spans="54:70" x14ac:dyDescent="0.2">
      <c r="BB1373" s="94"/>
      <c r="BL1373" s="8">
        <v>1324</v>
      </c>
      <c r="BM1373" s="8">
        <v>3459605.989216059</v>
      </c>
      <c r="BN1373" s="8">
        <v>2575846.4868560494</v>
      </c>
      <c r="BO1373" s="8">
        <v>6035452.4760721084</v>
      </c>
      <c r="BP1373" s="8">
        <v>3994561.6341267219</v>
      </c>
      <c r="BQ1373" s="8">
        <v>-2040890.8419453865</v>
      </c>
      <c r="BR1373" s="8" t="str">
        <v>Yes</v>
      </c>
    </row>
    <row r="1374" spans="54:70" x14ac:dyDescent="0.2">
      <c r="BB1374" s="94"/>
      <c r="BL1374" s="8">
        <v>1325</v>
      </c>
      <c r="BM1374" s="8">
        <v>4111042.8620468364</v>
      </c>
      <c r="BN1374" s="8">
        <v>0</v>
      </c>
      <c r="BO1374" s="8">
        <v>4111042.8620468364</v>
      </c>
      <c r="BP1374" s="8">
        <v>4113393.9716917677</v>
      </c>
      <c r="BQ1374" s="8">
        <v>2351.1096449312754</v>
      </c>
      <c r="BR1374" s="8" t="str">
        <v>No</v>
      </c>
    </row>
    <row r="1375" spans="54:70" x14ac:dyDescent="0.2">
      <c r="BB1375" s="94"/>
      <c r="BL1375" s="8">
        <v>1326</v>
      </c>
      <c r="BM1375" s="8">
        <v>4136191.1870475034</v>
      </c>
      <c r="BN1375" s="8">
        <v>0</v>
      </c>
      <c r="BO1375" s="8">
        <v>4136191.1870475034</v>
      </c>
      <c r="BP1375" s="8">
        <v>3284929.3767502569</v>
      </c>
      <c r="BQ1375" s="8">
        <v>-851261.81029724656</v>
      </c>
      <c r="BR1375" s="8" t="str">
        <v>Yes</v>
      </c>
    </row>
    <row r="1376" spans="54:70" x14ac:dyDescent="0.2">
      <c r="BB1376" s="94"/>
      <c r="BL1376" s="8">
        <v>1327</v>
      </c>
      <c r="BM1376" s="8">
        <v>4674065.6799159124</v>
      </c>
      <c r="BN1376" s="8">
        <v>0</v>
      </c>
      <c r="BO1376" s="8">
        <v>4674065.6799159124</v>
      </c>
      <c r="BP1376" s="8">
        <v>6243093.1360338172</v>
      </c>
      <c r="BQ1376" s="8">
        <v>1569027.4561179047</v>
      </c>
      <c r="BR1376" s="8" t="str">
        <v>No</v>
      </c>
    </row>
    <row r="1377" spans="54:70" x14ac:dyDescent="0.2">
      <c r="BB1377" s="94"/>
      <c r="BL1377" s="8">
        <v>1328</v>
      </c>
      <c r="BM1377" s="8">
        <v>5002077.024551101</v>
      </c>
      <c r="BN1377" s="8">
        <v>0</v>
      </c>
      <c r="BO1377" s="8">
        <v>5002077.024551101</v>
      </c>
      <c r="BP1377" s="8">
        <v>4303524.8129252372</v>
      </c>
      <c r="BQ1377" s="8">
        <v>-698552.2116258638</v>
      </c>
      <c r="BR1377" s="8" t="str">
        <v>Yes</v>
      </c>
    </row>
    <row r="1378" spans="54:70" x14ac:dyDescent="0.2">
      <c r="BB1378" s="94"/>
      <c r="BL1378" s="8">
        <v>1329</v>
      </c>
      <c r="BM1378" s="8">
        <v>4255504.5015064199</v>
      </c>
      <c r="BN1378" s="8">
        <v>2751206.3724488365</v>
      </c>
      <c r="BO1378" s="8">
        <v>7006710.8739552563</v>
      </c>
      <c r="BP1378" s="8">
        <v>4207700.0416433979</v>
      </c>
      <c r="BQ1378" s="8">
        <v>-2799010.8323118584</v>
      </c>
      <c r="BR1378" s="8" t="str">
        <v>Yes</v>
      </c>
    </row>
    <row r="1379" spans="54:70" x14ac:dyDescent="0.2">
      <c r="BB1379" s="94"/>
      <c r="BL1379" s="8">
        <v>1330</v>
      </c>
      <c r="BM1379" s="8">
        <v>4262926.5472475914</v>
      </c>
      <c r="BN1379" s="8">
        <v>0</v>
      </c>
      <c r="BO1379" s="8">
        <v>4262926.5472475914</v>
      </c>
      <c r="BP1379" s="8">
        <v>4526295.3751016716</v>
      </c>
      <c r="BQ1379" s="8">
        <v>263368.82785408013</v>
      </c>
      <c r="BR1379" s="8" t="str">
        <v>No</v>
      </c>
    </row>
    <row r="1380" spans="54:70" x14ac:dyDescent="0.2">
      <c r="BB1380" s="94"/>
      <c r="BL1380" s="8">
        <v>1331</v>
      </c>
      <c r="BM1380" s="8">
        <v>3417518.6241753995</v>
      </c>
      <c r="BN1380" s="8">
        <v>0</v>
      </c>
      <c r="BO1380" s="8">
        <v>3417518.6241753995</v>
      </c>
      <c r="BP1380" s="8">
        <v>6464691.6368937502</v>
      </c>
      <c r="BQ1380" s="8">
        <v>3047173.0127183506</v>
      </c>
      <c r="BR1380" s="8" t="str">
        <v>No</v>
      </c>
    </row>
    <row r="1381" spans="54:70" x14ac:dyDescent="0.2">
      <c r="BB1381" s="94"/>
      <c r="BL1381" s="8">
        <v>1332</v>
      </c>
      <c r="BM1381" s="8">
        <v>8962103.0525730681</v>
      </c>
      <c r="BN1381" s="8">
        <v>9830397.5710693747</v>
      </c>
      <c r="BO1381" s="8">
        <v>18792500.623642445</v>
      </c>
      <c r="BP1381" s="8">
        <v>6876311.0195203014</v>
      </c>
      <c r="BQ1381" s="8">
        <v>-11916189.604122143</v>
      </c>
      <c r="BR1381" s="8" t="str">
        <v>Yes</v>
      </c>
    </row>
    <row r="1382" spans="54:70" x14ac:dyDescent="0.2">
      <c r="BB1382" s="94"/>
      <c r="BL1382" s="8">
        <v>1333</v>
      </c>
      <c r="BM1382" s="8">
        <v>2855269.8652671445</v>
      </c>
      <c r="BN1382" s="8">
        <v>0</v>
      </c>
      <c r="BO1382" s="8">
        <v>2855269.8652671445</v>
      </c>
      <c r="BP1382" s="8">
        <v>4032726.0571788843</v>
      </c>
      <c r="BQ1382" s="8">
        <v>1177456.1919117398</v>
      </c>
      <c r="BR1382" s="8" t="str">
        <v>No</v>
      </c>
    </row>
    <row r="1383" spans="54:70" x14ac:dyDescent="0.2">
      <c r="BB1383" s="94"/>
      <c r="BL1383" s="8">
        <v>1334</v>
      </c>
      <c r="BM1383" s="8">
        <v>1987146.5822359438</v>
      </c>
      <c r="BN1383" s="8">
        <v>0</v>
      </c>
      <c r="BO1383" s="8">
        <v>1987146.5822359438</v>
      </c>
      <c r="BP1383" s="8">
        <v>3046920.6831153813</v>
      </c>
      <c r="BQ1383" s="8">
        <v>1059774.1008794375</v>
      </c>
      <c r="BR1383" s="8" t="str">
        <v>No</v>
      </c>
    </row>
    <row r="1384" spans="54:70" x14ac:dyDescent="0.2">
      <c r="BB1384" s="94"/>
      <c r="BL1384" s="8">
        <v>1335</v>
      </c>
      <c r="BM1384" s="8">
        <v>4232408.4772866191</v>
      </c>
      <c r="BN1384" s="8">
        <v>0</v>
      </c>
      <c r="BO1384" s="8">
        <v>4232408.4772866191</v>
      </c>
      <c r="BP1384" s="8">
        <v>3458573.3901151405</v>
      </c>
      <c r="BQ1384" s="8">
        <v>-773835.08717147866</v>
      </c>
      <c r="BR1384" s="8" t="str">
        <v>Yes</v>
      </c>
    </row>
    <row r="1385" spans="54:70" x14ac:dyDescent="0.2">
      <c r="BB1385" s="94"/>
      <c r="BL1385" s="8">
        <v>1336</v>
      </c>
      <c r="BM1385" s="8">
        <v>9122963.9429756682</v>
      </c>
      <c r="BN1385" s="8">
        <v>0</v>
      </c>
      <c r="BO1385" s="8">
        <v>9122963.9429756682</v>
      </c>
      <c r="BP1385" s="8">
        <v>6265738.615011475</v>
      </c>
      <c r="BQ1385" s="8">
        <v>-2857225.3279641932</v>
      </c>
      <c r="BR1385" s="8" t="str">
        <v>Yes</v>
      </c>
    </row>
    <row r="1386" spans="54:70" x14ac:dyDescent="0.2">
      <c r="BB1386" s="94"/>
      <c r="BL1386" s="8">
        <v>1337</v>
      </c>
      <c r="BM1386" s="8">
        <v>5807757.7806341536</v>
      </c>
      <c r="BN1386" s="8">
        <v>0</v>
      </c>
      <c r="BO1386" s="8">
        <v>5807757.7806341536</v>
      </c>
      <c r="BP1386" s="8">
        <v>4319337.0651496639</v>
      </c>
      <c r="BQ1386" s="8">
        <v>-1488420.7154844897</v>
      </c>
      <c r="BR1386" s="8" t="str">
        <v>Yes</v>
      </c>
    </row>
    <row r="1387" spans="54:70" x14ac:dyDescent="0.2">
      <c r="BB1387" s="94"/>
      <c r="BL1387" s="8">
        <v>1338</v>
      </c>
      <c r="BM1387" s="8">
        <v>4317952.8211648744</v>
      </c>
      <c r="BN1387" s="8">
        <v>0</v>
      </c>
      <c r="BO1387" s="8">
        <v>4317952.8211648744</v>
      </c>
      <c r="BP1387" s="8">
        <v>6474716.8086344153</v>
      </c>
      <c r="BQ1387" s="8">
        <v>2156763.9874695409</v>
      </c>
      <c r="BR1387" s="8" t="str">
        <v>No</v>
      </c>
    </row>
    <row r="1388" spans="54:70" x14ac:dyDescent="0.2">
      <c r="BB1388" s="94"/>
      <c r="BL1388" s="8">
        <v>1339</v>
      </c>
      <c r="BM1388" s="8">
        <v>2776594.5594074605</v>
      </c>
      <c r="BN1388" s="8">
        <v>0</v>
      </c>
      <c r="BO1388" s="8">
        <v>2776594.5594074605</v>
      </c>
      <c r="BP1388" s="8">
        <v>4496198.5478690723</v>
      </c>
      <c r="BQ1388" s="8">
        <v>1719603.9884616118</v>
      </c>
      <c r="BR1388" s="8" t="str">
        <v>No</v>
      </c>
    </row>
    <row r="1389" spans="54:70" x14ac:dyDescent="0.2">
      <c r="BB1389" s="94"/>
      <c r="BL1389" s="8">
        <v>1340</v>
      </c>
      <c r="BM1389" s="8">
        <v>2556005.9710214632</v>
      </c>
      <c r="BN1389" s="8">
        <v>1230160.946027284</v>
      </c>
      <c r="BO1389" s="8">
        <v>3786166.9170487472</v>
      </c>
      <c r="BP1389" s="8">
        <v>6554825.2508954201</v>
      </c>
      <c r="BQ1389" s="8">
        <v>2768658.3338466729</v>
      </c>
      <c r="BR1389" s="8" t="str">
        <v>No</v>
      </c>
    </row>
    <row r="1390" spans="54:70" x14ac:dyDescent="0.2">
      <c r="BB1390" s="94"/>
      <c r="BL1390" s="8">
        <v>1341</v>
      </c>
      <c r="BM1390" s="8">
        <v>4905294.2079281658</v>
      </c>
      <c r="BN1390" s="8">
        <v>5171634.8910229364</v>
      </c>
      <c r="BO1390" s="8">
        <v>10076929.098951101</v>
      </c>
      <c r="BP1390" s="8">
        <v>6540495.7705145096</v>
      </c>
      <c r="BQ1390" s="8">
        <v>-3536433.3284365917</v>
      </c>
      <c r="BR1390" s="8" t="str">
        <v>Yes</v>
      </c>
    </row>
    <row r="1391" spans="54:70" x14ac:dyDescent="0.2">
      <c r="BB1391" s="94"/>
      <c r="BL1391" s="8">
        <v>1342</v>
      </c>
      <c r="BM1391" s="8">
        <v>6454825.690490691</v>
      </c>
      <c r="BN1391" s="8">
        <v>4183496.0451522921</v>
      </c>
      <c r="BO1391" s="8">
        <v>10638321.735642983</v>
      </c>
      <c r="BP1391" s="8">
        <v>5362162.5414761975</v>
      </c>
      <c r="BQ1391" s="8">
        <v>-5276159.1941667851</v>
      </c>
      <c r="BR1391" s="8" t="str">
        <v>Yes</v>
      </c>
    </row>
    <row r="1392" spans="54:70" x14ac:dyDescent="0.2">
      <c r="BB1392" s="94"/>
      <c r="BL1392" s="8">
        <v>1343</v>
      </c>
      <c r="BM1392" s="8">
        <v>1702455.6732850699</v>
      </c>
      <c r="BN1392" s="8">
        <v>-3732.610466575592</v>
      </c>
      <c r="BO1392" s="8">
        <v>1698723.0628184944</v>
      </c>
      <c r="BP1392" s="8">
        <v>6821274.6157556232</v>
      </c>
      <c r="BQ1392" s="8">
        <v>5122551.5529371286</v>
      </c>
      <c r="BR1392" s="8" t="str">
        <v>No</v>
      </c>
    </row>
    <row r="1393" spans="54:70" x14ac:dyDescent="0.2">
      <c r="BB1393" s="94"/>
      <c r="BL1393" s="8">
        <v>1344</v>
      </c>
      <c r="BM1393" s="8">
        <v>3395654.0393007221</v>
      </c>
      <c r="BN1393" s="8">
        <v>4072502.8920513643</v>
      </c>
      <c r="BO1393" s="8">
        <v>7468156.9313520864</v>
      </c>
      <c r="BP1393" s="8">
        <v>2350319.1279109842</v>
      </c>
      <c r="BQ1393" s="8">
        <v>-5117837.8034411017</v>
      </c>
      <c r="BR1393" s="8" t="str">
        <v>Yes</v>
      </c>
    </row>
    <row r="1394" spans="54:70" x14ac:dyDescent="0.2">
      <c r="BB1394" s="94"/>
      <c r="BL1394" s="8">
        <v>1345</v>
      </c>
      <c r="BM1394" s="8">
        <v>3014438.3369736141</v>
      </c>
      <c r="BN1394" s="8">
        <v>1666086.1896881538</v>
      </c>
      <c r="BO1394" s="8">
        <v>4680524.5266617676</v>
      </c>
      <c r="BP1394" s="8">
        <v>6426410.1651866576</v>
      </c>
      <c r="BQ1394" s="8">
        <v>1745885.6385248899</v>
      </c>
      <c r="BR1394" s="8" t="str">
        <v>No</v>
      </c>
    </row>
    <row r="1395" spans="54:70" x14ac:dyDescent="0.2">
      <c r="BB1395" s="94"/>
      <c r="BL1395" s="8">
        <v>1346</v>
      </c>
      <c r="BM1395" s="8">
        <v>6064206.6203567302</v>
      </c>
      <c r="BN1395" s="8">
        <v>0</v>
      </c>
      <c r="BO1395" s="8">
        <v>6064206.6203567302</v>
      </c>
      <c r="BP1395" s="8">
        <v>3438811.4323846716</v>
      </c>
      <c r="BQ1395" s="8">
        <v>-2625395.1879720585</v>
      </c>
      <c r="BR1395" s="8" t="str">
        <v>Yes</v>
      </c>
    </row>
    <row r="1396" spans="54:70" x14ac:dyDescent="0.2">
      <c r="BB1396" s="94"/>
      <c r="BL1396" s="8">
        <v>1347</v>
      </c>
      <c r="BM1396" s="8">
        <v>5593261.1441745944</v>
      </c>
      <c r="BN1396" s="8">
        <v>0</v>
      </c>
      <c r="BO1396" s="8">
        <v>5593261.1441745944</v>
      </c>
      <c r="BP1396" s="8">
        <v>3290110.4243062893</v>
      </c>
      <c r="BQ1396" s="8">
        <v>-2303150.7198683051</v>
      </c>
      <c r="BR1396" s="8" t="str">
        <v>Yes</v>
      </c>
    </row>
    <row r="1397" spans="54:70" x14ac:dyDescent="0.2">
      <c r="BB1397" s="94"/>
      <c r="BL1397" s="8">
        <v>1348</v>
      </c>
      <c r="BM1397" s="8">
        <v>3468073.6784549481</v>
      </c>
      <c r="BN1397" s="8">
        <v>2077598.110210317</v>
      </c>
      <c r="BO1397" s="8">
        <v>5545671.7886652648</v>
      </c>
      <c r="BP1397" s="8">
        <v>2273289.2216827585</v>
      </c>
      <c r="BQ1397" s="8">
        <v>-3272382.5669825063</v>
      </c>
      <c r="BR1397" s="8" t="str">
        <v>Yes</v>
      </c>
    </row>
    <row r="1398" spans="54:70" x14ac:dyDescent="0.2">
      <c r="BB1398" s="94"/>
      <c r="BL1398" s="8">
        <v>1349</v>
      </c>
      <c r="BM1398" s="8">
        <v>3267147.9445188381</v>
      </c>
      <c r="BN1398" s="8">
        <v>0</v>
      </c>
      <c r="BO1398" s="8">
        <v>3267147.9445188381</v>
      </c>
      <c r="BP1398" s="8">
        <v>6184155.3383348081</v>
      </c>
      <c r="BQ1398" s="8">
        <v>2917007.39381597</v>
      </c>
      <c r="BR1398" s="8" t="str">
        <v>No</v>
      </c>
    </row>
    <row r="1399" spans="54:70" x14ac:dyDescent="0.2">
      <c r="BB1399" s="94"/>
      <c r="BL1399" s="8">
        <v>1350</v>
      </c>
      <c r="BM1399" s="8">
        <v>4533128.8396534314</v>
      </c>
      <c r="BN1399" s="8">
        <v>0</v>
      </c>
      <c r="BO1399" s="8">
        <v>4533128.8396534314</v>
      </c>
      <c r="BP1399" s="8">
        <v>2084069.6303426153</v>
      </c>
      <c r="BQ1399" s="8">
        <v>-2449059.2093108161</v>
      </c>
      <c r="BR1399" s="8" t="str">
        <v>Yes</v>
      </c>
    </row>
    <row r="1400" spans="54:70" x14ac:dyDescent="0.2">
      <c r="BB1400" s="94"/>
      <c r="BL1400" s="8">
        <v>1351</v>
      </c>
      <c r="BM1400" s="8">
        <v>2485397.3506649854</v>
      </c>
      <c r="BN1400" s="8">
        <v>0</v>
      </c>
      <c r="BO1400" s="8">
        <v>2485397.3506649854</v>
      </c>
      <c r="BP1400" s="8">
        <v>6759817.1795020122</v>
      </c>
      <c r="BQ1400" s="8">
        <v>4274419.8288370268</v>
      </c>
      <c r="BR1400" s="8" t="str">
        <v>No</v>
      </c>
    </row>
    <row r="1401" spans="54:70" x14ac:dyDescent="0.2">
      <c r="BB1401" s="94"/>
      <c r="BL1401" s="8">
        <v>1352</v>
      </c>
      <c r="BM1401" s="8">
        <v>3886993.7295249505</v>
      </c>
      <c r="BN1401" s="8">
        <v>0</v>
      </c>
      <c r="BO1401" s="8">
        <v>3886993.7295249505</v>
      </c>
      <c r="BP1401" s="8">
        <v>6477533.2298482498</v>
      </c>
      <c r="BQ1401" s="8">
        <v>2590539.5003232993</v>
      </c>
      <c r="BR1401" s="8" t="str">
        <v>No</v>
      </c>
    </row>
    <row r="1402" spans="54:70" x14ac:dyDescent="0.2">
      <c r="BB1402" s="94"/>
      <c r="BL1402" s="8">
        <v>1353</v>
      </c>
      <c r="BM1402" s="8">
        <v>2967714.1261643502</v>
      </c>
      <c r="BN1402" s="8">
        <v>0</v>
      </c>
      <c r="BO1402" s="8">
        <v>2967714.1261643502</v>
      </c>
      <c r="BP1402" s="8">
        <v>3476013.9738661111</v>
      </c>
      <c r="BQ1402" s="8">
        <v>508299.84770176094</v>
      </c>
      <c r="BR1402" s="8" t="str">
        <v>No</v>
      </c>
    </row>
    <row r="1403" spans="54:70" x14ac:dyDescent="0.2">
      <c r="BB1403" s="94"/>
      <c r="BL1403" s="8">
        <v>1354</v>
      </c>
      <c r="BM1403" s="8">
        <v>5838968.5567633957</v>
      </c>
      <c r="BN1403" s="8">
        <v>0</v>
      </c>
      <c r="BO1403" s="8">
        <v>5838968.5567633957</v>
      </c>
      <c r="BP1403" s="8">
        <v>6732107.9180181008</v>
      </c>
      <c r="BQ1403" s="8">
        <v>893139.36125470512</v>
      </c>
      <c r="BR1403" s="8" t="str">
        <v>No</v>
      </c>
    </row>
    <row r="1404" spans="54:70" x14ac:dyDescent="0.2">
      <c r="BB1404" s="94"/>
      <c r="BL1404" s="8">
        <v>1355</v>
      </c>
      <c r="BM1404" s="8">
        <v>4301595.5237257555</v>
      </c>
      <c r="BN1404" s="8">
        <v>6316403.5164802177</v>
      </c>
      <c r="BO1404" s="8">
        <v>10617999.040205974</v>
      </c>
      <c r="BP1404" s="8">
        <v>3451917.6772879935</v>
      </c>
      <c r="BQ1404" s="8">
        <v>-7166081.3629179802</v>
      </c>
      <c r="BR1404" s="8" t="str">
        <v>Yes</v>
      </c>
    </row>
    <row r="1405" spans="54:70" x14ac:dyDescent="0.2">
      <c r="BB1405" s="94"/>
      <c r="BL1405" s="8">
        <v>1356</v>
      </c>
      <c r="BM1405" s="8">
        <v>10551708.128325995</v>
      </c>
      <c r="BN1405" s="8">
        <v>0</v>
      </c>
      <c r="BO1405" s="8">
        <v>10551708.128325995</v>
      </c>
      <c r="BP1405" s="8">
        <v>3500072.2447312572</v>
      </c>
      <c r="BQ1405" s="8">
        <v>-7051635.8835947383</v>
      </c>
      <c r="BR1405" s="8" t="str">
        <v>Yes</v>
      </c>
    </row>
    <row r="1406" spans="54:70" x14ac:dyDescent="0.2">
      <c r="BB1406" s="94"/>
      <c r="BL1406" s="8">
        <v>1357</v>
      </c>
      <c r="BM1406" s="8">
        <v>3774151.5375907579</v>
      </c>
      <c r="BN1406" s="8">
        <v>0</v>
      </c>
      <c r="BO1406" s="8">
        <v>3774151.5375907579</v>
      </c>
      <c r="BP1406" s="8">
        <v>4958572.3212947855</v>
      </c>
      <c r="BQ1406" s="8">
        <v>1184420.7837040275</v>
      </c>
      <c r="BR1406" s="8" t="str">
        <v>No</v>
      </c>
    </row>
    <row r="1407" spans="54:70" x14ac:dyDescent="0.2">
      <c r="BB1407" s="94"/>
      <c r="BL1407" s="8">
        <v>1358</v>
      </c>
      <c r="BM1407" s="8">
        <v>3547581.3857508078</v>
      </c>
      <c r="BN1407" s="8">
        <v>2241223.4303672817</v>
      </c>
      <c r="BO1407" s="8">
        <v>5788804.8161180895</v>
      </c>
      <c r="BP1407" s="8">
        <v>4460944.8167742956</v>
      </c>
      <c r="BQ1407" s="8">
        <v>-1327859.9993437938</v>
      </c>
      <c r="BR1407" s="8" t="str">
        <v>Yes</v>
      </c>
    </row>
    <row r="1408" spans="54:70" x14ac:dyDescent="0.2">
      <c r="BB1408" s="94"/>
      <c r="BL1408" s="8">
        <v>1359</v>
      </c>
      <c r="BM1408" s="8">
        <v>1460927.0562061118</v>
      </c>
      <c r="BN1408" s="8">
        <v>-386405.00628327014</v>
      </c>
      <c r="BO1408" s="8">
        <v>1074522.0499228416</v>
      </c>
      <c r="BP1408" s="8">
        <v>6127737.0372127304</v>
      </c>
      <c r="BQ1408" s="8">
        <v>5053214.9872898888</v>
      </c>
      <c r="BR1408" s="8" t="str">
        <v>No</v>
      </c>
    </row>
    <row r="1409" spans="54:70" x14ac:dyDescent="0.2">
      <c r="BB1409" s="94"/>
      <c r="BL1409" s="8">
        <v>1360</v>
      </c>
      <c r="BM1409" s="8">
        <v>3593437.8833029643</v>
      </c>
      <c r="BN1409" s="8">
        <v>0</v>
      </c>
      <c r="BO1409" s="8">
        <v>3593437.8833029643</v>
      </c>
      <c r="BP1409" s="8">
        <v>6239705.3973013489</v>
      </c>
      <c r="BQ1409" s="8">
        <v>2646267.5139983846</v>
      </c>
      <c r="BR1409" s="8" t="str">
        <v>No</v>
      </c>
    </row>
    <row r="1410" spans="54:70" x14ac:dyDescent="0.2">
      <c r="BB1410" s="94"/>
      <c r="BL1410" s="8">
        <v>1361</v>
      </c>
      <c r="BM1410" s="8">
        <v>6103768.4380167369</v>
      </c>
      <c r="BN1410" s="8">
        <v>6644151.6262188712</v>
      </c>
      <c r="BO1410" s="8">
        <v>12747920.064235609</v>
      </c>
      <c r="BP1410" s="8">
        <v>4392073.0140120378</v>
      </c>
      <c r="BQ1410" s="8">
        <v>-8355847.0502235712</v>
      </c>
      <c r="BR1410" s="8" t="str">
        <v>Yes</v>
      </c>
    </row>
    <row r="1411" spans="54:70" x14ac:dyDescent="0.2">
      <c r="BB1411" s="94"/>
      <c r="BL1411" s="8">
        <v>1362</v>
      </c>
      <c r="BM1411" s="8">
        <v>2569049.8347119489</v>
      </c>
      <c r="BN1411" s="8">
        <v>0</v>
      </c>
      <c r="BO1411" s="8">
        <v>2569049.8347119489</v>
      </c>
      <c r="BP1411" s="8">
        <v>4656733.0158066209</v>
      </c>
      <c r="BQ1411" s="8">
        <v>2087683.1810946721</v>
      </c>
      <c r="BR1411" s="8" t="str">
        <v>No</v>
      </c>
    </row>
    <row r="1412" spans="54:70" x14ac:dyDescent="0.2">
      <c r="BB1412" s="94"/>
      <c r="BL1412" s="8">
        <v>1363</v>
      </c>
      <c r="BM1412" s="8">
        <v>2587212.4956248933</v>
      </c>
      <c r="BN1412" s="8">
        <v>2335627.8018073756</v>
      </c>
      <c r="BO1412" s="8">
        <v>4922840.297432269</v>
      </c>
      <c r="BP1412" s="8">
        <v>3105167.5563044026</v>
      </c>
      <c r="BQ1412" s="8">
        <v>-1817672.7411278663</v>
      </c>
      <c r="BR1412" s="8" t="str">
        <v>Yes</v>
      </c>
    </row>
    <row r="1413" spans="54:70" x14ac:dyDescent="0.2">
      <c r="BB1413" s="94"/>
      <c r="BL1413" s="8">
        <v>1364</v>
      </c>
      <c r="BM1413" s="8">
        <v>6616225.3485533744</v>
      </c>
      <c r="BN1413" s="8">
        <v>0</v>
      </c>
      <c r="BO1413" s="8">
        <v>6616225.3485533744</v>
      </c>
      <c r="BP1413" s="8">
        <v>4033504.0647295793</v>
      </c>
      <c r="BQ1413" s="8">
        <v>-2582721.2838237952</v>
      </c>
      <c r="BR1413" s="8" t="str">
        <v>Yes</v>
      </c>
    </row>
    <row r="1414" spans="54:70" x14ac:dyDescent="0.2">
      <c r="BB1414" s="94"/>
      <c r="BL1414" s="8">
        <v>1365</v>
      </c>
      <c r="BM1414" s="8">
        <v>8524339.7308602333</v>
      </c>
      <c r="BN1414" s="8">
        <v>7280046.6458510607</v>
      </c>
      <c r="BO1414" s="8">
        <v>15804386.376711294</v>
      </c>
      <c r="BP1414" s="8">
        <v>4611772.8671748731</v>
      </c>
      <c r="BQ1414" s="8">
        <v>-11192613.509536421</v>
      </c>
      <c r="BR1414" s="8" t="str">
        <v>Yes</v>
      </c>
    </row>
    <row r="1415" spans="54:70" x14ac:dyDescent="0.2">
      <c r="BB1415" s="94"/>
      <c r="BL1415" s="8">
        <v>1366</v>
      </c>
      <c r="BM1415" s="8">
        <v>2363522.5764843449</v>
      </c>
      <c r="BN1415" s="8">
        <v>520665.69974816893</v>
      </c>
      <c r="BO1415" s="8">
        <v>2884188.2762325136</v>
      </c>
      <c r="BP1415" s="8">
        <v>3252854.4934065677</v>
      </c>
      <c r="BQ1415" s="8">
        <v>368666.21717405412</v>
      </c>
      <c r="BR1415" s="8" t="str">
        <v>No</v>
      </c>
    </row>
    <row r="1416" spans="54:70" x14ac:dyDescent="0.2">
      <c r="BB1416" s="94"/>
      <c r="BL1416" s="8">
        <v>1367</v>
      </c>
      <c r="BM1416" s="8">
        <v>2873645.1998410802</v>
      </c>
      <c r="BN1416" s="8">
        <v>3876853.5163642708</v>
      </c>
      <c r="BO1416" s="8">
        <v>6750498.7162053511</v>
      </c>
      <c r="BP1416" s="8">
        <v>3189766.9027591948</v>
      </c>
      <c r="BQ1416" s="8">
        <v>-3560731.8134461562</v>
      </c>
      <c r="BR1416" s="8" t="str">
        <v>Yes</v>
      </c>
    </row>
    <row r="1417" spans="54:70" x14ac:dyDescent="0.2">
      <c r="BB1417" s="94"/>
      <c r="BL1417" s="8">
        <v>1368</v>
      </c>
      <c r="BM1417" s="8">
        <v>2144351.319726612</v>
      </c>
      <c r="BN1417" s="8">
        <v>0</v>
      </c>
      <c r="BO1417" s="8">
        <v>2144351.319726612</v>
      </c>
      <c r="BP1417" s="8">
        <v>6363824.9270908553</v>
      </c>
      <c r="BQ1417" s="8">
        <v>4219473.6073642429</v>
      </c>
      <c r="BR1417" s="8" t="str">
        <v>No</v>
      </c>
    </row>
    <row r="1418" spans="54:70" x14ac:dyDescent="0.2">
      <c r="BB1418" s="94"/>
      <c r="BL1418" s="8">
        <v>1369</v>
      </c>
      <c r="BM1418" s="8">
        <v>4815048.5286943018</v>
      </c>
      <c r="BN1418" s="8">
        <v>0</v>
      </c>
      <c r="BO1418" s="8">
        <v>4815048.5286943018</v>
      </c>
      <c r="BP1418" s="8">
        <v>3677498.871268875</v>
      </c>
      <c r="BQ1418" s="8">
        <v>-1137549.6574254269</v>
      </c>
      <c r="BR1418" s="8" t="str">
        <v>Yes</v>
      </c>
    </row>
    <row r="1419" spans="54:70" x14ac:dyDescent="0.2">
      <c r="BB1419" s="94"/>
      <c r="BL1419" s="8">
        <v>1370</v>
      </c>
      <c r="BM1419" s="8">
        <v>4783082.4219919471</v>
      </c>
      <c r="BN1419" s="8">
        <v>0</v>
      </c>
      <c r="BO1419" s="8">
        <v>4783082.4219919471</v>
      </c>
      <c r="BP1419" s="8">
        <v>5977810.834400557</v>
      </c>
      <c r="BQ1419" s="8">
        <v>1194728.4124086099</v>
      </c>
      <c r="BR1419" s="8" t="str">
        <v>No</v>
      </c>
    </row>
    <row r="1420" spans="54:70" x14ac:dyDescent="0.2">
      <c r="BB1420" s="94"/>
      <c r="BL1420" s="8">
        <v>1371</v>
      </c>
      <c r="BM1420" s="8">
        <v>1815771.5008147438</v>
      </c>
      <c r="BN1420" s="8">
        <v>2083068.696971504</v>
      </c>
      <c r="BO1420" s="8">
        <v>3898840.1977862478</v>
      </c>
      <c r="BP1420" s="8">
        <v>2202787.6079721763</v>
      </c>
      <c r="BQ1420" s="8">
        <v>-1696052.5898140715</v>
      </c>
      <c r="BR1420" s="8" t="str">
        <v>Yes</v>
      </c>
    </row>
    <row r="1421" spans="54:70" x14ac:dyDescent="0.2">
      <c r="BB1421" s="94"/>
      <c r="BL1421" s="8">
        <v>1372</v>
      </c>
      <c r="BM1421" s="8">
        <v>2283588.4149306044</v>
      </c>
      <c r="BN1421" s="8">
        <v>0</v>
      </c>
      <c r="BO1421" s="8">
        <v>2283588.4149306044</v>
      </c>
      <c r="BP1421" s="8">
        <v>6293835.3485821942</v>
      </c>
      <c r="BQ1421" s="8">
        <v>4010246.9336515898</v>
      </c>
      <c r="BR1421" s="8" t="str">
        <v>No</v>
      </c>
    </row>
    <row r="1422" spans="54:70" x14ac:dyDescent="0.2">
      <c r="BB1422" s="94"/>
      <c r="BL1422" s="8">
        <v>1373</v>
      </c>
      <c r="BM1422" s="8">
        <v>4196000.1809846759</v>
      </c>
      <c r="BN1422" s="8">
        <v>0</v>
      </c>
      <c r="BO1422" s="8">
        <v>4196000.1809846759</v>
      </c>
      <c r="BP1422" s="8">
        <v>2411279.01973987</v>
      </c>
      <c r="BQ1422" s="8">
        <v>-1784721.1612448059</v>
      </c>
      <c r="BR1422" s="8" t="str">
        <v>Yes</v>
      </c>
    </row>
    <row r="1423" spans="54:70" x14ac:dyDescent="0.2">
      <c r="BB1423" s="94"/>
      <c r="BL1423" s="8">
        <v>1374</v>
      </c>
      <c r="BM1423" s="8">
        <v>3651021.7489505205</v>
      </c>
      <c r="BN1423" s="8">
        <v>0</v>
      </c>
      <c r="BO1423" s="8">
        <v>3651021.7489505205</v>
      </c>
      <c r="BP1423" s="8">
        <v>2416211.5446887258</v>
      </c>
      <c r="BQ1423" s="8">
        <v>-1234810.2042617947</v>
      </c>
      <c r="BR1423" s="8" t="str">
        <v>Yes</v>
      </c>
    </row>
    <row r="1424" spans="54:70" x14ac:dyDescent="0.2">
      <c r="BB1424" s="94"/>
      <c r="BL1424" s="8">
        <v>1375</v>
      </c>
      <c r="BM1424" s="8">
        <v>1536891.49213203</v>
      </c>
      <c r="BN1424" s="8">
        <v>-295622.31791984459</v>
      </c>
      <c r="BO1424" s="8">
        <v>1241269.1742121854</v>
      </c>
      <c r="BP1424" s="8">
        <v>5865934.5680294894</v>
      </c>
      <c r="BQ1424" s="8">
        <v>4624665.3938173037</v>
      </c>
      <c r="BR1424" s="8" t="str">
        <v>No</v>
      </c>
    </row>
    <row r="1425" spans="54:70" x14ac:dyDescent="0.2">
      <c r="BB1425" s="94"/>
      <c r="BL1425" s="8">
        <v>1376</v>
      </c>
      <c r="BM1425" s="8">
        <v>3481867.0380650088</v>
      </c>
      <c r="BN1425" s="8">
        <v>0</v>
      </c>
      <c r="BO1425" s="8">
        <v>3481867.0380650088</v>
      </c>
      <c r="BP1425" s="8">
        <v>2324289.4551145928</v>
      </c>
      <c r="BQ1425" s="8">
        <v>-1157577.582950416</v>
      </c>
      <c r="BR1425" s="8" t="str">
        <v>Yes</v>
      </c>
    </row>
    <row r="1426" spans="54:70" x14ac:dyDescent="0.2">
      <c r="BB1426" s="94"/>
      <c r="BL1426" s="8">
        <v>1377</v>
      </c>
      <c r="BM1426" s="8">
        <v>5285235.165120177</v>
      </c>
      <c r="BN1426" s="8">
        <v>2273812.4733777782</v>
      </c>
      <c r="BO1426" s="8">
        <v>7559047.6384979552</v>
      </c>
      <c r="BP1426" s="8">
        <v>6161368.2035660855</v>
      </c>
      <c r="BQ1426" s="8">
        <v>-1397679.4349318696</v>
      </c>
      <c r="BR1426" s="8" t="str">
        <v>Yes</v>
      </c>
    </row>
    <row r="1427" spans="54:70" x14ac:dyDescent="0.2">
      <c r="BB1427" s="94"/>
      <c r="BL1427" s="8">
        <v>1378</v>
      </c>
      <c r="BM1427" s="8">
        <v>5256968.461191996</v>
      </c>
      <c r="BN1427" s="8">
        <v>6411346.5881819678</v>
      </c>
      <c r="BO1427" s="8">
        <v>11668315.049373964</v>
      </c>
      <c r="BP1427" s="8">
        <v>3388870.9258345766</v>
      </c>
      <c r="BQ1427" s="8">
        <v>-8279444.1235393872</v>
      </c>
      <c r="BR1427" s="8" t="str">
        <v>Yes</v>
      </c>
    </row>
    <row r="1428" spans="54:70" x14ac:dyDescent="0.2">
      <c r="BB1428" s="94"/>
      <c r="BL1428" s="8">
        <v>1379</v>
      </c>
      <c r="BM1428" s="8">
        <v>2530445.1601950554</v>
      </c>
      <c r="BN1428" s="8">
        <v>0</v>
      </c>
      <c r="BO1428" s="8">
        <v>2530445.1601950554</v>
      </c>
      <c r="BP1428" s="8">
        <v>6934389.3023698069</v>
      </c>
      <c r="BQ1428" s="8">
        <v>4403944.1421747515</v>
      </c>
      <c r="BR1428" s="8" t="str">
        <v>No</v>
      </c>
    </row>
    <row r="1429" spans="54:70" x14ac:dyDescent="0.2">
      <c r="BB1429" s="94"/>
      <c r="BL1429" s="8">
        <v>1380</v>
      </c>
      <c r="BM1429" s="8">
        <v>2045716.5489961337</v>
      </c>
      <c r="BN1429" s="8">
        <v>805000.71411597403</v>
      </c>
      <c r="BO1429" s="8">
        <v>2850717.2631121078</v>
      </c>
      <c r="BP1429" s="8">
        <v>4192538.1036695475</v>
      </c>
      <c r="BQ1429" s="8">
        <v>1341820.8405574397</v>
      </c>
      <c r="BR1429" s="8" t="str">
        <v>No</v>
      </c>
    </row>
    <row r="1430" spans="54:70" x14ac:dyDescent="0.2">
      <c r="BB1430" s="94"/>
      <c r="BL1430" s="8">
        <v>1381</v>
      </c>
      <c r="BM1430" s="8">
        <v>3288505.297842016</v>
      </c>
      <c r="BN1430" s="8">
        <v>3088969.0353326034</v>
      </c>
      <c r="BO1430" s="8">
        <v>6377474.3331746198</v>
      </c>
      <c r="BP1430" s="8">
        <v>2280633.2978379899</v>
      </c>
      <c r="BQ1430" s="8">
        <v>-4096841.03533663</v>
      </c>
      <c r="BR1430" s="8" t="str">
        <v>Yes</v>
      </c>
    </row>
    <row r="1431" spans="54:70" x14ac:dyDescent="0.2">
      <c r="BB1431" s="94"/>
      <c r="BL1431" s="8">
        <v>1382</v>
      </c>
      <c r="BM1431" s="8">
        <v>1716087.5688147692</v>
      </c>
      <c r="BN1431" s="8">
        <v>0</v>
      </c>
      <c r="BO1431" s="8">
        <v>1716087.5688147692</v>
      </c>
      <c r="BP1431" s="8">
        <v>3448042.4316082494</v>
      </c>
      <c r="BQ1431" s="8">
        <v>1731954.8627934803</v>
      </c>
      <c r="BR1431" s="8" t="str">
        <v>No</v>
      </c>
    </row>
    <row r="1432" spans="54:70" x14ac:dyDescent="0.2">
      <c r="BB1432" s="94"/>
      <c r="BL1432" s="8">
        <v>1383</v>
      </c>
      <c r="BM1432" s="8">
        <v>2156693.8067432493</v>
      </c>
      <c r="BN1432" s="8">
        <v>756373.36508984212</v>
      </c>
      <c r="BO1432" s="8">
        <v>2913067.1718330914</v>
      </c>
      <c r="BP1432" s="8">
        <v>2299260.2568453671</v>
      </c>
      <c r="BQ1432" s="8">
        <v>-613806.91498772427</v>
      </c>
      <c r="BR1432" s="8" t="str">
        <v>Yes</v>
      </c>
    </row>
    <row r="1433" spans="54:70" x14ac:dyDescent="0.2">
      <c r="BB1433" s="94"/>
      <c r="BL1433" s="8">
        <v>1384</v>
      </c>
      <c r="BM1433" s="8">
        <v>5130066.8767153155</v>
      </c>
      <c r="BN1433" s="8">
        <v>5086471.1577998791</v>
      </c>
      <c r="BO1433" s="8">
        <v>10216538.034515195</v>
      </c>
      <c r="BP1433" s="8">
        <v>2304561.8694963981</v>
      </c>
      <c r="BQ1433" s="8">
        <v>-7911976.1650187969</v>
      </c>
      <c r="BR1433" s="8" t="str">
        <v>Yes</v>
      </c>
    </row>
    <row r="1434" spans="54:70" x14ac:dyDescent="0.2">
      <c r="BB1434" s="94"/>
      <c r="BL1434" s="8">
        <v>1385</v>
      </c>
      <c r="BM1434" s="8">
        <v>4373614.0384342484</v>
      </c>
      <c r="BN1434" s="8">
        <v>0</v>
      </c>
      <c r="BO1434" s="8">
        <v>4373614.0384342484</v>
      </c>
      <c r="BP1434" s="8">
        <v>3681250.8642484173</v>
      </c>
      <c r="BQ1434" s="8">
        <v>-692363.1741858311</v>
      </c>
      <c r="BR1434" s="8" t="str">
        <v>Yes</v>
      </c>
    </row>
    <row r="1435" spans="54:70" x14ac:dyDescent="0.2">
      <c r="BB1435" s="94"/>
      <c r="BL1435" s="8">
        <v>1386</v>
      </c>
      <c r="BM1435" s="8">
        <v>2914796.4047712684</v>
      </c>
      <c r="BN1435" s="8">
        <v>2136827.0296488628</v>
      </c>
      <c r="BO1435" s="8">
        <v>5051623.4344201311</v>
      </c>
      <c r="BP1435" s="8">
        <v>3174450.2522094948</v>
      </c>
      <c r="BQ1435" s="8">
        <v>-1877173.1822106363</v>
      </c>
      <c r="BR1435" s="8" t="str">
        <v>Yes</v>
      </c>
    </row>
    <row r="1436" spans="54:70" x14ac:dyDescent="0.2">
      <c r="BB1436" s="94"/>
      <c r="BL1436" s="8">
        <v>1387</v>
      </c>
      <c r="BM1436" s="8">
        <v>5689544.9097160734</v>
      </c>
      <c r="BN1436" s="8">
        <v>0</v>
      </c>
      <c r="BO1436" s="8">
        <v>5689544.9097160734</v>
      </c>
      <c r="BP1436" s="8">
        <v>3318210.1995773287</v>
      </c>
      <c r="BQ1436" s="8">
        <v>-2371334.7101387447</v>
      </c>
      <c r="BR1436" s="8" t="str">
        <v>Yes</v>
      </c>
    </row>
    <row r="1437" spans="54:70" x14ac:dyDescent="0.2">
      <c r="BB1437" s="94"/>
      <c r="BL1437" s="8">
        <v>1388</v>
      </c>
      <c r="BM1437" s="8">
        <v>8200031.3837189395</v>
      </c>
      <c r="BN1437" s="8">
        <v>0</v>
      </c>
      <c r="BO1437" s="8">
        <v>8200031.3837189395</v>
      </c>
      <c r="BP1437" s="8">
        <v>3329977.252452062</v>
      </c>
      <c r="BQ1437" s="8">
        <v>-4870054.1312668771</v>
      </c>
      <c r="BR1437" s="8" t="str">
        <v>Yes</v>
      </c>
    </row>
    <row r="1438" spans="54:70" x14ac:dyDescent="0.2">
      <c r="BB1438" s="94"/>
      <c r="BL1438" s="8">
        <v>1389</v>
      </c>
      <c r="BM1438" s="8">
        <v>4532709.5556055857</v>
      </c>
      <c r="BN1438" s="8">
        <v>4912399.8877961431</v>
      </c>
      <c r="BO1438" s="8">
        <v>9445109.4434017278</v>
      </c>
      <c r="BP1438" s="8">
        <v>4426900.6582108848</v>
      </c>
      <c r="BQ1438" s="8">
        <v>-5018208.785190843</v>
      </c>
      <c r="BR1438" s="8" t="str">
        <v>Yes</v>
      </c>
    </row>
    <row r="1439" spans="54:70" x14ac:dyDescent="0.2">
      <c r="BB1439" s="94"/>
      <c r="BL1439" s="8">
        <v>1390</v>
      </c>
      <c r="BM1439" s="8">
        <v>2576887.6558345929</v>
      </c>
      <c r="BN1439" s="8">
        <v>1211322.5352929758</v>
      </c>
      <c r="BO1439" s="8">
        <v>3788210.1911275685</v>
      </c>
      <c r="BP1439" s="8">
        <v>4104402.2170396447</v>
      </c>
      <c r="BQ1439" s="8">
        <v>316192.02591207623</v>
      </c>
      <c r="BR1439" s="8" t="str">
        <v>No</v>
      </c>
    </row>
    <row r="1440" spans="54:70" x14ac:dyDescent="0.2">
      <c r="BB1440" s="94"/>
      <c r="BL1440" s="8">
        <v>1391</v>
      </c>
      <c r="BM1440" s="8">
        <v>3206004.5472854134</v>
      </c>
      <c r="BN1440" s="8">
        <v>0</v>
      </c>
      <c r="BO1440" s="8">
        <v>3206004.5472854134</v>
      </c>
      <c r="BP1440" s="8">
        <v>4309249.2195184892</v>
      </c>
      <c r="BQ1440" s="8">
        <v>1103244.6722330758</v>
      </c>
      <c r="BR1440" s="8" t="str">
        <v>No</v>
      </c>
    </row>
    <row r="1441" spans="54:70" x14ac:dyDescent="0.2">
      <c r="BB1441" s="94"/>
      <c r="BL1441" s="8">
        <v>1392</v>
      </c>
      <c r="BM1441" s="8">
        <v>4768254.7119301688</v>
      </c>
      <c r="BN1441" s="8">
        <v>5081965.4395400351</v>
      </c>
      <c r="BO1441" s="8">
        <v>9850220.151470203</v>
      </c>
      <c r="BP1441" s="8">
        <v>3470675.4001526055</v>
      </c>
      <c r="BQ1441" s="8">
        <v>-6379544.7513175979</v>
      </c>
      <c r="BR1441" s="8" t="str">
        <v>Yes</v>
      </c>
    </row>
    <row r="1442" spans="54:70" x14ac:dyDescent="0.2">
      <c r="BB1442" s="94"/>
      <c r="BL1442" s="8">
        <v>1393</v>
      </c>
      <c r="BM1442" s="8">
        <v>2596437.1875711335</v>
      </c>
      <c r="BN1442" s="8">
        <v>203706.23503650518</v>
      </c>
      <c r="BO1442" s="8">
        <v>2800143.4226076389</v>
      </c>
      <c r="BP1442" s="8">
        <v>3624776.0607109778</v>
      </c>
      <c r="BQ1442" s="8">
        <v>824632.63810333889</v>
      </c>
      <c r="BR1442" s="8" t="str">
        <v>No</v>
      </c>
    </row>
    <row r="1443" spans="54:70" x14ac:dyDescent="0.2">
      <c r="BB1443" s="94"/>
      <c r="BL1443" s="8">
        <v>1394</v>
      </c>
      <c r="BM1443" s="8">
        <v>2460889.9558495251</v>
      </c>
      <c r="BN1443" s="8">
        <v>0</v>
      </c>
      <c r="BO1443" s="8">
        <v>2460889.9558495251</v>
      </c>
      <c r="BP1443" s="8">
        <v>1986849.1726925115</v>
      </c>
      <c r="BQ1443" s="8">
        <v>-474040.78315701359</v>
      </c>
      <c r="BR1443" s="8" t="str">
        <v>Yes</v>
      </c>
    </row>
    <row r="1444" spans="54:70" x14ac:dyDescent="0.2">
      <c r="BB1444" s="94"/>
      <c r="BL1444" s="8">
        <v>1395</v>
      </c>
      <c r="BM1444" s="8">
        <v>9697675.1332237758</v>
      </c>
      <c r="BN1444" s="8">
        <v>0</v>
      </c>
      <c r="BO1444" s="8">
        <v>9697675.1332237758</v>
      </c>
      <c r="BP1444" s="8">
        <v>3574931.1785895973</v>
      </c>
      <c r="BQ1444" s="8">
        <v>-6122743.9546341784</v>
      </c>
      <c r="BR1444" s="8" t="str">
        <v>Yes</v>
      </c>
    </row>
    <row r="1445" spans="54:70" x14ac:dyDescent="0.2">
      <c r="BB1445" s="94"/>
      <c r="BL1445" s="8">
        <v>1396</v>
      </c>
      <c r="BM1445" s="8">
        <v>7173880.2643331503</v>
      </c>
      <c r="BN1445" s="8">
        <v>0</v>
      </c>
      <c r="BO1445" s="8">
        <v>7173880.2643331503</v>
      </c>
      <c r="BP1445" s="8">
        <v>4177552.2122971173</v>
      </c>
      <c r="BQ1445" s="8">
        <v>-2996328.052036033</v>
      </c>
      <c r="BR1445" s="8" t="str">
        <v>Yes</v>
      </c>
    </row>
    <row r="1446" spans="54:70" x14ac:dyDescent="0.2">
      <c r="BB1446" s="94"/>
      <c r="BL1446" s="8">
        <v>1397</v>
      </c>
      <c r="BM1446" s="8">
        <v>3457690.5335583864</v>
      </c>
      <c r="BN1446" s="8">
        <v>888541.35342338972</v>
      </c>
      <c r="BO1446" s="8">
        <v>4346231.886981776</v>
      </c>
      <c r="BP1446" s="8">
        <v>2345098.3925591819</v>
      </c>
      <c r="BQ1446" s="8">
        <v>-2001133.4944225941</v>
      </c>
      <c r="BR1446" s="8" t="str">
        <v>Yes</v>
      </c>
    </row>
    <row r="1447" spans="54:70" x14ac:dyDescent="0.2">
      <c r="BB1447" s="94"/>
      <c r="BL1447" s="8">
        <v>1398</v>
      </c>
      <c r="BM1447" s="8">
        <v>4185256.5533776232</v>
      </c>
      <c r="BN1447" s="8">
        <v>0</v>
      </c>
      <c r="BO1447" s="8">
        <v>4185256.5533776232</v>
      </c>
      <c r="BP1447" s="8">
        <v>3220257.723783961</v>
      </c>
      <c r="BQ1447" s="8">
        <v>-964998.82959366217</v>
      </c>
      <c r="BR1447" s="8" t="str">
        <v>Yes</v>
      </c>
    </row>
    <row r="1448" spans="54:70" x14ac:dyDescent="0.2">
      <c r="BB1448" s="94"/>
      <c r="BL1448" s="8">
        <v>1399</v>
      </c>
      <c r="BM1448" s="8">
        <v>6168933.5610338869</v>
      </c>
      <c r="BN1448" s="8">
        <v>0</v>
      </c>
      <c r="BO1448" s="8">
        <v>6168933.5610338869</v>
      </c>
      <c r="BP1448" s="8">
        <v>6449720.4610792296</v>
      </c>
      <c r="BQ1448" s="8">
        <v>280786.90004534274</v>
      </c>
      <c r="BR1448" s="8" t="str">
        <v>No</v>
      </c>
    </row>
    <row r="1449" spans="54:70" x14ac:dyDescent="0.2">
      <c r="BB1449" s="94"/>
      <c r="BL1449" s="8">
        <v>1400</v>
      </c>
      <c r="BM1449" s="8">
        <v>7672380.0824518856</v>
      </c>
      <c r="BN1449" s="8">
        <v>0</v>
      </c>
      <c r="BO1449" s="8">
        <v>7672380.0824518856</v>
      </c>
      <c r="BP1449" s="8">
        <v>6114593.7755011618</v>
      </c>
      <c r="BQ1449" s="8">
        <v>-1557786.3069507238</v>
      </c>
      <c r="BR1449" s="8" t="str">
        <v>Yes</v>
      </c>
    </row>
    <row r="1450" spans="54:70" x14ac:dyDescent="0.2">
      <c r="BB1450" s="94"/>
      <c r="BL1450" s="8">
        <v>1401</v>
      </c>
      <c r="BM1450" s="8">
        <v>6095183.7453335021</v>
      </c>
      <c r="BN1450" s="8">
        <v>0</v>
      </c>
      <c r="BO1450" s="8">
        <v>6095183.7453335021</v>
      </c>
      <c r="BP1450" s="8">
        <v>4329697.6911259508</v>
      </c>
      <c r="BQ1450" s="8">
        <v>-1765486.0542075513</v>
      </c>
      <c r="BR1450" s="8" t="str">
        <v>Yes</v>
      </c>
    </row>
    <row r="1451" spans="54:70" x14ac:dyDescent="0.2">
      <c r="BB1451" s="94"/>
      <c r="BL1451" s="8">
        <v>1402</v>
      </c>
      <c r="BM1451" s="8">
        <v>3564873.8626420293</v>
      </c>
      <c r="BN1451" s="8">
        <v>1903710.2379508188</v>
      </c>
      <c r="BO1451" s="8">
        <v>5468584.1005928479</v>
      </c>
      <c r="BP1451" s="8">
        <v>4449325.3655819036</v>
      </c>
      <c r="BQ1451" s="8">
        <v>-1019258.7350109443</v>
      </c>
      <c r="BR1451" s="8" t="str">
        <v>Yes</v>
      </c>
    </row>
    <row r="1452" spans="54:70" x14ac:dyDescent="0.2">
      <c r="BB1452" s="94"/>
      <c r="BL1452" s="8">
        <v>1403</v>
      </c>
      <c r="BM1452" s="8">
        <v>4845520.7627506107</v>
      </c>
      <c r="BN1452" s="8">
        <v>4035224.581045751</v>
      </c>
      <c r="BO1452" s="8">
        <v>8880745.3437963612</v>
      </c>
      <c r="BP1452" s="8">
        <v>4477534.9333384559</v>
      </c>
      <c r="BQ1452" s="8">
        <v>-4403210.4104579054</v>
      </c>
      <c r="BR1452" s="8" t="str">
        <v>Yes</v>
      </c>
    </row>
    <row r="1453" spans="54:70" x14ac:dyDescent="0.2">
      <c r="BB1453" s="94"/>
      <c r="BL1453" s="8">
        <v>1404</v>
      </c>
      <c r="BM1453" s="8">
        <v>4605015.2837474383</v>
      </c>
      <c r="BN1453" s="8">
        <v>3393821.3457676498</v>
      </c>
      <c r="BO1453" s="8">
        <v>7998836.6295150882</v>
      </c>
      <c r="BP1453" s="8">
        <v>6403303.4506519474</v>
      </c>
      <c r="BQ1453" s="8">
        <v>-1595533.1788631408</v>
      </c>
      <c r="BR1453" s="8" t="str">
        <v>Yes</v>
      </c>
    </row>
    <row r="1454" spans="54:70" x14ac:dyDescent="0.2">
      <c r="BB1454" s="94"/>
      <c r="BL1454" s="8">
        <v>1405</v>
      </c>
      <c r="BM1454" s="8">
        <v>2864453.7452172684</v>
      </c>
      <c r="BN1454" s="8">
        <v>1039480.076827575</v>
      </c>
      <c r="BO1454" s="8">
        <v>3903933.8220448433</v>
      </c>
      <c r="BP1454" s="8">
        <v>6420862.9247992281</v>
      </c>
      <c r="BQ1454" s="8">
        <v>2516929.1027543847</v>
      </c>
      <c r="BR1454" s="8" t="str">
        <v>No</v>
      </c>
    </row>
    <row r="1455" spans="54:70" x14ac:dyDescent="0.2">
      <c r="BB1455" s="94"/>
      <c r="BL1455" s="8">
        <v>1406</v>
      </c>
      <c r="BM1455" s="8">
        <v>1729855.9238661556</v>
      </c>
      <c r="BN1455" s="8">
        <v>0</v>
      </c>
      <c r="BO1455" s="8">
        <v>1729855.9238661556</v>
      </c>
      <c r="BP1455" s="8">
        <v>2228608.963344207</v>
      </c>
      <c r="BQ1455" s="8">
        <v>498753.03947805148</v>
      </c>
      <c r="BR1455" s="8" t="str">
        <v>No</v>
      </c>
    </row>
    <row r="1456" spans="54:70" x14ac:dyDescent="0.2">
      <c r="BB1456" s="94"/>
      <c r="BL1456" s="8">
        <v>1407</v>
      </c>
      <c r="BM1456" s="8">
        <v>2748926.1582427351</v>
      </c>
      <c r="BN1456" s="8">
        <v>1451341.0378875893</v>
      </c>
      <c r="BO1456" s="8">
        <v>4200267.1961303242</v>
      </c>
      <c r="BP1456" s="8">
        <v>4181976.2654417153</v>
      </c>
      <c r="BQ1456" s="8">
        <v>-18290.930688608903</v>
      </c>
      <c r="BR1456" s="8" t="str">
        <v>Yes</v>
      </c>
    </row>
    <row r="1457" spans="54:70" x14ac:dyDescent="0.2">
      <c r="BB1457" s="94"/>
      <c r="BL1457" s="8">
        <v>1408</v>
      </c>
      <c r="BM1457" s="8">
        <v>3371416.9444902618</v>
      </c>
      <c r="BN1457" s="8">
        <v>0</v>
      </c>
      <c r="BO1457" s="8">
        <v>3371416.9444902618</v>
      </c>
      <c r="BP1457" s="8">
        <v>3286946.1978947045</v>
      </c>
      <c r="BQ1457" s="8">
        <v>-84470.746595557313</v>
      </c>
      <c r="BR1457" s="8" t="str">
        <v>Yes</v>
      </c>
    </row>
    <row r="1458" spans="54:70" x14ac:dyDescent="0.2">
      <c r="BB1458" s="94"/>
      <c r="BL1458" s="8">
        <v>1409</v>
      </c>
      <c r="BM1458" s="8">
        <v>3973403.3447117107</v>
      </c>
      <c r="BN1458" s="8">
        <v>2549042.2837428916</v>
      </c>
      <c r="BO1458" s="8">
        <v>6522445.6284546023</v>
      </c>
      <c r="BP1458" s="8">
        <v>2369592.0654333755</v>
      </c>
      <c r="BQ1458" s="8">
        <v>-4152853.5630212268</v>
      </c>
      <c r="BR1458" s="8" t="str">
        <v>Yes</v>
      </c>
    </row>
    <row r="1459" spans="54:70" x14ac:dyDescent="0.2">
      <c r="BB1459" s="94"/>
      <c r="BL1459" s="8">
        <v>1410</v>
      </c>
      <c r="BM1459" s="8">
        <v>10013199.60176583</v>
      </c>
      <c r="BN1459" s="8">
        <v>0</v>
      </c>
      <c r="BO1459" s="8">
        <v>10013199.60176583</v>
      </c>
      <c r="BP1459" s="8">
        <v>6110401.89852117</v>
      </c>
      <c r="BQ1459" s="8">
        <v>-3902797.70324466</v>
      </c>
      <c r="BR1459" s="8" t="str">
        <v>Yes</v>
      </c>
    </row>
    <row r="1460" spans="54:70" x14ac:dyDescent="0.2">
      <c r="BB1460" s="94"/>
      <c r="BL1460" s="8">
        <v>1411</v>
      </c>
      <c r="BM1460" s="8">
        <v>3811214.7714101197</v>
      </c>
      <c r="BN1460" s="8">
        <v>0</v>
      </c>
      <c r="BO1460" s="8">
        <v>3811214.7714101197</v>
      </c>
      <c r="BP1460" s="8">
        <v>2185629.8692530389</v>
      </c>
      <c r="BQ1460" s="8">
        <v>-1625584.9021570808</v>
      </c>
      <c r="BR1460" s="8" t="str">
        <v>Yes</v>
      </c>
    </row>
    <row r="1461" spans="54:70" x14ac:dyDescent="0.2">
      <c r="BB1461" s="94"/>
      <c r="BL1461" s="8">
        <v>1412</v>
      </c>
      <c r="BM1461" s="8">
        <v>4202396.7760764677</v>
      </c>
      <c r="BN1461" s="8">
        <v>5514242.0338940341</v>
      </c>
      <c r="BO1461" s="8">
        <v>9716638.8099705018</v>
      </c>
      <c r="BP1461" s="8">
        <v>3181462.3171487958</v>
      </c>
      <c r="BQ1461" s="8">
        <v>-6535176.4928217065</v>
      </c>
      <c r="BR1461" s="8" t="str">
        <v>Yes</v>
      </c>
    </row>
    <row r="1462" spans="54:70" x14ac:dyDescent="0.2">
      <c r="BB1462" s="94"/>
      <c r="BL1462" s="8">
        <v>1413</v>
      </c>
      <c r="BM1462" s="8">
        <v>6988449.143531641</v>
      </c>
      <c r="BN1462" s="8">
        <v>0</v>
      </c>
      <c r="BO1462" s="8">
        <v>6988449.143531641</v>
      </c>
      <c r="BP1462" s="8">
        <v>3222658.1540671615</v>
      </c>
      <c r="BQ1462" s="8">
        <v>-3765790.9894644795</v>
      </c>
      <c r="BR1462" s="8" t="str">
        <v>Yes</v>
      </c>
    </row>
    <row r="1463" spans="54:70" x14ac:dyDescent="0.2">
      <c r="BB1463" s="94"/>
      <c r="BL1463" s="8">
        <v>1414</v>
      </c>
      <c r="BM1463" s="8">
        <v>4866441.3351174593</v>
      </c>
      <c r="BN1463" s="8">
        <v>0</v>
      </c>
      <c r="BO1463" s="8">
        <v>4866441.3351174593</v>
      </c>
      <c r="BP1463" s="8">
        <v>3686241.5825325768</v>
      </c>
      <c r="BQ1463" s="8">
        <v>-1180199.7525848825</v>
      </c>
      <c r="BR1463" s="8" t="str">
        <v>Yes</v>
      </c>
    </row>
    <row r="1464" spans="54:70" x14ac:dyDescent="0.2">
      <c r="BB1464" s="94"/>
      <c r="BL1464" s="8">
        <v>1415</v>
      </c>
      <c r="BM1464" s="8">
        <v>6713372.9926004354</v>
      </c>
      <c r="BN1464" s="8">
        <v>9602701.114210872</v>
      </c>
      <c r="BO1464" s="8">
        <v>16316074.106811307</v>
      </c>
      <c r="BP1464" s="8">
        <v>3073311.3360338728</v>
      </c>
      <c r="BQ1464" s="8">
        <v>-13242762.770777434</v>
      </c>
      <c r="BR1464" s="8" t="str">
        <v>Yes</v>
      </c>
    </row>
    <row r="1465" spans="54:70" x14ac:dyDescent="0.2">
      <c r="BB1465" s="94"/>
      <c r="BL1465" s="8">
        <v>1416</v>
      </c>
      <c r="BM1465" s="8">
        <v>6737250.6611885466</v>
      </c>
      <c r="BN1465" s="8">
        <v>6674346.0103891604</v>
      </c>
      <c r="BO1465" s="8">
        <v>13411596.671577707</v>
      </c>
      <c r="BP1465" s="8">
        <v>2223378.533247143</v>
      </c>
      <c r="BQ1465" s="8">
        <v>-11188218.138330564</v>
      </c>
      <c r="BR1465" s="8" t="str">
        <v>Yes</v>
      </c>
    </row>
    <row r="1466" spans="54:70" x14ac:dyDescent="0.2">
      <c r="BB1466" s="94"/>
      <c r="BL1466" s="8">
        <v>1417</v>
      </c>
      <c r="BM1466" s="8">
        <v>3982087.3788822042</v>
      </c>
      <c r="BN1466" s="8">
        <v>0</v>
      </c>
      <c r="BO1466" s="8">
        <v>3982087.3788822042</v>
      </c>
      <c r="BP1466" s="8">
        <v>4619269.623967858</v>
      </c>
      <c r="BQ1466" s="8">
        <v>637182.24508565385</v>
      </c>
      <c r="BR1466" s="8" t="str">
        <v>No</v>
      </c>
    </row>
    <row r="1467" spans="54:70" x14ac:dyDescent="0.2">
      <c r="BB1467" s="94"/>
      <c r="BL1467" s="8">
        <v>1418</v>
      </c>
      <c r="BM1467" s="8">
        <v>3457800.5932425507</v>
      </c>
      <c r="BN1467" s="8">
        <v>3923495.8720554993</v>
      </c>
      <c r="BO1467" s="8">
        <v>7381296.4652980501</v>
      </c>
      <c r="BP1467" s="8">
        <v>2165708.0969966981</v>
      </c>
      <c r="BQ1467" s="8">
        <v>-5215588.3683013525</v>
      </c>
      <c r="BR1467" s="8" t="str">
        <v>Yes</v>
      </c>
    </row>
    <row r="1468" spans="54:70" x14ac:dyDescent="0.2">
      <c r="BB1468" s="94"/>
      <c r="BL1468" s="8">
        <v>1419</v>
      </c>
      <c r="BM1468" s="8">
        <v>4805981.4901244063</v>
      </c>
      <c r="BN1468" s="8">
        <v>0</v>
      </c>
      <c r="BO1468" s="8">
        <v>4805981.4901244063</v>
      </c>
      <c r="BP1468" s="8">
        <v>5748993.2128675524</v>
      </c>
      <c r="BQ1468" s="8">
        <v>943011.72274314612</v>
      </c>
      <c r="BR1468" s="8" t="str">
        <v>No</v>
      </c>
    </row>
    <row r="1469" spans="54:70" x14ac:dyDescent="0.2">
      <c r="BB1469" s="94"/>
      <c r="BL1469" s="8">
        <v>1420</v>
      </c>
      <c r="BM1469" s="8">
        <v>2648061.6324748672</v>
      </c>
      <c r="BN1469" s="8">
        <v>0</v>
      </c>
      <c r="BO1469" s="8">
        <v>2648061.6324748672</v>
      </c>
      <c r="BP1469" s="8">
        <v>2519686.4011537256</v>
      </c>
      <c r="BQ1469" s="8">
        <v>-128375.23132114159</v>
      </c>
      <c r="BR1469" s="8" t="str">
        <v>Yes</v>
      </c>
    </row>
    <row r="1470" spans="54:70" x14ac:dyDescent="0.2">
      <c r="BB1470" s="94"/>
      <c r="BL1470" s="8">
        <v>1421</v>
      </c>
      <c r="BM1470" s="8">
        <v>2694455.6708298726</v>
      </c>
      <c r="BN1470" s="8">
        <v>0</v>
      </c>
      <c r="BO1470" s="8">
        <v>2694455.6708298726</v>
      </c>
      <c r="BP1470" s="8">
        <v>4078989.2596540926</v>
      </c>
      <c r="BQ1470" s="8">
        <v>1384533.58882422</v>
      </c>
      <c r="BR1470" s="8" t="str">
        <v>No</v>
      </c>
    </row>
    <row r="1471" spans="54:70" x14ac:dyDescent="0.2">
      <c r="BB1471" s="94"/>
      <c r="BL1471" s="8">
        <v>1422</v>
      </c>
      <c r="BM1471" s="8">
        <v>2023329.3063713866</v>
      </c>
      <c r="BN1471" s="8">
        <v>0</v>
      </c>
      <c r="BO1471" s="8">
        <v>2023329.3063713866</v>
      </c>
      <c r="BP1471" s="8">
        <v>3606995.8649625867</v>
      </c>
      <c r="BQ1471" s="8">
        <v>1583666.5585912</v>
      </c>
      <c r="BR1471" s="8" t="str">
        <v>No</v>
      </c>
    </row>
    <row r="1472" spans="54:70" x14ac:dyDescent="0.2">
      <c r="BB1472" s="94"/>
      <c r="BL1472" s="8">
        <v>1423</v>
      </c>
      <c r="BM1472" s="8">
        <v>2694791.2117975759</v>
      </c>
      <c r="BN1472" s="8">
        <v>0</v>
      </c>
      <c r="BO1472" s="8">
        <v>2694791.2117975759</v>
      </c>
      <c r="BP1472" s="8">
        <v>5969627.6771815997</v>
      </c>
      <c r="BQ1472" s="8">
        <v>3274836.4653840237</v>
      </c>
      <c r="BR1472" s="8" t="str">
        <v>No</v>
      </c>
    </row>
    <row r="1473" spans="54:70" x14ac:dyDescent="0.2">
      <c r="BB1473" s="94"/>
      <c r="BL1473" s="8">
        <v>1424</v>
      </c>
      <c r="BM1473" s="8">
        <v>2712245.9149130192</v>
      </c>
      <c r="BN1473" s="8">
        <v>0</v>
      </c>
      <c r="BO1473" s="8">
        <v>2712245.9149130192</v>
      </c>
      <c r="BP1473" s="8">
        <v>2392751.0699609248</v>
      </c>
      <c r="BQ1473" s="8">
        <v>-319494.84495209437</v>
      </c>
      <c r="BR1473" s="8" t="str">
        <v>Yes</v>
      </c>
    </row>
    <row r="1474" spans="54:70" x14ac:dyDescent="0.2">
      <c r="BB1474" s="94"/>
      <c r="BL1474" s="8">
        <v>1425</v>
      </c>
      <c r="BM1474" s="8">
        <v>2305586.0889312001</v>
      </c>
      <c r="BN1474" s="8">
        <v>2574682.8649443975</v>
      </c>
      <c r="BO1474" s="8">
        <v>4880268.9538755976</v>
      </c>
      <c r="BP1474" s="8">
        <v>2236809.0001153848</v>
      </c>
      <c r="BQ1474" s="8">
        <v>-2643459.9537602128</v>
      </c>
      <c r="BR1474" s="8" t="str">
        <v>Yes</v>
      </c>
    </row>
    <row r="1475" spans="54:70" x14ac:dyDescent="0.2">
      <c r="BB1475" s="94"/>
      <c r="BL1475" s="8">
        <v>1426</v>
      </c>
      <c r="BM1475" s="8">
        <v>3035857.2864662213</v>
      </c>
      <c r="BN1475" s="8">
        <v>0</v>
      </c>
      <c r="BO1475" s="8">
        <v>3035857.2864662213</v>
      </c>
      <c r="BP1475" s="8">
        <v>2273982.990053507</v>
      </c>
      <c r="BQ1475" s="8">
        <v>-761874.29641271429</v>
      </c>
      <c r="BR1475" s="8" t="str">
        <v>Yes</v>
      </c>
    </row>
    <row r="1476" spans="54:70" x14ac:dyDescent="0.2">
      <c r="BB1476" s="94"/>
      <c r="BL1476" s="8">
        <v>1427</v>
      </c>
      <c r="BM1476" s="8">
        <v>1932000.1462596571</v>
      </c>
      <c r="BN1476" s="8">
        <v>0</v>
      </c>
      <c r="BO1476" s="8">
        <v>1932000.1462596571</v>
      </c>
      <c r="BP1476" s="8">
        <v>2474951.4499824946</v>
      </c>
      <c r="BQ1476" s="8">
        <v>542951.30372283747</v>
      </c>
      <c r="BR1476" s="8" t="str">
        <v>No</v>
      </c>
    </row>
    <row r="1477" spans="54:70" x14ac:dyDescent="0.2">
      <c r="BB1477" s="94"/>
      <c r="BL1477" s="8">
        <v>1428</v>
      </c>
      <c r="BM1477" s="8">
        <v>8642000.5998162106</v>
      </c>
      <c r="BN1477" s="8">
        <v>5140811.143001182</v>
      </c>
      <c r="BO1477" s="8">
        <v>13782811.742817393</v>
      </c>
      <c r="BP1477" s="8">
        <v>6198291.5780927325</v>
      </c>
      <c r="BQ1477" s="8">
        <v>-7584520.1647246601</v>
      </c>
      <c r="BR1477" s="8" t="str">
        <v>Yes</v>
      </c>
    </row>
    <row r="1478" spans="54:70" x14ac:dyDescent="0.2">
      <c r="BB1478" s="94"/>
      <c r="BL1478" s="8">
        <v>1429</v>
      </c>
      <c r="BM1478" s="8">
        <v>2290936.9036475215</v>
      </c>
      <c r="BN1478" s="8">
        <v>0</v>
      </c>
      <c r="BO1478" s="8">
        <v>2290936.9036475215</v>
      </c>
      <c r="BP1478" s="8">
        <v>3355229.0725456299</v>
      </c>
      <c r="BQ1478" s="8">
        <v>1064292.1688981084</v>
      </c>
      <c r="BR1478" s="8" t="str">
        <v>No</v>
      </c>
    </row>
    <row r="1479" spans="54:70" x14ac:dyDescent="0.2">
      <c r="BB1479" s="94"/>
      <c r="BL1479" s="8">
        <v>1430</v>
      </c>
      <c r="BM1479" s="8">
        <v>2960875.9523057574</v>
      </c>
      <c r="BN1479" s="8">
        <v>1878501.3883784607</v>
      </c>
      <c r="BO1479" s="8">
        <v>4839377.3406842183</v>
      </c>
      <c r="BP1479" s="8">
        <v>6150361.1189660598</v>
      </c>
      <c r="BQ1479" s="8">
        <v>1310983.7782818414</v>
      </c>
      <c r="BR1479" s="8" t="str">
        <v>No</v>
      </c>
    </row>
    <row r="1480" spans="54:70" x14ac:dyDescent="0.2">
      <c r="BB1480" s="94"/>
      <c r="BL1480" s="8">
        <v>1431</v>
      </c>
      <c r="BM1480" s="8">
        <v>5326316.4389691092</v>
      </c>
      <c r="BN1480" s="8">
        <v>6275214.4774579387</v>
      </c>
      <c r="BO1480" s="8">
        <v>11601530.916427048</v>
      </c>
      <c r="BP1480" s="8">
        <v>4420764.5265278546</v>
      </c>
      <c r="BQ1480" s="8">
        <v>-7180766.3898991933</v>
      </c>
      <c r="BR1480" s="8" t="str">
        <v>Yes</v>
      </c>
    </row>
    <row r="1481" spans="54:70" x14ac:dyDescent="0.2">
      <c r="BB1481" s="94"/>
      <c r="BL1481" s="8">
        <v>1432</v>
      </c>
      <c r="BM1481" s="8">
        <v>2095514.1556207836</v>
      </c>
      <c r="BN1481" s="8">
        <v>740151.58838693507</v>
      </c>
      <c r="BO1481" s="8">
        <v>2835665.7440077187</v>
      </c>
      <c r="BP1481" s="8">
        <v>3024997.4023099351</v>
      </c>
      <c r="BQ1481" s="8">
        <v>189331.65830221632</v>
      </c>
      <c r="BR1481" s="8" t="str">
        <v>No</v>
      </c>
    </row>
    <row r="1482" spans="54:70" x14ac:dyDescent="0.2">
      <c r="BB1482" s="94"/>
      <c r="BL1482" s="8">
        <v>1433</v>
      </c>
      <c r="BM1482" s="8">
        <v>5674137.9404319813</v>
      </c>
      <c r="BN1482" s="8">
        <v>6837043.220904829</v>
      </c>
      <c r="BO1482" s="8">
        <v>12511181.161336809</v>
      </c>
      <c r="BP1482" s="8">
        <v>4451329.3592481241</v>
      </c>
      <c r="BQ1482" s="8">
        <v>-8059851.8020886853</v>
      </c>
      <c r="BR1482" s="8" t="str">
        <v>Yes</v>
      </c>
    </row>
    <row r="1483" spans="54:70" x14ac:dyDescent="0.2">
      <c r="BB1483" s="94"/>
      <c r="BL1483" s="8">
        <v>1434</v>
      </c>
      <c r="BM1483" s="8">
        <v>2411569.3506180895</v>
      </c>
      <c r="BN1483" s="8">
        <v>2097636.9281521146</v>
      </c>
      <c r="BO1483" s="8">
        <v>4509206.2787702046</v>
      </c>
      <c r="BP1483" s="8">
        <v>2430925.7308880631</v>
      </c>
      <c r="BQ1483" s="8">
        <v>-2078280.5478821415</v>
      </c>
      <c r="BR1483" s="8" t="str">
        <v>Yes</v>
      </c>
    </row>
    <row r="1484" spans="54:70" x14ac:dyDescent="0.2">
      <c r="BB1484" s="94"/>
      <c r="BL1484" s="8">
        <v>1435</v>
      </c>
      <c r="BM1484" s="8">
        <v>2346551.4742716136</v>
      </c>
      <c r="BN1484" s="8">
        <v>0</v>
      </c>
      <c r="BO1484" s="8">
        <v>2346551.4742716136</v>
      </c>
      <c r="BP1484" s="8">
        <v>4002315.8075528229</v>
      </c>
      <c r="BQ1484" s="8">
        <v>1655764.3332812092</v>
      </c>
      <c r="BR1484" s="8" t="str">
        <v>No</v>
      </c>
    </row>
    <row r="1485" spans="54:70" x14ac:dyDescent="0.2">
      <c r="BB1485" s="94"/>
      <c r="BL1485" s="8">
        <v>1436</v>
      </c>
      <c r="BM1485" s="8">
        <v>1859888.6517562196</v>
      </c>
      <c r="BN1485" s="8">
        <v>1491412.1776548144</v>
      </c>
      <c r="BO1485" s="8">
        <v>3351300.829411034</v>
      </c>
      <c r="BP1485" s="8">
        <v>3553776.1859193174</v>
      </c>
      <c r="BQ1485" s="8">
        <v>202475.35650828341</v>
      </c>
      <c r="BR1485" s="8" t="str">
        <v>No</v>
      </c>
    </row>
    <row r="1486" spans="54:70" x14ac:dyDescent="0.2">
      <c r="BB1486" s="94"/>
      <c r="BL1486" s="8">
        <v>1437</v>
      </c>
      <c r="BM1486" s="8">
        <v>10038782.913852133</v>
      </c>
      <c r="BN1486" s="8">
        <v>8205128.7709052116</v>
      </c>
      <c r="BO1486" s="8">
        <v>18243911.684757344</v>
      </c>
      <c r="BP1486" s="8">
        <v>6359289.6675386569</v>
      </c>
      <c r="BQ1486" s="8">
        <v>-11884622.017218687</v>
      </c>
      <c r="BR1486" s="8" t="str">
        <v>Yes</v>
      </c>
    </row>
    <row r="1487" spans="54:70" x14ac:dyDescent="0.2">
      <c r="BB1487" s="94"/>
      <c r="BL1487" s="8">
        <v>1438</v>
      </c>
      <c r="BM1487" s="8">
        <v>3095846.1423036978</v>
      </c>
      <c r="BN1487" s="8">
        <v>0</v>
      </c>
      <c r="BO1487" s="8">
        <v>3095846.1423036978</v>
      </c>
      <c r="BP1487" s="8">
        <v>2072615.5515479548</v>
      </c>
      <c r="BQ1487" s="8">
        <v>-1023230.590755743</v>
      </c>
      <c r="BR1487" s="8" t="str">
        <v>Yes</v>
      </c>
    </row>
    <row r="1488" spans="54:70" x14ac:dyDescent="0.2">
      <c r="BB1488" s="94"/>
      <c r="BL1488" s="8">
        <v>1439</v>
      </c>
      <c r="BM1488" s="8">
        <v>5801544.8972715251</v>
      </c>
      <c r="BN1488" s="8">
        <v>2763144.8035865002</v>
      </c>
      <c r="BO1488" s="8">
        <v>8564689.7008580249</v>
      </c>
      <c r="BP1488" s="8">
        <v>3411167.9766231258</v>
      </c>
      <c r="BQ1488" s="8">
        <v>-5153521.7242348995</v>
      </c>
      <c r="BR1488" s="8" t="str">
        <v>Yes</v>
      </c>
    </row>
    <row r="1489" spans="54:70" x14ac:dyDescent="0.2">
      <c r="BB1489" s="94"/>
      <c r="BL1489" s="8">
        <v>1440</v>
      </c>
      <c r="BM1489" s="8">
        <v>6666398.9568604836</v>
      </c>
      <c r="BN1489" s="8">
        <v>4283120.6100166691</v>
      </c>
      <c r="BO1489" s="8">
        <v>10949519.566877153</v>
      </c>
      <c r="BP1489" s="8">
        <v>3299316.9945119247</v>
      </c>
      <c r="BQ1489" s="8">
        <v>-7650202.5723652281</v>
      </c>
      <c r="BR1489" s="8" t="str">
        <v>Yes</v>
      </c>
    </row>
    <row r="1490" spans="54:70" x14ac:dyDescent="0.2">
      <c r="BB1490" s="94"/>
      <c r="BL1490" s="8">
        <v>1441</v>
      </c>
      <c r="BM1490" s="8">
        <v>3184493.0202553752</v>
      </c>
      <c r="BN1490" s="8">
        <v>3291568.7152585587</v>
      </c>
      <c r="BO1490" s="8">
        <v>6476061.7355139339</v>
      </c>
      <c r="BP1490" s="8">
        <v>3520609.8611082439</v>
      </c>
      <c r="BQ1490" s="8">
        <v>-2955451.87440569</v>
      </c>
      <c r="BR1490" s="8" t="str">
        <v>Yes</v>
      </c>
    </row>
    <row r="1491" spans="54:70" x14ac:dyDescent="0.2">
      <c r="BB1491" s="94"/>
      <c r="BL1491" s="8">
        <v>1442</v>
      </c>
      <c r="BM1491" s="8">
        <v>5587801.9385764943</v>
      </c>
      <c r="BN1491" s="8">
        <v>5994971.4156329073</v>
      </c>
      <c r="BO1491" s="8">
        <v>11582773.354209401</v>
      </c>
      <c r="BP1491" s="8">
        <v>4518508.0410518246</v>
      </c>
      <c r="BQ1491" s="8">
        <v>-7064265.3131575761</v>
      </c>
      <c r="BR1491" s="8" t="str">
        <v>Yes</v>
      </c>
    </row>
    <row r="1492" spans="54:70" x14ac:dyDescent="0.2">
      <c r="BB1492" s="94"/>
      <c r="BL1492" s="8">
        <v>1443</v>
      </c>
      <c r="BM1492" s="8">
        <v>2519097.4206684651</v>
      </c>
      <c r="BN1492" s="8">
        <v>0</v>
      </c>
      <c r="BO1492" s="8">
        <v>2519097.4206684651</v>
      </c>
      <c r="BP1492" s="8">
        <v>2229738.8031697627</v>
      </c>
      <c r="BQ1492" s="8">
        <v>-289358.61749870237</v>
      </c>
      <c r="BR1492" s="8" t="str">
        <v>Yes</v>
      </c>
    </row>
    <row r="1493" spans="54:70" x14ac:dyDescent="0.2">
      <c r="BB1493" s="94"/>
      <c r="BL1493" s="8">
        <v>1444</v>
      </c>
      <c r="BM1493" s="8">
        <v>5433174.2479444593</v>
      </c>
      <c r="BN1493" s="8">
        <v>0</v>
      </c>
      <c r="BO1493" s="8">
        <v>5433174.2479444593</v>
      </c>
      <c r="BP1493" s="8">
        <v>3443966.8712434601</v>
      </c>
      <c r="BQ1493" s="8">
        <v>-1989207.3767009992</v>
      </c>
      <c r="BR1493" s="8" t="str">
        <v>Yes</v>
      </c>
    </row>
    <row r="1494" spans="54:70" x14ac:dyDescent="0.2">
      <c r="BB1494" s="94"/>
      <c r="BL1494" s="8">
        <v>1445</v>
      </c>
      <c r="BM1494" s="8">
        <v>4157571.7062079213</v>
      </c>
      <c r="BN1494" s="8">
        <v>0</v>
      </c>
      <c r="BO1494" s="8">
        <v>4157571.7062079213</v>
      </c>
      <c r="BP1494" s="8">
        <v>3952778.7744158888</v>
      </c>
      <c r="BQ1494" s="8">
        <v>-204792.93179203244</v>
      </c>
      <c r="BR1494" s="8" t="str">
        <v>Yes</v>
      </c>
    </row>
    <row r="1495" spans="54:70" x14ac:dyDescent="0.2">
      <c r="BB1495" s="94"/>
      <c r="BL1495" s="8">
        <v>1446</v>
      </c>
      <c r="BM1495" s="8">
        <v>7267897.4605455734</v>
      </c>
      <c r="BN1495" s="8">
        <v>6085100.0574153373</v>
      </c>
      <c r="BO1495" s="8">
        <v>13352997.51796091</v>
      </c>
      <c r="BP1495" s="8">
        <v>4620657.8379651364</v>
      </c>
      <c r="BQ1495" s="8">
        <v>-8732339.6799957734</v>
      </c>
      <c r="BR1495" s="8" t="str">
        <v>Yes</v>
      </c>
    </row>
    <row r="1496" spans="54:70" x14ac:dyDescent="0.2">
      <c r="BB1496" s="94"/>
      <c r="BL1496" s="8">
        <v>1447</v>
      </c>
      <c r="BM1496" s="8">
        <v>6639227.2943837699</v>
      </c>
      <c r="BN1496" s="8">
        <v>5162440.5451315725</v>
      </c>
      <c r="BO1496" s="8">
        <v>11801667.839515343</v>
      </c>
      <c r="BP1496" s="8">
        <v>6436927.4380006809</v>
      </c>
      <c r="BQ1496" s="8">
        <v>-5364740.4015146624</v>
      </c>
      <c r="BR1496" s="8" t="str">
        <v>Yes</v>
      </c>
    </row>
    <row r="1497" spans="54:70" x14ac:dyDescent="0.2">
      <c r="BB1497" s="94"/>
      <c r="BL1497" s="8">
        <v>1448</v>
      </c>
      <c r="BM1497" s="8">
        <v>5531049.3437780533</v>
      </c>
      <c r="BN1497" s="8">
        <v>0</v>
      </c>
      <c r="BO1497" s="8">
        <v>5531049.3437780533</v>
      </c>
      <c r="BP1497" s="8">
        <v>4236683.4133589705</v>
      </c>
      <c r="BQ1497" s="8">
        <v>-1294365.9304190828</v>
      </c>
      <c r="BR1497" s="8" t="str">
        <v>Yes</v>
      </c>
    </row>
    <row r="1498" spans="54:70" x14ac:dyDescent="0.2">
      <c r="BB1498" s="94"/>
      <c r="BL1498" s="8">
        <v>1449</v>
      </c>
      <c r="BM1498" s="8">
        <v>11149099.999859929</v>
      </c>
      <c r="BN1498" s="8">
        <v>0</v>
      </c>
      <c r="BO1498" s="8">
        <v>11149099.999859929</v>
      </c>
      <c r="BP1498" s="8">
        <v>4419279.8181261094</v>
      </c>
      <c r="BQ1498" s="8">
        <v>-6729820.1817338197</v>
      </c>
      <c r="BR1498" s="8" t="str">
        <v>Yes</v>
      </c>
    </row>
    <row r="1499" spans="54:70" x14ac:dyDescent="0.2">
      <c r="BB1499" s="94"/>
      <c r="BL1499" s="8">
        <v>1450</v>
      </c>
      <c r="BM1499" s="8">
        <v>3623038.1499013598</v>
      </c>
      <c r="BN1499" s="8">
        <v>0</v>
      </c>
      <c r="BO1499" s="8">
        <v>3623038.1499013598</v>
      </c>
      <c r="BP1499" s="8">
        <v>3277296.47027025</v>
      </c>
      <c r="BQ1499" s="8">
        <v>-345741.67963110982</v>
      </c>
      <c r="BR1499" s="8" t="str">
        <v>Yes</v>
      </c>
    </row>
    <row r="1500" spans="54:70" x14ac:dyDescent="0.2">
      <c r="BB1500" s="94"/>
      <c r="BL1500" s="8">
        <v>1451</v>
      </c>
      <c r="BM1500" s="8">
        <v>4314329.1126144435</v>
      </c>
      <c r="BN1500" s="8">
        <v>3062165.6529151085</v>
      </c>
      <c r="BO1500" s="8">
        <v>7376494.7655295525</v>
      </c>
      <c r="BP1500" s="8">
        <v>6144024.274470388</v>
      </c>
      <c r="BQ1500" s="8">
        <v>-1232470.4910591645</v>
      </c>
      <c r="BR1500" s="8" t="str">
        <v>Yes</v>
      </c>
    </row>
    <row r="1501" spans="54:70" x14ac:dyDescent="0.2">
      <c r="BB1501" s="94"/>
      <c r="BL1501" s="8">
        <v>1452</v>
      </c>
      <c r="BM1501" s="8">
        <v>6726325.2359939571</v>
      </c>
      <c r="BN1501" s="8">
        <v>4049423.7153861984</v>
      </c>
      <c r="BO1501" s="8">
        <v>10775748.951380156</v>
      </c>
      <c r="BP1501" s="8">
        <v>5729543.4580174889</v>
      </c>
      <c r="BQ1501" s="8">
        <v>-5046205.493362667</v>
      </c>
      <c r="BR1501" s="8" t="str">
        <v>Yes</v>
      </c>
    </row>
    <row r="1502" spans="54:70" x14ac:dyDescent="0.2">
      <c r="BB1502" s="94"/>
      <c r="BL1502" s="8">
        <v>1453</v>
      </c>
      <c r="BM1502" s="8">
        <v>3587063.2593261297</v>
      </c>
      <c r="BN1502" s="8">
        <v>911306.60966899199</v>
      </c>
      <c r="BO1502" s="8">
        <v>4498369.8689951217</v>
      </c>
      <c r="BP1502" s="8">
        <v>2318739.9476414737</v>
      </c>
      <c r="BQ1502" s="8">
        <v>-2179629.921353648</v>
      </c>
      <c r="BR1502" s="8" t="str">
        <v>Yes</v>
      </c>
    </row>
    <row r="1503" spans="54:70" x14ac:dyDescent="0.2">
      <c r="BB1503" s="94"/>
      <c r="BL1503" s="8">
        <v>1454</v>
      </c>
      <c r="BM1503" s="8">
        <v>1818614.176291974</v>
      </c>
      <c r="BN1503" s="8">
        <v>1372416.020568223</v>
      </c>
      <c r="BO1503" s="8">
        <v>3191030.196860197</v>
      </c>
      <c r="BP1503" s="8">
        <v>3485382.9449695041</v>
      </c>
      <c r="BQ1503" s="8">
        <v>294352.74810930714</v>
      </c>
      <c r="BR1503" s="8" t="str">
        <v>No</v>
      </c>
    </row>
    <row r="1504" spans="54:70" x14ac:dyDescent="0.2">
      <c r="BB1504" s="94"/>
      <c r="BL1504" s="8">
        <v>1455</v>
      </c>
      <c r="BM1504" s="8">
        <v>2722044.3771910998</v>
      </c>
      <c r="BN1504" s="8">
        <v>1922615.8004650106</v>
      </c>
      <c r="BO1504" s="8">
        <v>4644660.1776561104</v>
      </c>
      <c r="BP1504" s="8">
        <v>3360913.9960973421</v>
      </c>
      <c r="BQ1504" s="8">
        <v>-1283746.1815587683</v>
      </c>
      <c r="BR1504" s="8" t="str">
        <v>Yes</v>
      </c>
    </row>
    <row r="1505" spans="54:70" x14ac:dyDescent="0.2">
      <c r="BB1505" s="94"/>
      <c r="BL1505" s="8">
        <v>1456</v>
      </c>
      <c r="BM1505" s="8">
        <v>2733685.3650933164</v>
      </c>
      <c r="BN1505" s="8">
        <v>1748286.0718378683</v>
      </c>
      <c r="BO1505" s="8">
        <v>4481971.4369311845</v>
      </c>
      <c r="BP1505" s="8">
        <v>2321031.2738572536</v>
      </c>
      <c r="BQ1505" s="8">
        <v>-2160940.1630739309</v>
      </c>
      <c r="BR1505" s="8" t="str">
        <v>Yes</v>
      </c>
    </row>
    <row r="1506" spans="54:70" x14ac:dyDescent="0.2">
      <c r="BB1506" s="94"/>
      <c r="BL1506" s="8">
        <v>1457</v>
      </c>
      <c r="BM1506" s="8">
        <v>6282404.697515836</v>
      </c>
      <c r="BN1506" s="8">
        <v>4070279.1123750508</v>
      </c>
      <c r="BO1506" s="8">
        <v>10352683.809890887</v>
      </c>
      <c r="BP1506" s="8">
        <v>6508523.9665021636</v>
      </c>
      <c r="BQ1506" s="8">
        <v>-3844159.8433887232</v>
      </c>
      <c r="BR1506" s="8" t="str">
        <v>Yes</v>
      </c>
    </row>
    <row r="1507" spans="54:70" x14ac:dyDescent="0.2">
      <c r="BB1507" s="94"/>
      <c r="BL1507" s="8">
        <v>1458</v>
      </c>
      <c r="BM1507" s="8">
        <v>4495402.8556741355</v>
      </c>
      <c r="BN1507" s="8">
        <v>3018103.9419817887</v>
      </c>
      <c r="BO1507" s="8">
        <v>7513506.7976559242</v>
      </c>
      <c r="BP1507" s="8">
        <v>2286749.1970882434</v>
      </c>
      <c r="BQ1507" s="8">
        <v>-5226757.6005676808</v>
      </c>
      <c r="BR1507" s="8" t="str">
        <v>Yes</v>
      </c>
    </row>
    <row r="1508" spans="54:70" x14ac:dyDescent="0.2">
      <c r="BB1508" s="94"/>
      <c r="BL1508" s="8">
        <v>1459</v>
      </c>
      <c r="BM1508" s="8">
        <v>8037213.5120164678</v>
      </c>
      <c r="BN1508" s="8">
        <v>0</v>
      </c>
      <c r="BO1508" s="8">
        <v>8037213.5120164678</v>
      </c>
      <c r="BP1508" s="8">
        <v>4106176.1268240577</v>
      </c>
      <c r="BQ1508" s="8">
        <v>-3931037.3851924101</v>
      </c>
      <c r="BR1508" s="8" t="str">
        <v>Yes</v>
      </c>
    </row>
    <row r="1509" spans="54:70" x14ac:dyDescent="0.2">
      <c r="BB1509" s="94"/>
      <c r="BL1509" s="8">
        <v>1460</v>
      </c>
      <c r="BM1509" s="8">
        <v>2653300.3525445452</v>
      </c>
      <c r="BN1509" s="8">
        <v>0</v>
      </c>
      <c r="BO1509" s="8">
        <v>2653300.3525445452</v>
      </c>
      <c r="BP1509" s="8">
        <v>3578560.8349354984</v>
      </c>
      <c r="BQ1509" s="8">
        <v>925260.48239095323</v>
      </c>
      <c r="BR1509" s="8" t="str">
        <v>No</v>
      </c>
    </row>
    <row r="1510" spans="54:70" x14ac:dyDescent="0.2">
      <c r="BB1510" s="94"/>
      <c r="BL1510" s="8">
        <v>1461</v>
      </c>
      <c r="BM1510" s="8">
        <v>19857644.591410451</v>
      </c>
      <c r="BN1510" s="8">
        <v>0</v>
      </c>
      <c r="BO1510" s="8">
        <v>19857644.591410451</v>
      </c>
      <c r="BP1510" s="8">
        <v>3526087.5661126501</v>
      </c>
      <c r="BQ1510" s="8">
        <v>-16331557.0252978</v>
      </c>
      <c r="BR1510" s="8" t="str">
        <v>Yes</v>
      </c>
    </row>
    <row r="1511" spans="54:70" x14ac:dyDescent="0.2">
      <c r="BB1511" s="94"/>
      <c r="BL1511" s="8">
        <v>1462</v>
      </c>
      <c r="BM1511" s="8">
        <v>4168676.9349892428</v>
      </c>
      <c r="BN1511" s="8">
        <v>0</v>
      </c>
      <c r="BO1511" s="8">
        <v>4168676.9349892428</v>
      </c>
      <c r="BP1511" s="8">
        <v>3490275.9221856585</v>
      </c>
      <c r="BQ1511" s="8">
        <v>-678401.01280358434</v>
      </c>
      <c r="BR1511" s="8" t="str">
        <v>Yes</v>
      </c>
    </row>
    <row r="1512" spans="54:70" x14ac:dyDescent="0.2">
      <c r="BB1512" s="94"/>
      <c r="BL1512" s="8">
        <v>1463</v>
      </c>
      <c r="BM1512" s="8">
        <v>3114615.2668081019</v>
      </c>
      <c r="BN1512" s="8">
        <v>0</v>
      </c>
      <c r="BO1512" s="8">
        <v>3114615.2668081019</v>
      </c>
      <c r="BP1512" s="8">
        <v>2223339.2822853238</v>
      </c>
      <c r="BQ1512" s="8">
        <v>-891275.98452277808</v>
      </c>
      <c r="BR1512" s="8" t="str">
        <v>Yes</v>
      </c>
    </row>
    <row r="1513" spans="54:70" x14ac:dyDescent="0.2">
      <c r="BB1513" s="94"/>
      <c r="BL1513" s="8">
        <v>1464</v>
      </c>
      <c r="BM1513" s="8">
        <v>9513754.2905437611</v>
      </c>
      <c r="BN1513" s="8">
        <v>385205.19738675177</v>
      </c>
      <c r="BO1513" s="8">
        <v>9898959.4879305121</v>
      </c>
      <c r="BP1513" s="8">
        <v>6087163.2970502479</v>
      </c>
      <c r="BQ1513" s="8">
        <v>-3811796.1908802642</v>
      </c>
      <c r="BR1513" s="8" t="str">
        <v>Yes</v>
      </c>
    </row>
    <row r="1514" spans="54:70" x14ac:dyDescent="0.2">
      <c r="BB1514" s="94"/>
      <c r="BL1514" s="8">
        <v>1465</v>
      </c>
      <c r="BM1514" s="8">
        <v>3062758.2034488739</v>
      </c>
      <c r="BN1514" s="8">
        <v>1413006.7352509645</v>
      </c>
      <c r="BO1514" s="8">
        <v>4475764.9386998387</v>
      </c>
      <c r="BP1514" s="8">
        <v>5778726.657434972</v>
      </c>
      <c r="BQ1514" s="8">
        <v>1302961.7187351333</v>
      </c>
      <c r="BR1514" s="8" t="str">
        <v>No</v>
      </c>
    </row>
    <row r="1515" spans="54:70" x14ac:dyDescent="0.2">
      <c r="BB1515" s="94"/>
      <c r="BL1515" s="8">
        <v>1466</v>
      </c>
      <c r="BM1515" s="8">
        <v>1475161.1004696041</v>
      </c>
      <c r="BN1515" s="8">
        <v>861623.62047975708</v>
      </c>
      <c r="BO1515" s="8">
        <v>2336784.7209493611</v>
      </c>
      <c r="BP1515" s="8">
        <v>3516045.643182076</v>
      </c>
      <c r="BQ1515" s="8">
        <v>1179260.9222327149</v>
      </c>
      <c r="BR1515" s="8" t="str">
        <v>No</v>
      </c>
    </row>
    <row r="1516" spans="54:70" x14ac:dyDescent="0.2">
      <c r="BB1516" s="94"/>
      <c r="BL1516" s="8">
        <v>1467</v>
      </c>
      <c r="BM1516" s="8">
        <v>3699808.5594316442</v>
      </c>
      <c r="BN1516" s="8">
        <v>0</v>
      </c>
      <c r="BO1516" s="8">
        <v>3699808.5594316442</v>
      </c>
      <c r="BP1516" s="8">
        <v>2229560.6530233598</v>
      </c>
      <c r="BQ1516" s="8">
        <v>-1470247.9064082843</v>
      </c>
      <c r="BR1516" s="8" t="str">
        <v>Yes</v>
      </c>
    </row>
    <row r="1517" spans="54:70" x14ac:dyDescent="0.2">
      <c r="BB1517" s="94"/>
      <c r="BL1517" s="8">
        <v>1468</v>
      </c>
      <c r="BM1517" s="8">
        <v>3416171.9570395676</v>
      </c>
      <c r="BN1517" s="8">
        <v>0</v>
      </c>
      <c r="BO1517" s="8">
        <v>3416171.9570395676</v>
      </c>
      <c r="BP1517" s="8">
        <v>3422221.5119447429</v>
      </c>
      <c r="BQ1517" s="8">
        <v>6049.5549051752314</v>
      </c>
      <c r="BR1517" s="8" t="str">
        <v>No</v>
      </c>
    </row>
    <row r="1518" spans="54:70" x14ac:dyDescent="0.2">
      <c r="BB1518" s="94"/>
      <c r="BL1518" s="8">
        <v>1469</v>
      </c>
      <c r="BM1518" s="8">
        <v>2550633.7050111815</v>
      </c>
      <c r="BN1518" s="8">
        <v>0</v>
      </c>
      <c r="BO1518" s="8">
        <v>2550633.7050111815</v>
      </c>
      <c r="BP1518" s="8">
        <v>3424220.9200358833</v>
      </c>
      <c r="BQ1518" s="8">
        <v>873587.21502470179</v>
      </c>
      <c r="BR1518" s="8" t="str">
        <v>No</v>
      </c>
    </row>
    <row r="1519" spans="54:70" x14ac:dyDescent="0.2">
      <c r="BB1519" s="94"/>
      <c r="BL1519" s="8">
        <v>1470</v>
      </c>
      <c r="BM1519" s="8">
        <v>12730555.553426456</v>
      </c>
      <c r="BN1519" s="8">
        <v>7646071.6759610167</v>
      </c>
      <c r="BO1519" s="8">
        <v>20376627.229387473</v>
      </c>
      <c r="BP1519" s="8">
        <v>6506249.8186712703</v>
      </c>
      <c r="BQ1519" s="8">
        <v>-13870377.410716202</v>
      </c>
      <c r="BR1519" s="8" t="str">
        <v>Yes</v>
      </c>
    </row>
    <row r="1520" spans="54:70" x14ac:dyDescent="0.2">
      <c r="BB1520" s="94"/>
      <c r="BL1520" s="8">
        <v>1471</v>
      </c>
      <c r="BM1520" s="8">
        <v>3561263.2836369206</v>
      </c>
      <c r="BN1520" s="8">
        <v>0</v>
      </c>
      <c r="BO1520" s="8">
        <v>3561263.2836369206</v>
      </c>
      <c r="BP1520" s="8">
        <v>2051052.1445528029</v>
      </c>
      <c r="BQ1520" s="8">
        <v>-1510211.1390841177</v>
      </c>
      <c r="BR1520" s="8" t="str">
        <v>Yes</v>
      </c>
    </row>
    <row r="1521" spans="54:70" x14ac:dyDescent="0.2">
      <c r="BB1521" s="94"/>
      <c r="BL1521" s="8">
        <v>1472</v>
      </c>
      <c r="BM1521" s="8">
        <v>6069942.1597699299</v>
      </c>
      <c r="BN1521" s="8">
        <v>0</v>
      </c>
      <c r="BO1521" s="8">
        <v>6069942.1597699299</v>
      </c>
      <c r="BP1521" s="8">
        <v>3234557.8520427756</v>
      </c>
      <c r="BQ1521" s="8">
        <v>-2835384.3077271543</v>
      </c>
      <c r="BR1521" s="8" t="str">
        <v>Yes</v>
      </c>
    </row>
    <row r="1522" spans="54:70" x14ac:dyDescent="0.2">
      <c r="BB1522" s="94"/>
      <c r="BL1522" s="8">
        <v>1473</v>
      </c>
      <c r="BM1522" s="8">
        <v>3528446.8722834243</v>
      </c>
      <c r="BN1522" s="8">
        <v>3663360.0804403052</v>
      </c>
      <c r="BO1522" s="8">
        <v>7191806.9527237294</v>
      </c>
      <c r="BP1522" s="8">
        <v>2313936.6411881391</v>
      </c>
      <c r="BQ1522" s="8">
        <v>-4877870.3115355903</v>
      </c>
      <c r="BR1522" s="8" t="str">
        <v>Yes</v>
      </c>
    </row>
    <row r="1523" spans="54:70" x14ac:dyDescent="0.2">
      <c r="BB1523" s="94"/>
      <c r="BL1523" s="8">
        <v>1474</v>
      </c>
      <c r="BM1523" s="8">
        <v>3328399.9813811136</v>
      </c>
      <c r="BN1523" s="8">
        <v>0</v>
      </c>
      <c r="BO1523" s="8">
        <v>3328399.9813811136</v>
      </c>
      <c r="BP1523" s="8">
        <v>2144241.8046203232</v>
      </c>
      <c r="BQ1523" s="8">
        <v>-1184158.1767607904</v>
      </c>
      <c r="BR1523" s="8" t="str">
        <v>Yes</v>
      </c>
    </row>
    <row r="1524" spans="54:70" x14ac:dyDescent="0.2">
      <c r="BB1524" s="94"/>
      <c r="BL1524" s="8">
        <v>1475</v>
      </c>
      <c r="BM1524" s="8">
        <v>6778088.2641504118</v>
      </c>
      <c r="BN1524" s="8">
        <v>0</v>
      </c>
      <c r="BO1524" s="8">
        <v>6778088.2641504118</v>
      </c>
      <c r="BP1524" s="8">
        <v>2235400.0025644493</v>
      </c>
      <c r="BQ1524" s="8">
        <v>-4542688.261585962</v>
      </c>
      <c r="BR1524" s="8" t="str">
        <v>Yes</v>
      </c>
    </row>
    <row r="1525" spans="54:70" x14ac:dyDescent="0.2">
      <c r="BB1525" s="94"/>
      <c r="BL1525" s="8">
        <v>1476</v>
      </c>
      <c r="BM1525" s="8">
        <v>1724298.5921016419</v>
      </c>
      <c r="BN1525" s="8">
        <v>0</v>
      </c>
      <c r="BO1525" s="8">
        <v>1724298.5921016419</v>
      </c>
      <c r="BP1525" s="8">
        <v>4328925.0096058398</v>
      </c>
      <c r="BQ1525" s="8">
        <v>2604626.4175041979</v>
      </c>
      <c r="BR1525" s="8" t="str">
        <v>No</v>
      </c>
    </row>
    <row r="1526" spans="54:70" x14ac:dyDescent="0.2">
      <c r="BB1526" s="94"/>
      <c r="BL1526" s="8">
        <v>1477</v>
      </c>
      <c r="BM1526" s="8">
        <v>3258341.6071211072</v>
      </c>
      <c r="BN1526" s="8">
        <v>0</v>
      </c>
      <c r="BO1526" s="8">
        <v>3258341.6071211072</v>
      </c>
      <c r="BP1526" s="8">
        <v>3354687.2386280755</v>
      </c>
      <c r="BQ1526" s="8">
        <v>96345.63150696829</v>
      </c>
      <c r="BR1526" s="8" t="str">
        <v>No</v>
      </c>
    </row>
    <row r="1527" spans="54:70" x14ac:dyDescent="0.2">
      <c r="BB1527" s="94"/>
      <c r="BL1527" s="8">
        <v>1478</v>
      </c>
      <c r="BM1527" s="8">
        <v>5966661.5260938993</v>
      </c>
      <c r="BN1527" s="8">
        <v>0</v>
      </c>
      <c r="BO1527" s="8">
        <v>5966661.5260938993</v>
      </c>
      <c r="BP1527" s="8">
        <v>6947062.1667265575</v>
      </c>
      <c r="BQ1527" s="8">
        <v>980400.64063265827</v>
      </c>
      <c r="BR1527" s="8" t="str">
        <v>No</v>
      </c>
    </row>
    <row r="1528" spans="54:70" x14ac:dyDescent="0.2">
      <c r="BB1528" s="94"/>
      <c r="BL1528" s="8">
        <v>1479</v>
      </c>
      <c r="BM1528" s="8">
        <v>4740249.4533057511</v>
      </c>
      <c r="BN1528" s="8">
        <v>0</v>
      </c>
      <c r="BO1528" s="8">
        <v>4740249.4533057511</v>
      </c>
      <c r="BP1528" s="8">
        <v>3202152.170502766</v>
      </c>
      <c r="BQ1528" s="8">
        <v>-1538097.282802985</v>
      </c>
      <c r="BR1528" s="8" t="str">
        <v>Yes</v>
      </c>
    </row>
    <row r="1529" spans="54:70" x14ac:dyDescent="0.2">
      <c r="BB1529" s="94"/>
      <c r="BL1529" s="8">
        <v>1480</v>
      </c>
      <c r="BM1529" s="8">
        <v>4842609.2763542812</v>
      </c>
      <c r="BN1529" s="8">
        <v>0</v>
      </c>
      <c r="BO1529" s="8">
        <v>4842609.2763542812</v>
      </c>
      <c r="BP1529" s="8">
        <v>3665582.6406880273</v>
      </c>
      <c r="BQ1529" s="8">
        <v>-1177026.635666254</v>
      </c>
      <c r="BR1529" s="8" t="str">
        <v>Yes</v>
      </c>
    </row>
    <row r="1530" spans="54:70" x14ac:dyDescent="0.2">
      <c r="BB1530" s="94"/>
      <c r="BL1530" s="8">
        <v>1481</v>
      </c>
      <c r="BM1530" s="8">
        <v>2197693.736232914</v>
      </c>
      <c r="BN1530" s="8">
        <v>1321086.5374097673</v>
      </c>
      <c r="BO1530" s="8">
        <v>3518780.2736426815</v>
      </c>
      <c r="BP1530" s="8">
        <v>6087393.0473245969</v>
      </c>
      <c r="BQ1530" s="8">
        <v>2568612.7736819154</v>
      </c>
      <c r="BR1530" s="8" t="str">
        <v>No</v>
      </c>
    </row>
    <row r="1531" spans="54:70" x14ac:dyDescent="0.2">
      <c r="BB1531" s="94"/>
      <c r="BL1531" s="8">
        <v>1482</v>
      </c>
      <c r="BM1531" s="8">
        <v>4311918.6932313712</v>
      </c>
      <c r="BN1531" s="8">
        <v>0</v>
      </c>
      <c r="BO1531" s="8">
        <v>4311918.6932313712</v>
      </c>
      <c r="BP1531" s="8">
        <v>2325911.4832005091</v>
      </c>
      <c r="BQ1531" s="8">
        <v>-1986007.2100308621</v>
      </c>
      <c r="BR1531" s="8" t="str">
        <v>Yes</v>
      </c>
    </row>
    <row r="1532" spans="54:70" x14ac:dyDescent="0.2">
      <c r="BB1532" s="94"/>
      <c r="BL1532" s="8">
        <v>1483</v>
      </c>
      <c r="BM1532" s="8">
        <v>5112202.6371899908</v>
      </c>
      <c r="BN1532" s="8">
        <v>6705286.7074715421</v>
      </c>
      <c r="BO1532" s="8">
        <v>11817489.344661534</v>
      </c>
      <c r="BP1532" s="8">
        <v>4389227.1362478575</v>
      </c>
      <c r="BQ1532" s="8">
        <v>-7428262.2084136764</v>
      </c>
      <c r="BR1532" s="8" t="str">
        <v>Yes</v>
      </c>
    </row>
    <row r="1533" spans="54:70" x14ac:dyDescent="0.2">
      <c r="BB1533" s="94"/>
      <c r="BL1533" s="8">
        <v>1484</v>
      </c>
      <c r="BM1533" s="8">
        <v>3782087.3109171297</v>
      </c>
      <c r="BN1533" s="8">
        <v>0</v>
      </c>
      <c r="BO1533" s="8">
        <v>3782087.3109171297</v>
      </c>
      <c r="BP1533" s="8">
        <v>6752747.1486819927</v>
      </c>
      <c r="BQ1533" s="8">
        <v>2970659.8377648629</v>
      </c>
      <c r="BR1533" s="8" t="str">
        <v>No</v>
      </c>
    </row>
    <row r="1534" spans="54:70" x14ac:dyDescent="0.2">
      <c r="BB1534" s="94"/>
      <c r="BL1534" s="8">
        <v>1485</v>
      </c>
      <c r="BM1534" s="8">
        <v>4049962.928430106</v>
      </c>
      <c r="BN1534" s="8">
        <v>5130303.9634914882</v>
      </c>
      <c r="BO1534" s="8">
        <v>9180266.8919215947</v>
      </c>
      <c r="BP1534" s="8">
        <v>2255208.902209647</v>
      </c>
      <c r="BQ1534" s="8">
        <v>-6925057.9897119477</v>
      </c>
      <c r="BR1534" s="8" t="str">
        <v>Yes</v>
      </c>
    </row>
    <row r="1535" spans="54:70" x14ac:dyDescent="0.2">
      <c r="BB1535" s="94"/>
      <c r="BL1535" s="8">
        <v>1486</v>
      </c>
      <c r="BM1535" s="8">
        <v>4577932.2502834275</v>
      </c>
      <c r="BN1535" s="8">
        <v>0</v>
      </c>
      <c r="BO1535" s="8">
        <v>4577932.2502834275</v>
      </c>
      <c r="BP1535" s="8">
        <v>3166963.4969678922</v>
      </c>
      <c r="BQ1535" s="8">
        <v>-1410968.7533155354</v>
      </c>
      <c r="BR1535" s="8" t="str">
        <v>Yes</v>
      </c>
    </row>
    <row r="1536" spans="54:70" x14ac:dyDescent="0.2">
      <c r="BB1536" s="94"/>
      <c r="BL1536" s="8">
        <v>1487</v>
      </c>
      <c r="BM1536" s="8">
        <v>2647892.3320873207</v>
      </c>
      <c r="BN1536" s="8">
        <v>509308.39648954739</v>
      </c>
      <c r="BO1536" s="8">
        <v>3157200.7285768683</v>
      </c>
      <c r="BP1536" s="8">
        <v>6278505.4850299852</v>
      </c>
      <c r="BQ1536" s="8">
        <v>3121304.7564531169</v>
      </c>
      <c r="BR1536" s="8" t="str">
        <v>No</v>
      </c>
    </row>
    <row r="1537" spans="54:70" x14ac:dyDescent="0.2">
      <c r="BB1537" s="94"/>
      <c r="BL1537" s="8">
        <v>1488</v>
      </c>
      <c r="BM1537" s="8">
        <v>5765637.4562511556</v>
      </c>
      <c r="BN1537" s="8">
        <v>0</v>
      </c>
      <c r="BO1537" s="8">
        <v>5765637.4562511556</v>
      </c>
      <c r="BP1537" s="8">
        <v>6037869.8503987314</v>
      </c>
      <c r="BQ1537" s="8">
        <v>272232.39414757583</v>
      </c>
      <c r="BR1537" s="8" t="str">
        <v>No</v>
      </c>
    </row>
    <row r="1538" spans="54:70" x14ac:dyDescent="0.2">
      <c r="BB1538" s="94"/>
      <c r="BL1538" s="8">
        <v>1489</v>
      </c>
      <c r="BM1538" s="8">
        <v>3708618.1265499219</v>
      </c>
      <c r="BN1538" s="8">
        <v>0</v>
      </c>
      <c r="BO1538" s="8">
        <v>3708618.1265499219</v>
      </c>
      <c r="BP1538" s="8">
        <v>2485131.1010840288</v>
      </c>
      <c r="BQ1538" s="8">
        <v>-1223487.0254658931</v>
      </c>
      <c r="BR1538" s="8" t="str">
        <v>Yes</v>
      </c>
    </row>
    <row r="1539" spans="54:70" x14ac:dyDescent="0.2">
      <c r="BB1539" s="94"/>
      <c r="BL1539" s="8">
        <v>1490</v>
      </c>
      <c r="BM1539" s="8">
        <v>4690336.062014183</v>
      </c>
      <c r="BN1539" s="8">
        <v>5267519.4427338839</v>
      </c>
      <c r="BO1539" s="8">
        <v>9957855.5047480669</v>
      </c>
      <c r="BP1539" s="8">
        <v>4326278.8882272579</v>
      </c>
      <c r="BQ1539" s="8">
        <v>-5631576.616520809</v>
      </c>
      <c r="BR1539" s="8" t="str">
        <v>Yes</v>
      </c>
    </row>
    <row r="1540" spans="54:70" x14ac:dyDescent="0.2">
      <c r="BB1540" s="94"/>
      <c r="BL1540" s="8">
        <v>1491</v>
      </c>
      <c r="BM1540" s="8">
        <v>2894208.6341363275</v>
      </c>
      <c r="BN1540" s="8">
        <v>3045375.7024081387</v>
      </c>
      <c r="BO1540" s="8">
        <v>5939584.3365444662</v>
      </c>
      <c r="BP1540" s="8">
        <v>3136219.9267949243</v>
      </c>
      <c r="BQ1540" s="8">
        <v>-2803364.4097495419</v>
      </c>
      <c r="BR1540" s="8" t="str">
        <v>Yes</v>
      </c>
    </row>
    <row r="1541" spans="54:70" x14ac:dyDescent="0.2">
      <c r="BB1541" s="94"/>
      <c r="BL1541" s="8">
        <v>1492</v>
      </c>
      <c r="BM1541" s="8">
        <v>4669037.6964216363</v>
      </c>
      <c r="BN1541" s="8">
        <v>0</v>
      </c>
      <c r="BO1541" s="8">
        <v>4669037.6964216363</v>
      </c>
      <c r="BP1541" s="8">
        <v>6223001.6876911884</v>
      </c>
      <c r="BQ1541" s="8">
        <v>1553963.9912695521</v>
      </c>
      <c r="BR1541" s="8" t="str">
        <v>No</v>
      </c>
    </row>
    <row r="1542" spans="54:70" x14ac:dyDescent="0.2">
      <c r="BB1542" s="94"/>
      <c r="BL1542" s="8">
        <v>1493</v>
      </c>
      <c r="BM1542" s="8">
        <v>1597364.4725123902</v>
      </c>
      <c r="BN1542" s="8">
        <v>1082740.1998212819</v>
      </c>
      <c r="BO1542" s="8">
        <v>2680104.6723336722</v>
      </c>
      <c r="BP1542" s="8">
        <v>3381472.2578643225</v>
      </c>
      <c r="BQ1542" s="8">
        <v>701367.58553065034</v>
      </c>
      <c r="BR1542" s="8" t="str">
        <v>No</v>
      </c>
    </row>
    <row r="1543" spans="54:70" x14ac:dyDescent="0.2">
      <c r="BB1543" s="94"/>
      <c r="BL1543" s="8">
        <v>1494</v>
      </c>
      <c r="BM1543" s="8">
        <v>3650399.8208412831</v>
      </c>
      <c r="BN1543" s="8">
        <v>3287651.3023304176</v>
      </c>
      <c r="BO1543" s="8">
        <v>6938051.1231717002</v>
      </c>
      <c r="BP1543" s="8">
        <v>2286659.3814593768</v>
      </c>
      <c r="BQ1543" s="8">
        <v>-4651391.7417123234</v>
      </c>
      <c r="BR1543" s="8" t="str">
        <v>Yes</v>
      </c>
    </row>
    <row r="1544" spans="54:70" x14ac:dyDescent="0.2">
      <c r="BB1544" s="94"/>
      <c r="BL1544" s="8">
        <v>1495</v>
      </c>
      <c r="BM1544" s="8">
        <v>2227557.9396982216</v>
      </c>
      <c r="BN1544" s="8">
        <v>506592.62068490684</v>
      </c>
      <c r="BO1544" s="8">
        <v>2734150.5603831285</v>
      </c>
      <c r="BP1544" s="8">
        <v>6849601.2280603116</v>
      </c>
      <c r="BQ1544" s="8">
        <v>4115450.6676771832</v>
      </c>
      <c r="BR1544" s="8" t="str">
        <v>No</v>
      </c>
    </row>
    <row r="1545" spans="54:70" x14ac:dyDescent="0.2">
      <c r="BB1545" s="94"/>
      <c r="BL1545" s="8">
        <v>1496</v>
      </c>
      <c r="BM1545" s="8">
        <v>3826690.6736764917</v>
      </c>
      <c r="BN1545" s="8">
        <v>0</v>
      </c>
      <c r="BO1545" s="8">
        <v>3826690.6736764917</v>
      </c>
      <c r="BP1545" s="8">
        <v>6379287.7683284869</v>
      </c>
      <c r="BQ1545" s="8">
        <v>2552597.0946519952</v>
      </c>
      <c r="BR1545" s="8" t="str">
        <v>No</v>
      </c>
    </row>
    <row r="1546" spans="54:70" x14ac:dyDescent="0.2">
      <c r="BB1546" s="94"/>
      <c r="BL1546" s="8">
        <v>1497</v>
      </c>
      <c r="BM1546" s="8">
        <v>6229521.1240978809</v>
      </c>
      <c r="BN1546" s="8">
        <v>0</v>
      </c>
      <c r="BO1546" s="8">
        <v>6229521.1240978809</v>
      </c>
      <c r="BP1546" s="8">
        <v>4144994.697936161</v>
      </c>
      <c r="BQ1546" s="8">
        <v>-2084526.42616172</v>
      </c>
      <c r="BR1546" s="8" t="str">
        <v>Yes</v>
      </c>
    </row>
    <row r="1547" spans="54:70" x14ac:dyDescent="0.2">
      <c r="BB1547" s="94"/>
      <c r="BL1547" s="8">
        <v>1498</v>
      </c>
      <c r="BM1547" s="8">
        <v>2241361.8219334995</v>
      </c>
      <c r="BN1547" s="8">
        <v>0</v>
      </c>
      <c r="BO1547" s="8">
        <v>2241361.8219334995</v>
      </c>
      <c r="BP1547" s="8">
        <v>6427888.6385045061</v>
      </c>
      <c r="BQ1547" s="8">
        <v>4186526.8165710066</v>
      </c>
      <c r="BR1547" s="8" t="str">
        <v>No</v>
      </c>
    </row>
    <row r="1548" spans="54:70" x14ac:dyDescent="0.2">
      <c r="BB1548" s="94"/>
      <c r="BL1548" s="8">
        <v>1499</v>
      </c>
      <c r="BM1548" s="8">
        <v>2805764.1141148703</v>
      </c>
      <c r="BN1548" s="8">
        <v>0</v>
      </c>
      <c r="BO1548" s="8">
        <v>2805764.1141148703</v>
      </c>
      <c r="BP1548" s="8">
        <v>6370607.7202094896</v>
      </c>
      <c r="BQ1548" s="8">
        <v>3564843.6060946193</v>
      </c>
      <c r="BR1548" s="8" t="str">
        <v>No</v>
      </c>
    </row>
    <row r="1549" spans="54:70" x14ac:dyDescent="0.2">
      <c r="BB1549" s="94"/>
      <c r="BL1549" s="8">
        <v>1500</v>
      </c>
      <c r="BM1549" s="8">
        <v>16012252.084973076</v>
      </c>
      <c r="BN1549" s="8">
        <v>0</v>
      </c>
      <c r="BO1549" s="8">
        <v>16012252.084973076</v>
      </c>
      <c r="BP1549" s="8">
        <v>6266735.9440801889</v>
      </c>
      <c r="BQ1549" s="8">
        <v>-9745516.1408928875</v>
      </c>
      <c r="BR1549" s="8" t="str">
        <v>Yes</v>
      </c>
    </row>
    <row r="1550" spans="54:70" x14ac:dyDescent="0.2">
      <c r="BB1550" s="94"/>
      <c r="BL1550" s="8">
        <v>1501</v>
      </c>
      <c r="BM1550" s="8">
        <v>3061554.1040689573</v>
      </c>
      <c r="BN1550" s="8">
        <v>0</v>
      </c>
      <c r="BO1550" s="8">
        <v>3061554.1040689573</v>
      </c>
      <c r="BP1550" s="8">
        <v>3332059.6604321869</v>
      </c>
      <c r="BQ1550" s="8">
        <v>270505.55636322964</v>
      </c>
      <c r="BR1550" s="8" t="str">
        <v>No</v>
      </c>
    </row>
    <row r="1551" spans="54:70" x14ac:dyDescent="0.2">
      <c r="BB1551" s="94"/>
      <c r="BL1551" s="8">
        <v>1502</v>
      </c>
      <c r="BM1551" s="8">
        <v>4717837.2076685308</v>
      </c>
      <c r="BN1551" s="8">
        <v>2188669.5941684362</v>
      </c>
      <c r="BO1551" s="8">
        <v>6906506.8018369675</v>
      </c>
      <c r="BP1551" s="8">
        <v>6135260.1297073653</v>
      </c>
      <c r="BQ1551" s="8">
        <v>-771246.67212960217</v>
      </c>
      <c r="BR1551" s="8" t="str">
        <v>Yes</v>
      </c>
    </row>
    <row r="1552" spans="54:70" x14ac:dyDescent="0.2">
      <c r="BB1552" s="94"/>
      <c r="BL1552" s="8">
        <v>1503</v>
      </c>
      <c r="BM1552" s="8">
        <v>3382383.3974274592</v>
      </c>
      <c r="BN1552" s="8">
        <v>0</v>
      </c>
      <c r="BO1552" s="8">
        <v>3382383.3974274592</v>
      </c>
      <c r="BP1552" s="8">
        <v>6621764.8705169046</v>
      </c>
      <c r="BQ1552" s="8">
        <v>3239381.4730894454</v>
      </c>
      <c r="BR1552" s="8" t="str">
        <v>No</v>
      </c>
    </row>
    <row r="1553" spans="54:70" x14ac:dyDescent="0.2">
      <c r="BB1553" s="94"/>
      <c r="BL1553" s="8">
        <v>1504</v>
      </c>
      <c r="BM1553" s="8">
        <v>4915614.54671501</v>
      </c>
      <c r="BN1553" s="8">
        <v>7568161.8186564501</v>
      </c>
      <c r="BO1553" s="8">
        <v>12483776.36537146</v>
      </c>
      <c r="BP1553" s="8">
        <v>4818924.6166735915</v>
      </c>
      <c r="BQ1553" s="8">
        <v>-7664851.7486978685</v>
      </c>
      <c r="BR1553" s="8" t="str">
        <v>Yes</v>
      </c>
    </row>
    <row r="1554" spans="54:70" x14ac:dyDescent="0.2">
      <c r="BB1554" s="94"/>
      <c r="BL1554" s="8">
        <v>1505</v>
      </c>
      <c r="BM1554" s="8">
        <v>3491689.1291595474</v>
      </c>
      <c r="BN1554" s="8">
        <v>0</v>
      </c>
      <c r="BO1554" s="8">
        <v>3491689.1291595474</v>
      </c>
      <c r="BP1554" s="8">
        <v>6336088.3657687139</v>
      </c>
      <c r="BQ1554" s="8">
        <v>2844399.2366091665</v>
      </c>
      <c r="BR1554" s="8" t="str">
        <v>No</v>
      </c>
    </row>
    <row r="1555" spans="54:70" x14ac:dyDescent="0.2">
      <c r="BB1555" s="94"/>
      <c r="BL1555" s="8">
        <v>1506</v>
      </c>
      <c r="BM1555" s="8">
        <v>8305214.5427054577</v>
      </c>
      <c r="BN1555" s="8">
        <v>0</v>
      </c>
      <c r="BO1555" s="8">
        <v>8305214.5427054577</v>
      </c>
      <c r="BP1555" s="8">
        <v>4392698.5951302946</v>
      </c>
      <c r="BQ1555" s="8">
        <v>-3912515.9475751631</v>
      </c>
      <c r="BR1555" s="8" t="str">
        <v>Yes</v>
      </c>
    </row>
    <row r="1556" spans="54:70" x14ac:dyDescent="0.2">
      <c r="BB1556" s="94"/>
      <c r="BL1556" s="8">
        <v>1507</v>
      </c>
      <c r="BM1556" s="8">
        <v>4780009.9935324434</v>
      </c>
      <c r="BN1556" s="8">
        <v>0</v>
      </c>
      <c r="BO1556" s="8">
        <v>4780009.9935324434</v>
      </c>
      <c r="BP1556" s="8">
        <v>3255495.7336702221</v>
      </c>
      <c r="BQ1556" s="8">
        <v>-1524514.2598622213</v>
      </c>
      <c r="BR1556" s="8" t="str">
        <v>Yes</v>
      </c>
    </row>
    <row r="1557" spans="54:70" x14ac:dyDescent="0.2">
      <c r="BB1557" s="94"/>
      <c r="BL1557" s="8">
        <v>1508</v>
      </c>
      <c r="BM1557" s="8">
        <v>3297755.3080677548</v>
      </c>
      <c r="BN1557" s="8">
        <v>0</v>
      </c>
      <c r="BO1557" s="8">
        <v>3297755.3080677548</v>
      </c>
      <c r="BP1557" s="8">
        <v>3477047.2265048022</v>
      </c>
      <c r="BQ1557" s="8">
        <v>179291.9184370474</v>
      </c>
      <c r="BR1557" s="8" t="str">
        <v>No</v>
      </c>
    </row>
    <row r="1558" spans="54:70" x14ac:dyDescent="0.2">
      <c r="BB1558" s="94"/>
      <c r="BL1558" s="8">
        <v>1509</v>
      </c>
      <c r="BM1558" s="8">
        <v>2626245.4763683118</v>
      </c>
      <c r="BN1558" s="8">
        <v>0</v>
      </c>
      <c r="BO1558" s="8">
        <v>2626245.4763683118</v>
      </c>
      <c r="BP1558" s="8">
        <v>1939348.722065907</v>
      </c>
      <c r="BQ1558" s="8">
        <v>-686896.75430240482</v>
      </c>
      <c r="BR1558" s="8" t="str">
        <v>Yes</v>
      </c>
    </row>
    <row r="1559" spans="54:70" x14ac:dyDescent="0.2">
      <c r="BB1559" s="94"/>
      <c r="BL1559" s="8">
        <v>1510</v>
      </c>
      <c r="BM1559" s="8">
        <v>3177732.4377781264</v>
      </c>
      <c r="BN1559" s="8">
        <v>0</v>
      </c>
      <c r="BO1559" s="8">
        <v>3177732.4377781264</v>
      </c>
      <c r="BP1559" s="8">
        <v>4910706.1397917392</v>
      </c>
      <c r="BQ1559" s="8">
        <v>1732973.7020136127</v>
      </c>
      <c r="BR1559" s="8" t="str">
        <v>No</v>
      </c>
    </row>
    <row r="1560" spans="54:70" x14ac:dyDescent="0.2">
      <c r="BB1560" s="94"/>
      <c r="BL1560" s="8">
        <v>1511</v>
      </c>
      <c r="BM1560" s="8">
        <v>2467862.4037247719</v>
      </c>
      <c r="BN1560" s="8">
        <v>0</v>
      </c>
      <c r="BO1560" s="8">
        <v>2467862.4037247719</v>
      </c>
      <c r="BP1560" s="8">
        <v>3407419.2680049562</v>
      </c>
      <c r="BQ1560" s="8">
        <v>939556.86428018427</v>
      </c>
      <c r="BR1560" s="8" t="str">
        <v>No</v>
      </c>
    </row>
    <row r="1561" spans="54:70" x14ac:dyDescent="0.2">
      <c r="BB1561" s="94"/>
      <c r="BL1561" s="8">
        <v>1512</v>
      </c>
      <c r="BM1561" s="8">
        <v>5441040.1043035332</v>
      </c>
      <c r="BN1561" s="8">
        <v>6694006.3983542016</v>
      </c>
      <c r="BO1561" s="8">
        <v>12135046.502657734</v>
      </c>
      <c r="BP1561" s="8">
        <v>3132498.9915830805</v>
      </c>
      <c r="BQ1561" s="8">
        <v>-9002547.5110746529</v>
      </c>
      <c r="BR1561" s="8" t="str">
        <v>Yes</v>
      </c>
    </row>
    <row r="1562" spans="54:70" x14ac:dyDescent="0.2">
      <c r="BB1562" s="94"/>
      <c r="BL1562" s="8">
        <v>1513</v>
      </c>
      <c r="BM1562" s="8">
        <v>3595442.3582967641</v>
      </c>
      <c r="BN1562" s="8">
        <v>0</v>
      </c>
      <c r="BO1562" s="8">
        <v>3595442.3582967641</v>
      </c>
      <c r="BP1562" s="8">
        <v>3640626.3421563106</v>
      </c>
      <c r="BQ1562" s="8">
        <v>45183.983859546483</v>
      </c>
      <c r="BR1562" s="8" t="str">
        <v>No</v>
      </c>
    </row>
    <row r="1563" spans="54:70" x14ac:dyDescent="0.2">
      <c r="BB1563" s="94"/>
      <c r="BL1563" s="8">
        <v>1514</v>
      </c>
      <c r="BM1563" s="8">
        <v>4947126.6109507969</v>
      </c>
      <c r="BN1563" s="8">
        <v>0</v>
      </c>
      <c r="BO1563" s="8">
        <v>4947126.6109507969</v>
      </c>
      <c r="BP1563" s="8">
        <v>2235185.1694273818</v>
      </c>
      <c r="BQ1563" s="8">
        <v>-2711941.441523415</v>
      </c>
      <c r="BR1563" s="8" t="str">
        <v>Yes</v>
      </c>
    </row>
    <row r="1564" spans="54:70" x14ac:dyDescent="0.2">
      <c r="BB1564" s="94"/>
      <c r="BL1564" s="8">
        <v>1515</v>
      </c>
      <c r="BM1564" s="8">
        <v>3196475.3061286961</v>
      </c>
      <c r="BN1564" s="8">
        <v>1400295.9917535121</v>
      </c>
      <c r="BO1564" s="8">
        <v>4596771.2978822086</v>
      </c>
      <c r="BP1564" s="8">
        <v>3170894.9149871459</v>
      </c>
      <c r="BQ1564" s="8">
        <v>-1425876.3828950627</v>
      </c>
      <c r="BR1564" s="8" t="str">
        <v>Yes</v>
      </c>
    </row>
    <row r="1565" spans="54:70" x14ac:dyDescent="0.2">
      <c r="BB1565" s="94"/>
      <c r="BL1565" s="8">
        <v>1516</v>
      </c>
      <c r="BM1565" s="8">
        <v>3402389.3310968624</v>
      </c>
      <c r="BN1565" s="8">
        <v>2883473.1314909793</v>
      </c>
      <c r="BO1565" s="8">
        <v>6285862.4625878418</v>
      </c>
      <c r="BP1565" s="8">
        <v>4539446.8080767207</v>
      </c>
      <c r="BQ1565" s="8">
        <v>-1746415.6545111211</v>
      </c>
      <c r="BR1565" s="8" t="str">
        <v>Yes</v>
      </c>
    </row>
    <row r="1566" spans="54:70" x14ac:dyDescent="0.2">
      <c r="BB1566" s="94"/>
      <c r="BL1566" s="8">
        <v>1517</v>
      </c>
      <c r="BM1566" s="8">
        <v>3133805.9675215269</v>
      </c>
      <c r="BN1566" s="8">
        <v>2705043.8002819438</v>
      </c>
      <c r="BO1566" s="8">
        <v>5838849.7678034706</v>
      </c>
      <c r="BP1566" s="8">
        <v>4191790.602342831</v>
      </c>
      <c r="BQ1566" s="8">
        <v>-1647059.1654606396</v>
      </c>
      <c r="BR1566" s="8" t="str">
        <v>Yes</v>
      </c>
    </row>
    <row r="1567" spans="54:70" x14ac:dyDescent="0.2">
      <c r="BB1567" s="94"/>
      <c r="BL1567" s="8">
        <v>1518</v>
      </c>
      <c r="BM1567" s="8">
        <v>5653049.6047103386</v>
      </c>
      <c r="BN1567" s="8">
        <v>1850790.9049324831</v>
      </c>
      <c r="BO1567" s="8">
        <v>7503840.5096428217</v>
      </c>
      <c r="BP1567" s="8">
        <v>2113584.4467898188</v>
      </c>
      <c r="BQ1567" s="8">
        <v>-5390256.0628530029</v>
      </c>
      <c r="BR1567" s="8" t="str">
        <v>Yes</v>
      </c>
    </row>
    <row r="1568" spans="54:70" x14ac:dyDescent="0.2">
      <c r="BB1568" s="94"/>
      <c r="BL1568" s="8">
        <v>1519</v>
      </c>
      <c r="BM1568" s="8">
        <v>3555934.4010525956</v>
      </c>
      <c r="BN1568" s="8">
        <v>4967730.656615573</v>
      </c>
      <c r="BO1568" s="8">
        <v>8523665.0576681681</v>
      </c>
      <c r="BP1568" s="8">
        <v>4323448.9089004258</v>
      </c>
      <c r="BQ1568" s="8">
        <v>-4200216.1487677423</v>
      </c>
      <c r="BR1568" s="8" t="str">
        <v>Yes</v>
      </c>
    </row>
    <row r="1569" spans="54:70" x14ac:dyDescent="0.2">
      <c r="BB1569" s="94"/>
      <c r="BL1569" s="8">
        <v>1520</v>
      </c>
      <c r="BM1569" s="8">
        <v>3724633.844079135</v>
      </c>
      <c r="BN1569" s="8">
        <v>1944204.7539598404</v>
      </c>
      <c r="BO1569" s="8">
        <v>5668838.5980389751</v>
      </c>
      <c r="BP1569" s="8">
        <v>6177972.0065281615</v>
      </c>
      <c r="BQ1569" s="8">
        <v>509133.40848918632</v>
      </c>
      <c r="BR1569" s="8" t="str">
        <v>No</v>
      </c>
    </row>
    <row r="1570" spans="54:70" x14ac:dyDescent="0.2">
      <c r="BB1570" s="94"/>
      <c r="BL1570" s="8">
        <v>1521</v>
      </c>
      <c r="BM1570" s="8">
        <v>5457010.9550402295</v>
      </c>
      <c r="BN1570" s="8">
        <v>166621.38879611011</v>
      </c>
      <c r="BO1570" s="8">
        <v>5623632.3438363392</v>
      </c>
      <c r="BP1570" s="8">
        <v>5835419.2824340053</v>
      </c>
      <c r="BQ1570" s="8">
        <v>211786.9385976661</v>
      </c>
      <c r="BR1570" s="8" t="str">
        <v>No</v>
      </c>
    </row>
    <row r="1571" spans="54:70" x14ac:dyDescent="0.2">
      <c r="BB1571" s="94"/>
      <c r="BL1571" s="8">
        <v>1522</v>
      </c>
      <c r="BM1571" s="8">
        <v>2983266.3490834092</v>
      </c>
      <c r="BN1571" s="8">
        <v>0</v>
      </c>
      <c r="BO1571" s="8">
        <v>2983266.3490834092</v>
      </c>
      <c r="BP1571" s="8">
        <v>4529899.8860258088</v>
      </c>
      <c r="BQ1571" s="8">
        <v>1546633.5369423996</v>
      </c>
      <c r="BR1571" s="8" t="str">
        <v>No</v>
      </c>
    </row>
    <row r="1572" spans="54:70" x14ac:dyDescent="0.2">
      <c r="BB1572" s="94"/>
      <c r="BL1572" s="8">
        <v>1523</v>
      </c>
      <c r="BM1572" s="8">
        <v>3966776.908174715</v>
      </c>
      <c r="BN1572" s="8">
        <v>4746701.0593500081</v>
      </c>
      <c r="BO1572" s="8">
        <v>8713477.9675247222</v>
      </c>
      <c r="BP1572" s="8">
        <v>3322250.197027693</v>
      </c>
      <c r="BQ1572" s="8">
        <v>-5391227.7704970296</v>
      </c>
      <c r="BR1572" s="8" t="str">
        <v>Yes</v>
      </c>
    </row>
    <row r="1573" spans="54:70" x14ac:dyDescent="0.2">
      <c r="BB1573" s="94"/>
      <c r="BL1573" s="8">
        <v>1524</v>
      </c>
      <c r="BM1573" s="8">
        <v>2600992.674249188</v>
      </c>
      <c r="BN1573" s="8">
        <v>2401472.13839</v>
      </c>
      <c r="BO1573" s="8">
        <v>5002464.812639188</v>
      </c>
      <c r="BP1573" s="8">
        <v>4236694.0854971288</v>
      </c>
      <c r="BQ1573" s="8">
        <v>-765770.72714205924</v>
      </c>
      <c r="BR1573" s="8" t="str">
        <v>Yes</v>
      </c>
    </row>
    <row r="1574" spans="54:70" x14ac:dyDescent="0.2">
      <c r="BB1574" s="94"/>
      <c r="BL1574" s="8">
        <v>1525</v>
      </c>
      <c r="BM1574" s="8">
        <v>3066145.6703231023</v>
      </c>
      <c r="BN1574" s="8">
        <v>2287876.3577724276</v>
      </c>
      <c r="BO1574" s="8">
        <v>5354022.0280955303</v>
      </c>
      <c r="BP1574" s="8">
        <v>3816091.0546714701</v>
      </c>
      <c r="BQ1574" s="8">
        <v>-1537930.9734240603</v>
      </c>
      <c r="BR1574" s="8" t="str">
        <v>Yes</v>
      </c>
    </row>
    <row r="1575" spans="54:70" x14ac:dyDescent="0.2">
      <c r="BB1575" s="94"/>
      <c r="BL1575" s="8">
        <v>1526</v>
      </c>
      <c r="BM1575" s="8">
        <v>2864456.6484144717</v>
      </c>
      <c r="BN1575" s="8">
        <v>1118797.6622578553</v>
      </c>
      <c r="BO1575" s="8">
        <v>3983254.3106723269</v>
      </c>
      <c r="BP1575" s="8">
        <v>4002482.0658278884</v>
      </c>
      <c r="BQ1575" s="8">
        <v>19227.755155561492</v>
      </c>
      <c r="BR1575" s="8" t="str">
        <v>No</v>
      </c>
    </row>
    <row r="1576" spans="54:70" x14ac:dyDescent="0.2">
      <c r="BB1576" s="94"/>
      <c r="BL1576" s="8">
        <v>1527</v>
      </c>
      <c r="BM1576" s="8">
        <v>3082026.2420461876</v>
      </c>
      <c r="BN1576" s="8">
        <v>2902948.1896615601</v>
      </c>
      <c r="BO1576" s="8">
        <v>5984974.4317077473</v>
      </c>
      <c r="BP1576" s="8">
        <v>3199949.0250630761</v>
      </c>
      <c r="BQ1576" s="8">
        <v>-2785025.4066446712</v>
      </c>
      <c r="BR1576" s="8" t="str">
        <v>Yes</v>
      </c>
    </row>
    <row r="1577" spans="54:70" x14ac:dyDescent="0.2">
      <c r="BB1577" s="94"/>
      <c r="BL1577" s="8">
        <v>1528</v>
      </c>
      <c r="BM1577" s="8">
        <v>1453986.8797644759</v>
      </c>
      <c r="BN1577" s="8">
        <v>0</v>
      </c>
      <c r="BO1577" s="8">
        <v>1453986.8797644759</v>
      </c>
      <c r="BP1577" s="8">
        <v>3368541.1577855689</v>
      </c>
      <c r="BQ1577" s="8">
        <v>1914554.278021093</v>
      </c>
      <c r="BR1577" s="8" t="str">
        <v>No</v>
      </c>
    </row>
    <row r="1578" spans="54:70" x14ac:dyDescent="0.2">
      <c r="BB1578" s="94"/>
      <c r="BL1578" s="8">
        <v>1529</v>
      </c>
      <c r="BM1578" s="8">
        <v>4830766.6779201385</v>
      </c>
      <c r="BN1578" s="8">
        <v>3101609.1170842601</v>
      </c>
      <c r="BO1578" s="8">
        <v>7932375.7950043986</v>
      </c>
      <c r="BP1578" s="8">
        <v>6532146.2300287476</v>
      </c>
      <c r="BQ1578" s="8">
        <v>-1400229.564975651</v>
      </c>
      <c r="BR1578" s="8" t="str">
        <v>Yes</v>
      </c>
    </row>
    <row r="1579" spans="54:70" x14ac:dyDescent="0.2">
      <c r="BB1579" s="94"/>
      <c r="BL1579" s="8">
        <v>1530</v>
      </c>
      <c r="BM1579" s="8">
        <v>2894036.8347042417</v>
      </c>
      <c r="BN1579" s="8">
        <v>0</v>
      </c>
      <c r="BO1579" s="8">
        <v>2894036.8347042417</v>
      </c>
      <c r="BP1579" s="8">
        <v>4110570.697094541</v>
      </c>
      <c r="BQ1579" s="8">
        <v>1216533.8623902993</v>
      </c>
      <c r="BR1579" s="8" t="str">
        <v>No</v>
      </c>
    </row>
    <row r="1580" spans="54:70" x14ac:dyDescent="0.2">
      <c r="BB1580" s="94"/>
      <c r="BL1580" s="8">
        <v>1531</v>
      </c>
      <c r="BM1580" s="8">
        <v>6332631.5105069503</v>
      </c>
      <c r="BN1580" s="8">
        <v>2947867.925392909</v>
      </c>
      <c r="BO1580" s="8">
        <v>9280499.4358998593</v>
      </c>
      <c r="BP1580" s="8">
        <v>6882911.7023841143</v>
      </c>
      <c r="BQ1580" s="8">
        <v>-2397587.733515745</v>
      </c>
      <c r="BR1580" s="8" t="str">
        <v>Yes</v>
      </c>
    </row>
    <row r="1581" spans="54:70" x14ac:dyDescent="0.2">
      <c r="BB1581" s="94"/>
      <c r="BL1581" s="8">
        <v>1532</v>
      </c>
      <c r="BM1581" s="8">
        <v>9977835.0018944927</v>
      </c>
      <c r="BN1581" s="8">
        <v>0</v>
      </c>
      <c r="BO1581" s="8">
        <v>9977835.0018944927</v>
      </c>
      <c r="BP1581" s="8">
        <v>6180654.4838289674</v>
      </c>
      <c r="BQ1581" s="8">
        <v>-3797180.5180655252</v>
      </c>
      <c r="BR1581" s="8" t="str">
        <v>Yes</v>
      </c>
    </row>
    <row r="1582" spans="54:70" x14ac:dyDescent="0.2">
      <c r="BB1582" s="94"/>
      <c r="BL1582" s="8">
        <v>1533</v>
      </c>
      <c r="BM1582" s="8">
        <v>2284742.9431457678</v>
      </c>
      <c r="BN1582" s="8">
        <v>1758476.3784701591</v>
      </c>
      <c r="BO1582" s="8">
        <v>4043219.3216159269</v>
      </c>
      <c r="BP1582" s="8">
        <v>4104867.1201821715</v>
      </c>
      <c r="BQ1582" s="8">
        <v>61647.798566244543</v>
      </c>
      <c r="BR1582" s="8" t="str">
        <v>No</v>
      </c>
    </row>
    <row r="1583" spans="54:70" x14ac:dyDescent="0.2">
      <c r="BB1583" s="94"/>
      <c r="BL1583" s="8">
        <v>1534</v>
      </c>
      <c r="BM1583" s="8">
        <v>2067937.5461713928</v>
      </c>
      <c r="BN1583" s="8">
        <v>0</v>
      </c>
      <c r="BO1583" s="8">
        <v>2067937.5461713928</v>
      </c>
      <c r="BP1583" s="8">
        <v>5954016.9076284133</v>
      </c>
      <c r="BQ1583" s="8">
        <v>3886079.3614570205</v>
      </c>
      <c r="BR1583" s="8" t="str">
        <v>No</v>
      </c>
    </row>
    <row r="1584" spans="54:70" x14ac:dyDescent="0.2">
      <c r="BB1584" s="94"/>
      <c r="BL1584" s="8">
        <v>1535</v>
      </c>
      <c r="BM1584" s="8">
        <v>4822489.6998101715</v>
      </c>
      <c r="BN1584" s="8">
        <v>1833704.9603481819</v>
      </c>
      <c r="BO1584" s="8">
        <v>6656194.6601583529</v>
      </c>
      <c r="BP1584" s="8">
        <v>6498246.7132796915</v>
      </c>
      <c r="BQ1584" s="8">
        <v>-157947.9468786614</v>
      </c>
      <c r="BR1584" s="8" t="str">
        <v>Yes</v>
      </c>
    </row>
    <row r="1585" spans="54:70" x14ac:dyDescent="0.2">
      <c r="BB1585" s="94"/>
      <c r="BL1585" s="8">
        <v>1536</v>
      </c>
      <c r="BM1585" s="8">
        <v>4770645.8512829775</v>
      </c>
      <c r="BN1585" s="8">
        <v>3957981.8201638861</v>
      </c>
      <c r="BO1585" s="8">
        <v>8728627.6714468636</v>
      </c>
      <c r="BP1585" s="8">
        <v>3368624.216915614</v>
      </c>
      <c r="BQ1585" s="8">
        <v>-5360003.4545312496</v>
      </c>
      <c r="BR1585" s="8" t="str">
        <v>Yes</v>
      </c>
    </row>
    <row r="1586" spans="54:70" x14ac:dyDescent="0.2">
      <c r="BB1586" s="94"/>
      <c r="BL1586" s="8">
        <v>1537</v>
      </c>
      <c r="BM1586" s="8">
        <v>3702143.2051686328</v>
      </c>
      <c r="BN1586" s="8">
        <v>0</v>
      </c>
      <c r="BO1586" s="8">
        <v>3702143.2051686328</v>
      </c>
      <c r="BP1586" s="8">
        <v>5904614.6974017993</v>
      </c>
      <c r="BQ1586" s="8">
        <v>2202471.4922331665</v>
      </c>
      <c r="BR1586" s="8" t="str">
        <v>No</v>
      </c>
    </row>
    <row r="1587" spans="54:70" x14ac:dyDescent="0.2">
      <c r="BB1587" s="94"/>
      <c r="BL1587" s="8">
        <v>1538</v>
      </c>
      <c r="BM1587" s="8">
        <v>3728479.8830923191</v>
      </c>
      <c r="BN1587" s="8">
        <v>0</v>
      </c>
      <c r="BO1587" s="8">
        <v>3728479.8830923191</v>
      </c>
      <c r="BP1587" s="8">
        <v>4563266.2203915305</v>
      </c>
      <c r="BQ1587" s="8">
        <v>834786.33729921142</v>
      </c>
      <c r="BR1587" s="8" t="str">
        <v>No</v>
      </c>
    </row>
    <row r="1588" spans="54:70" x14ac:dyDescent="0.2">
      <c r="BB1588" s="94"/>
      <c r="BL1588" s="8">
        <v>1539</v>
      </c>
      <c r="BM1588" s="8">
        <v>1317202.4180064229</v>
      </c>
      <c r="BN1588" s="8">
        <v>0</v>
      </c>
      <c r="BO1588" s="8">
        <v>1317202.4180064229</v>
      </c>
      <c r="BP1588" s="8">
        <v>2187537.4311592514</v>
      </c>
      <c r="BQ1588" s="8">
        <v>870335.01315282844</v>
      </c>
      <c r="BR1588" s="8" t="str">
        <v>No</v>
      </c>
    </row>
    <row r="1589" spans="54:70" x14ac:dyDescent="0.2">
      <c r="BB1589" s="94"/>
      <c r="BL1589" s="8">
        <v>1540</v>
      </c>
      <c r="BM1589" s="8">
        <v>2615994.373892054</v>
      </c>
      <c r="BN1589" s="8">
        <v>1120476.4257644084</v>
      </c>
      <c r="BO1589" s="8">
        <v>3736470.7996564624</v>
      </c>
      <c r="BP1589" s="8">
        <v>6488118.8817540202</v>
      </c>
      <c r="BQ1589" s="8">
        <v>2751648.0820975578</v>
      </c>
      <c r="BR1589" s="8" t="str">
        <v>No</v>
      </c>
    </row>
    <row r="1590" spans="54:70" x14ac:dyDescent="0.2">
      <c r="BB1590" s="94"/>
      <c r="BL1590" s="8">
        <v>1541</v>
      </c>
      <c r="BM1590" s="8">
        <v>7106333.3666353691</v>
      </c>
      <c r="BN1590" s="8">
        <v>0</v>
      </c>
      <c r="BO1590" s="8">
        <v>7106333.3666353691</v>
      </c>
      <c r="BP1590" s="8">
        <v>4643374.9634031029</v>
      </c>
      <c r="BQ1590" s="8">
        <v>-2462958.4032322662</v>
      </c>
      <c r="BR1590" s="8" t="str">
        <v>Yes</v>
      </c>
    </row>
    <row r="1591" spans="54:70" x14ac:dyDescent="0.2">
      <c r="BB1591" s="94"/>
      <c r="BL1591" s="8">
        <v>1542</v>
      </c>
      <c r="BM1591" s="8">
        <v>3418754.9288385985</v>
      </c>
      <c r="BN1591" s="8">
        <v>0</v>
      </c>
      <c r="BO1591" s="8">
        <v>3418754.9288385985</v>
      </c>
      <c r="BP1591" s="8">
        <v>3526330.5348369563</v>
      </c>
      <c r="BQ1591" s="8">
        <v>107575.60599835776</v>
      </c>
      <c r="BR1591" s="8" t="str">
        <v>No</v>
      </c>
    </row>
    <row r="1592" spans="54:70" x14ac:dyDescent="0.2">
      <c r="BB1592" s="94"/>
      <c r="BL1592" s="8">
        <v>1543</v>
      </c>
      <c r="BM1592" s="8">
        <v>4325232.1075425046</v>
      </c>
      <c r="BN1592" s="8">
        <v>1501980.1767919944</v>
      </c>
      <c r="BO1592" s="8">
        <v>5827212.2843344994</v>
      </c>
      <c r="BP1592" s="8">
        <v>6131048.7306591412</v>
      </c>
      <c r="BQ1592" s="8">
        <v>303836.44632464182</v>
      </c>
      <c r="BR1592" s="8" t="str">
        <v>No</v>
      </c>
    </row>
    <row r="1593" spans="54:70" x14ac:dyDescent="0.2">
      <c r="BB1593" s="94"/>
      <c r="BL1593" s="8">
        <v>1544</v>
      </c>
      <c r="BM1593" s="8">
        <v>4059098.758622915</v>
      </c>
      <c r="BN1593" s="8">
        <v>0</v>
      </c>
      <c r="BO1593" s="8">
        <v>4059098.758622915</v>
      </c>
      <c r="BP1593" s="8">
        <v>3970010.8150955094</v>
      </c>
      <c r="BQ1593" s="8">
        <v>-89087.943527405616</v>
      </c>
      <c r="BR1593" s="8" t="str">
        <v>Yes</v>
      </c>
    </row>
    <row r="1594" spans="54:70" x14ac:dyDescent="0.2">
      <c r="BB1594" s="94"/>
      <c r="BL1594" s="8">
        <v>1545</v>
      </c>
      <c r="BM1594" s="8">
        <v>2154295.4375698334</v>
      </c>
      <c r="BN1594" s="8">
        <v>0</v>
      </c>
      <c r="BO1594" s="8">
        <v>2154295.4375698334</v>
      </c>
      <c r="BP1594" s="8">
        <v>3436251.9762673685</v>
      </c>
      <c r="BQ1594" s="8">
        <v>1281956.5386975352</v>
      </c>
      <c r="BR1594" s="8" t="str">
        <v>No</v>
      </c>
    </row>
    <row r="1595" spans="54:70" x14ac:dyDescent="0.2">
      <c r="BB1595" s="94"/>
      <c r="BL1595" s="8">
        <v>1546</v>
      </c>
      <c r="BM1595" s="8">
        <v>4176099.893408454</v>
      </c>
      <c r="BN1595" s="8">
        <v>0</v>
      </c>
      <c r="BO1595" s="8">
        <v>4176099.893408454</v>
      </c>
      <c r="BP1595" s="8">
        <v>3982951.4235928725</v>
      </c>
      <c r="BQ1595" s="8">
        <v>-193148.46981558157</v>
      </c>
      <c r="BR1595" s="8" t="str">
        <v>Yes</v>
      </c>
    </row>
    <row r="1596" spans="54:70" x14ac:dyDescent="0.2">
      <c r="BB1596" s="94"/>
      <c r="BL1596" s="8">
        <v>1547</v>
      </c>
      <c r="BM1596" s="8">
        <v>5613830.4504713966</v>
      </c>
      <c r="BN1596" s="8">
        <v>2713601.7778901104</v>
      </c>
      <c r="BO1596" s="8">
        <v>8327432.2283615069</v>
      </c>
      <c r="BP1596" s="8">
        <v>6326829.2582717948</v>
      </c>
      <c r="BQ1596" s="8">
        <v>-2000602.9700897122</v>
      </c>
      <c r="BR1596" s="8" t="str">
        <v>Yes</v>
      </c>
    </row>
    <row r="1597" spans="54:70" x14ac:dyDescent="0.2">
      <c r="BB1597" s="94"/>
      <c r="BL1597" s="8">
        <v>1548</v>
      </c>
      <c r="BM1597" s="8">
        <v>5109155.6055624764</v>
      </c>
      <c r="BN1597" s="8">
        <v>0</v>
      </c>
      <c r="BO1597" s="8">
        <v>5109155.6055624764</v>
      </c>
      <c r="BP1597" s="8">
        <v>4190628.6385481311</v>
      </c>
      <c r="BQ1597" s="8">
        <v>-918526.96701434534</v>
      </c>
      <c r="BR1597" s="8" t="str">
        <v>Yes</v>
      </c>
    </row>
    <row r="1598" spans="54:70" x14ac:dyDescent="0.2">
      <c r="BB1598" s="94"/>
      <c r="BL1598" s="8">
        <v>1549</v>
      </c>
      <c r="BM1598" s="8">
        <v>3468884.7610555864</v>
      </c>
      <c r="BN1598" s="8">
        <v>0</v>
      </c>
      <c r="BO1598" s="8">
        <v>3468884.7610555864</v>
      </c>
      <c r="BP1598" s="8">
        <v>4343727.3434185339</v>
      </c>
      <c r="BQ1598" s="8">
        <v>874842.58236294752</v>
      </c>
      <c r="BR1598" s="8" t="str">
        <v>No</v>
      </c>
    </row>
    <row r="1599" spans="54:70" x14ac:dyDescent="0.2">
      <c r="BB1599" s="94"/>
      <c r="BL1599" s="8">
        <v>1550</v>
      </c>
      <c r="BM1599" s="8">
        <v>3182852.2001121324</v>
      </c>
      <c r="BN1599" s="8">
        <v>1768993.9430973518</v>
      </c>
      <c r="BO1599" s="8">
        <v>4951846.1432094844</v>
      </c>
      <c r="BP1599" s="8">
        <v>3286600.7431156612</v>
      </c>
      <c r="BQ1599" s="8">
        <v>-1665245.4000938232</v>
      </c>
      <c r="BR1599" s="8" t="str">
        <v>Yes</v>
      </c>
    </row>
    <row r="1600" spans="54:70" x14ac:dyDescent="0.2">
      <c r="BB1600" s="94"/>
      <c r="BL1600" s="8">
        <v>1551</v>
      </c>
      <c r="BM1600" s="8">
        <v>4649305.3013409572</v>
      </c>
      <c r="BN1600" s="8">
        <v>0</v>
      </c>
      <c r="BO1600" s="8">
        <v>4649305.3013409572</v>
      </c>
      <c r="BP1600" s="8">
        <v>6157936.9172407575</v>
      </c>
      <c r="BQ1600" s="8">
        <v>1508631.6158998003</v>
      </c>
      <c r="BR1600" s="8" t="str">
        <v>No</v>
      </c>
    </row>
    <row r="1601" spans="54:70" x14ac:dyDescent="0.2">
      <c r="BB1601" s="94"/>
      <c r="BL1601" s="8">
        <v>1552</v>
      </c>
      <c r="BM1601" s="8">
        <v>1120443.5716565445</v>
      </c>
      <c r="BN1601" s="8">
        <v>0</v>
      </c>
      <c r="BO1601" s="8">
        <v>1120443.5716565445</v>
      </c>
      <c r="BP1601" s="8">
        <v>3535745.2110357722</v>
      </c>
      <c r="BQ1601" s="8">
        <v>2415301.6393792275</v>
      </c>
      <c r="BR1601" s="8" t="str">
        <v>No</v>
      </c>
    </row>
    <row r="1602" spans="54:70" x14ac:dyDescent="0.2">
      <c r="BB1602" s="94"/>
      <c r="BL1602" s="8">
        <v>1553</v>
      </c>
      <c r="BM1602" s="8">
        <v>8529884.9781765062</v>
      </c>
      <c r="BN1602" s="8">
        <v>0</v>
      </c>
      <c r="BO1602" s="8">
        <v>8529884.9781765062</v>
      </c>
      <c r="BP1602" s="8">
        <v>5091343.7614099598</v>
      </c>
      <c r="BQ1602" s="8">
        <v>-3438541.2167665465</v>
      </c>
      <c r="BR1602" s="8" t="str">
        <v>Yes</v>
      </c>
    </row>
    <row r="1603" spans="54:70" x14ac:dyDescent="0.2">
      <c r="BB1603" s="94"/>
      <c r="BL1603" s="8">
        <v>1554</v>
      </c>
      <c r="BM1603" s="8">
        <v>4926374.0322306743</v>
      </c>
      <c r="BN1603" s="8">
        <v>6854003.3619385064</v>
      </c>
      <c r="BO1603" s="8">
        <v>11780377.394169182</v>
      </c>
      <c r="BP1603" s="8">
        <v>2324116.2809262802</v>
      </c>
      <c r="BQ1603" s="8">
        <v>-9456261.1132429019</v>
      </c>
      <c r="BR1603" s="8" t="str">
        <v>Yes</v>
      </c>
    </row>
    <row r="1604" spans="54:70" x14ac:dyDescent="0.2">
      <c r="BB1604" s="94"/>
      <c r="BL1604" s="8">
        <v>1555</v>
      </c>
      <c r="BM1604" s="8">
        <v>2186483.2518643313</v>
      </c>
      <c r="BN1604" s="8">
        <v>0</v>
      </c>
      <c r="BO1604" s="8">
        <v>2186483.2518643313</v>
      </c>
      <c r="BP1604" s="8">
        <v>6072478.9636502881</v>
      </c>
      <c r="BQ1604" s="8">
        <v>3885995.7117859568</v>
      </c>
      <c r="BR1604" s="8" t="str">
        <v>No</v>
      </c>
    </row>
    <row r="1605" spans="54:70" x14ac:dyDescent="0.2">
      <c r="BB1605" s="94"/>
      <c r="BL1605" s="8">
        <v>1556</v>
      </c>
      <c r="BM1605" s="8">
        <v>1325823.6688958977</v>
      </c>
      <c r="BN1605" s="8">
        <v>0</v>
      </c>
      <c r="BO1605" s="8">
        <v>1325823.6688958977</v>
      </c>
      <c r="BP1605" s="8">
        <v>2240073.3750249422</v>
      </c>
      <c r="BQ1605" s="8">
        <v>914249.70612904453</v>
      </c>
      <c r="BR1605" s="8" t="str">
        <v>No</v>
      </c>
    </row>
    <row r="1606" spans="54:70" x14ac:dyDescent="0.2">
      <c r="BB1606" s="94"/>
      <c r="BL1606" s="8">
        <v>1557</v>
      </c>
      <c r="BM1606" s="8">
        <v>1718711.142612926</v>
      </c>
      <c r="BN1606" s="8">
        <v>0</v>
      </c>
      <c r="BO1606" s="8">
        <v>1718711.142612926</v>
      </c>
      <c r="BP1606" s="8">
        <v>2145400.5385433147</v>
      </c>
      <c r="BQ1606" s="8">
        <v>426689.39593038871</v>
      </c>
      <c r="BR1606" s="8" t="str">
        <v>No</v>
      </c>
    </row>
    <row r="1607" spans="54:70" x14ac:dyDescent="0.2">
      <c r="BB1607" s="94"/>
      <c r="BL1607" s="8">
        <v>1558</v>
      </c>
      <c r="BM1607" s="8">
        <v>3066392.9003388835</v>
      </c>
      <c r="BN1607" s="8">
        <v>5678918.5736009376</v>
      </c>
      <c r="BO1607" s="8">
        <v>8745311.4739398211</v>
      </c>
      <c r="BP1607" s="8">
        <v>2233808.6883935714</v>
      </c>
      <c r="BQ1607" s="8">
        <v>-6511502.7855462497</v>
      </c>
      <c r="BR1607" s="8" t="str">
        <v>Yes</v>
      </c>
    </row>
    <row r="1608" spans="54:70" x14ac:dyDescent="0.2">
      <c r="BB1608" s="94"/>
      <c r="BL1608" s="8">
        <v>1559</v>
      </c>
      <c r="BM1608" s="8">
        <v>3747982.7051902399</v>
      </c>
      <c r="BN1608" s="8">
        <v>4053517.2813867824</v>
      </c>
      <c r="BO1608" s="8">
        <v>7801499.9865770228</v>
      </c>
      <c r="BP1608" s="8">
        <v>3556655.6713554361</v>
      </c>
      <c r="BQ1608" s="8">
        <v>-4244844.3152215872</v>
      </c>
      <c r="BR1608" s="8" t="str">
        <v>Yes</v>
      </c>
    </row>
    <row r="1609" spans="54:70" x14ac:dyDescent="0.2">
      <c r="BB1609" s="94"/>
      <c r="BL1609" s="8">
        <v>1560</v>
      </c>
      <c r="BM1609" s="8">
        <v>2534859.7977792695</v>
      </c>
      <c r="BN1609" s="8">
        <v>135679.6629797896</v>
      </c>
      <c r="BO1609" s="8">
        <v>2670539.4607590591</v>
      </c>
      <c r="BP1609" s="8">
        <v>6240904.3723488702</v>
      </c>
      <c r="BQ1609" s="8">
        <v>3570364.9115898111</v>
      </c>
      <c r="BR1609" s="8" t="str">
        <v>No</v>
      </c>
    </row>
    <row r="1610" spans="54:70" x14ac:dyDescent="0.2">
      <c r="BB1610" s="94"/>
      <c r="BL1610" s="8">
        <v>1561</v>
      </c>
      <c r="BM1610" s="8">
        <v>2418317.8672612794</v>
      </c>
      <c r="BN1610" s="8">
        <v>563572.70949663839</v>
      </c>
      <c r="BO1610" s="8">
        <v>2981890.5767579176</v>
      </c>
      <c r="BP1610" s="8">
        <v>6188159.5936306268</v>
      </c>
      <c r="BQ1610" s="8">
        <v>3206269.0168727092</v>
      </c>
      <c r="BR1610" s="8" t="str">
        <v>No</v>
      </c>
    </row>
    <row r="1611" spans="54:70" x14ac:dyDescent="0.2">
      <c r="BB1611" s="94"/>
      <c r="BL1611" s="8">
        <v>1562</v>
      </c>
      <c r="BM1611" s="8">
        <v>4434592.634446512</v>
      </c>
      <c r="BN1611" s="8">
        <v>0</v>
      </c>
      <c r="BO1611" s="8">
        <v>4434592.634446512</v>
      </c>
      <c r="BP1611" s="8">
        <v>3994643.7058772985</v>
      </c>
      <c r="BQ1611" s="8">
        <v>-439948.92856921349</v>
      </c>
      <c r="BR1611" s="8" t="str">
        <v>Yes</v>
      </c>
    </row>
    <row r="1612" spans="54:70" x14ac:dyDescent="0.2">
      <c r="BB1612" s="94"/>
      <c r="BL1612" s="8">
        <v>1563</v>
      </c>
      <c r="BM1612" s="8">
        <v>8478153.074607309</v>
      </c>
      <c r="BN1612" s="8">
        <v>11930387.353543362</v>
      </c>
      <c r="BO1612" s="8">
        <v>20408540.428150669</v>
      </c>
      <c r="BP1612" s="8">
        <v>2304512.0600410863</v>
      </c>
      <c r="BQ1612" s="8">
        <v>-18104028.368109584</v>
      </c>
      <c r="BR1612" s="8" t="str">
        <v>Yes</v>
      </c>
    </row>
    <row r="1613" spans="54:70" x14ac:dyDescent="0.2">
      <c r="BB1613" s="94"/>
      <c r="BL1613" s="8">
        <v>1564</v>
      </c>
      <c r="BM1613" s="8">
        <v>3160437.363181592</v>
      </c>
      <c r="BN1613" s="8">
        <v>2652423.691733567</v>
      </c>
      <c r="BO1613" s="8">
        <v>5812861.054915159</v>
      </c>
      <c r="BP1613" s="8">
        <v>5934850.0505434535</v>
      </c>
      <c r="BQ1613" s="8">
        <v>121988.99562829453</v>
      </c>
      <c r="BR1613" s="8" t="str">
        <v>No</v>
      </c>
    </row>
    <row r="1614" spans="54:70" x14ac:dyDescent="0.2">
      <c r="BB1614" s="94"/>
      <c r="BL1614" s="8">
        <v>1565</v>
      </c>
      <c r="BM1614" s="8">
        <v>4339751.6538248966</v>
      </c>
      <c r="BN1614" s="8">
        <v>895528.58496074937</v>
      </c>
      <c r="BO1614" s="8">
        <v>5235280.2387856459</v>
      </c>
      <c r="BP1614" s="8">
        <v>6496827.8707944509</v>
      </c>
      <c r="BQ1614" s="8">
        <v>1261547.6320088049</v>
      </c>
      <c r="BR1614" s="8" t="str">
        <v>No</v>
      </c>
    </row>
    <row r="1615" spans="54:70" x14ac:dyDescent="0.2">
      <c r="BB1615" s="94"/>
      <c r="BL1615" s="8">
        <v>1566</v>
      </c>
      <c r="BM1615" s="8">
        <v>2317842.5463688653</v>
      </c>
      <c r="BN1615" s="8">
        <v>2280541.1275091995</v>
      </c>
      <c r="BO1615" s="8">
        <v>4598383.6738780644</v>
      </c>
      <c r="BP1615" s="8">
        <v>3324791.4793556519</v>
      </c>
      <c r="BQ1615" s="8">
        <v>-1273592.1945224125</v>
      </c>
      <c r="BR1615" s="8" t="str">
        <v>Yes</v>
      </c>
    </row>
    <row r="1616" spans="54:70" x14ac:dyDescent="0.2">
      <c r="BB1616" s="94"/>
      <c r="BL1616" s="8">
        <v>1567</v>
      </c>
      <c r="BM1616" s="8">
        <v>4011720.5494529586</v>
      </c>
      <c r="BN1616" s="8">
        <v>3529694.7816105438</v>
      </c>
      <c r="BO1616" s="8">
        <v>7541415.3310635025</v>
      </c>
      <c r="BP1616" s="8">
        <v>2344479.2157841763</v>
      </c>
      <c r="BQ1616" s="8">
        <v>-5196936.1152793262</v>
      </c>
      <c r="BR1616" s="8" t="str">
        <v>Yes</v>
      </c>
    </row>
    <row r="1617" spans="54:70" x14ac:dyDescent="0.2">
      <c r="BB1617" s="94"/>
      <c r="BL1617" s="8">
        <v>1568</v>
      </c>
      <c r="BM1617" s="8">
        <v>4669867.1940323012</v>
      </c>
      <c r="BN1617" s="8">
        <v>4495419.1991065666</v>
      </c>
      <c r="BO1617" s="8">
        <v>9165286.3931388669</v>
      </c>
      <c r="BP1617" s="8">
        <v>6262744.8984414274</v>
      </c>
      <c r="BQ1617" s="8">
        <v>-2902541.4946974395</v>
      </c>
      <c r="BR1617" s="8" t="str">
        <v>Yes</v>
      </c>
    </row>
    <row r="1618" spans="54:70" x14ac:dyDescent="0.2">
      <c r="BB1618" s="94"/>
      <c r="BL1618" s="8">
        <v>1569</v>
      </c>
      <c r="BM1618" s="8">
        <v>5093635.4651857847</v>
      </c>
      <c r="BN1618" s="8">
        <v>0</v>
      </c>
      <c r="BO1618" s="8">
        <v>5093635.4651857847</v>
      </c>
      <c r="BP1618" s="8">
        <v>3003739.5181816118</v>
      </c>
      <c r="BQ1618" s="8">
        <v>-2089895.947004173</v>
      </c>
      <c r="BR1618" s="8" t="str">
        <v>Yes</v>
      </c>
    </row>
    <row r="1619" spans="54:70" x14ac:dyDescent="0.2">
      <c r="BB1619" s="94"/>
      <c r="BL1619" s="8">
        <v>1570</v>
      </c>
      <c r="BM1619" s="8">
        <v>11284219.256902093</v>
      </c>
      <c r="BN1619" s="8">
        <v>17400697.663391903</v>
      </c>
      <c r="BO1619" s="8">
        <v>28684916.920293994</v>
      </c>
      <c r="BP1619" s="8">
        <v>2379842.3325794046</v>
      </c>
      <c r="BQ1619" s="8">
        <v>-26305074.58771459</v>
      </c>
      <c r="BR1619" s="8" t="str">
        <v>Yes</v>
      </c>
    </row>
    <row r="1620" spans="54:70" x14ac:dyDescent="0.2">
      <c r="BB1620" s="94"/>
      <c r="BL1620" s="8">
        <v>1571</v>
      </c>
      <c r="BM1620" s="8">
        <v>5983960.3596757017</v>
      </c>
      <c r="BN1620" s="8">
        <v>4460552.3059091223</v>
      </c>
      <c r="BO1620" s="8">
        <v>10444512.665584825</v>
      </c>
      <c r="BP1620" s="8">
        <v>6876949.9585437067</v>
      </c>
      <c r="BQ1620" s="8">
        <v>-3567562.7070411183</v>
      </c>
      <c r="BR1620" s="8" t="str">
        <v>Yes</v>
      </c>
    </row>
    <row r="1621" spans="54:70" x14ac:dyDescent="0.2">
      <c r="BB1621" s="94"/>
      <c r="BL1621" s="8">
        <v>1572</v>
      </c>
      <c r="BM1621" s="8">
        <v>2813905.3886134163</v>
      </c>
      <c r="BN1621" s="8">
        <v>0</v>
      </c>
      <c r="BO1621" s="8">
        <v>2813905.3886134163</v>
      </c>
      <c r="BP1621" s="8">
        <v>6565904.5195974996</v>
      </c>
      <c r="BQ1621" s="8">
        <v>3751999.1309840833</v>
      </c>
      <c r="BR1621" s="8" t="str">
        <v>No</v>
      </c>
    </row>
    <row r="1622" spans="54:70" x14ac:dyDescent="0.2">
      <c r="BB1622" s="94"/>
      <c r="BL1622" s="8">
        <v>1573</v>
      </c>
      <c r="BM1622" s="8">
        <v>3189051.0568342879</v>
      </c>
      <c r="BN1622" s="8">
        <v>0</v>
      </c>
      <c r="BO1622" s="8">
        <v>3189051.0568342879</v>
      </c>
      <c r="BP1622" s="8">
        <v>4296357.9733254164</v>
      </c>
      <c r="BQ1622" s="8">
        <v>1107306.9164911285</v>
      </c>
      <c r="BR1622" s="8" t="str">
        <v>No</v>
      </c>
    </row>
    <row r="1623" spans="54:70" x14ac:dyDescent="0.2">
      <c r="BB1623" s="94"/>
      <c r="BL1623" s="8">
        <v>1574</v>
      </c>
      <c r="BM1623" s="8">
        <v>3936891.0782741625</v>
      </c>
      <c r="BN1623" s="8">
        <v>1568925.0210538111</v>
      </c>
      <c r="BO1623" s="8">
        <v>5505816.099327974</v>
      </c>
      <c r="BP1623" s="8">
        <v>5828704.6597042754</v>
      </c>
      <c r="BQ1623" s="8">
        <v>322888.56037630141</v>
      </c>
      <c r="BR1623" s="8" t="str">
        <v>No</v>
      </c>
    </row>
    <row r="1624" spans="54:70" x14ac:dyDescent="0.2">
      <c r="BB1624" s="94"/>
      <c r="BL1624" s="8">
        <v>1575</v>
      </c>
      <c r="BM1624" s="8">
        <v>3636054.1911433898</v>
      </c>
      <c r="BN1624" s="8">
        <v>3916905.7859309744</v>
      </c>
      <c r="BO1624" s="8">
        <v>7552959.9770743642</v>
      </c>
      <c r="BP1624" s="8">
        <v>2249257.6400186801</v>
      </c>
      <c r="BQ1624" s="8">
        <v>-5303702.3370556841</v>
      </c>
      <c r="BR1624" s="8" t="str">
        <v>Yes</v>
      </c>
    </row>
    <row r="1625" spans="54:70" x14ac:dyDescent="0.2">
      <c r="BB1625" s="94"/>
      <c r="BL1625" s="8">
        <v>1576</v>
      </c>
      <c r="BM1625" s="8">
        <v>5491692.3646486355</v>
      </c>
      <c r="BN1625" s="8">
        <v>0</v>
      </c>
      <c r="BO1625" s="8">
        <v>5491692.3646486355</v>
      </c>
      <c r="BP1625" s="8">
        <v>3290501.5325367339</v>
      </c>
      <c r="BQ1625" s="8">
        <v>-2201190.8321119016</v>
      </c>
      <c r="BR1625" s="8" t="str">
        <v>Yes</v>
      </c>
    </row>
    <row r="1626" spans="54:70" x14ac:dyDescent="0.2">
      <c r="BB1626" s="94"/>
      <c r="BL1626" s="8">
        <v>1577</v>
      </c>
      <c r="BM1626" s="8">
        <v>3782696.0948711215</v>
      </c>
      <c r="BN1626" s="8">
        <v>2905498.8216895796</v>
      </c>
      <c r="BO1626" s="8">
        <v>6688194.9165607011</v>
      </c>
      <c r="BP1626" s="8">
        <v>3486631.3466188326</v>
      </c>
      <c r="BQ1626" s="8">
        <v>-3201563.5699418685</v>
      </c>
      <c r="BR1626" s="8" t="str">
        <v>Yes</v>
      </c>
    </row>
    <row r="1627" spans="54:70" x14ac:dyDescent="0.2">
      <c r="BB1627" s="94"/>
      <c r="BL1627" s="8">
        <v>1578</v>
      </c>
      <c r="BM1627" s="8">
        <v>6744833.0632991791</v>
      </c>
      <c r="BN1627" s="8">
        <v>0</v>
      </c>
      <c r="BO1627" s="8">
        <v>6744833.0632991791</v>
      </c>
      <c r="BP1627" s="8">
        <v>2210770.6851854562</v>
      </c>
      <c r="BQ1627" s="8">
        <v>-4534062.3781137224</v>
      </c>
      <c r="BR1627" s="8" t="str">
        <v>Yes</v>
      </c>
    </row>
    <row r="1628" spans="54:70" x14ac:dyDescent="0.2">
      <c r="BB1628" s="94"/>
      <c r="BL1628" s="8">
        <v>1579</v>
      </c>
      <c r="BM1628" s="8">
        <v>3878092.9102592813</v>
      </c>
      <c r="BN1628" s="8">
        <v>0</v>
      </c>
      <c r="BO1628" s="8">
        <v>3878092.9102592813</v>
      </c>
      <c r="BP1628" s="8">
        <v>2027188.8486576087</v>
      </c>
      <c r="BQ1628" s="8">
        <v>-1850904.0616016726</v>
      </c>
      <c r="BR1628" s="8" t="str">
        <v>Yes</v>
      </c>
    </row>
    <row r="1629" spans="54:70" x14ac:dyDescent="0.2">
      <c r="BB1629" s="94"/>
      <c r="BL1629" s="8">
        <v>1580</v>
      </c>
      <c r="BM1629" s="8">
        <v>2313800.7500596331</v>
      </c>
      <c r="BN1629" s="8">
        <v>0</v>
      </c>
      <c r="BO1629" s="8">
        <v>2313800.7500596331</v>
      </c>
      <c r="BP1629" s="8">
        <v>4646316.4830444381</v>
      </c>
      <c r="BQ1629" s="8">
        <v>2332515.732984805</v>
      </c>
      <c r="BR1629" s="8" t="str">
        <v>No</v>
      </c>
    </row>
    <row r="1630" spans="54:70" x14ac:dyDescent="0.2">
      <c r="BB1630" s="94"/>
      <c r="BL1630" s="8">
        <v>1581</v>
      </c>
      <c r="BM1630" s="8">
        <v>3251207.5064471122</v>
      </c>
      <c r="BN1630" s="8">
        <v>0</v>
      </c>
      <c r="BO1630" s="8">
        <v>3251207.5064471122</v>
      </c>
      <c r="BP1630" s="8">
        <v>6251498.6298514782</v>
      </c>
      <c r="BQ1630" s="8">
        <v>3000291.123404366</v>
      </c>
      <c r="BR1630" s="8" t="str">
        <v>No</v>
      </c>
    </row>
    <row r="1631" spans="54:70" x14ac:dyDescent="0.2">
      <c r="BB1631" s="94"/>
      <c r="BL1631" s="8">
        <v>1582</v>
      </c>
      <c r="BM1631" s="8">
        <v>5391358.5417436045</v>
      </c>
      <c r="BN1631" s="8">
        <v>9731820.8480724245</v>
      </c>
      <c r="BO1631" s="8">
        <v>15123179.389816029</v>
      </c>
      <c r="BP1631" s="8">
        <v>2204425.9857554571</v>
      </c>
      <c r="BQ1631" s="8">
        <v>-12918753.404060572</v>
      </c>
      <c r="BR1631" s="8" t="str">
        <v>Yes</v>
      </c>
    </row>
    <row r="1632" spans="54:70" x14ac:dyDescent="0.2">
      <c r="BB1632" s="94"/>
      <c r="BL1632" s="8">
        <v>1583</v>
      </c>
      <c r="BM1632" s="8">
        <v>4560658.9762724247</v>
      </c>
      <c r="BN1632" s="8">
        <v>0</v>
      </c>
      <c r="BO1632" s="8">
        <v>4560658.9762724247</v>
      </c>
      <c r="BP1632" s="8">
        <v>2293682.9153746031</v>
      </c>
      <c r="BQ1632" s="8">
        <v>-2266976.0608978216</v>
      </c>
      <c r="BR1632" s="8" t="str">
        <v>Yes</v>
      </c>
    </row>
    <row r="1633" spans="54:70" x14ac:dyDescent="0.2">
      <c r="BB1633" s="94"/>
      <c r="BL1633" s="8">
        <v>1584</v>
      </c>
      <c r="BM1633" s="8">
        <v>6819317.4086412741</v>
      </c>
      <c r="BN1633" s="8">
        <v>5441901.4375558076</v>
      </c>
      <c r="BO1633" s="8">
        <v>12261218.846197082</v>
      </c>
      <c r="BP1633" s="8">
        <v>5929429.4125494128</v>
      </c>
      <c r="BQ1633" s="8">
        <v>-6331789.4336476689</v>
      </c>
      <c r="BR1633" s="8" t="str">
        <v>Yes</v>
      </c>
    </row>
    <row r="1634" spans="54:70" x14ac:dyDescent="0.2">
      <c r="BB1634" s="94"/>
      <c r="BL1634" s="8">
        <v>1585</v>
      </c>
      <c r="BM1634" s="8">
        <v>8039758.4626532355</v>
      </c>
      <c r="BN1634" s="8">
        <v>0</v>
      </c>
      <c r="BO1634" s="8">
        <v>8039758.4626532355</v>
      </c>
      <c r="BP1634" s="8">
        <v>3441539.394038578</v>
      </c>
      <c r="BQ1634" s="8">
        <v>-4598219.068614658</v>
      </c>
      <c r="BR1634" s="8" t="str">
        <v>Yes</v>
      </c>
    </row>
    <row r="1635" spans="54:70" x14ac:dyDescent="0.2">
      <c r="BB1635" s="94"/>
      <c r="BL1635" s="8">
        <v>1586</v>
      </c>
      <c r="BM1635" s="8">
        <v>5649147.2846849905</v>
      </c>
      <c r="BN1635" s="8">
        <v>2770610.6990441456</v>
      </c>
      <c r="BO1635" s="8">
        <v>8419757.9837291352</v>
      </c>
      <c r="BP1635" s="8">
        <v>6013689.8869380476</v>
      </c>
      <c r="BQ1635" s="8">
        <v>-2406068.0967910876</v>
      </c>
      <c r="BR1635" s="8" t="str">
        <v>Yes</v>
      </c>
    </row>
    <row r="1636" spans="54:70" x14ac:dyDescent="0.2">
      <c r="BB1636" s="94"/>
      <c r="BL1636" s="8">
        <v>1587</v>
      </c>
      <c r="BM1636" s="8">
        <v>12277292.560669787</v>
      </c>
      <c r="BN1636" s="8">
        <v>13147079.95066672</v>
      </c>
      <c r="BO1636" s="8">
        <v>25424372.511336505</v>
      </c>
      <c r="BP1636" s="8">
        <v>3636055.7951140772</v>
      </c>
      <c r="BQ1636" s="8">
        <v>-21788316.716222428</v>
      </c>
      <c r="BR1636" s="8" t="str">
        <v>Yes</v>
      </c>
    </row>
    <row r="1637" spans="54:70" x14ac:dyDescent="0.2">
      <c r="BB1637" s="94"/>
      <c r="BL1637" s="8">
        <v>1588</v>
      </c>
      <c r="BM1637" s="8">
        <v>7285323.4026635122</v>
      </c>
      <c r="BN1637" s="8">
        <v>0</v>
      </c>
      <c r="BO1637" s="8">
        <v>7285323.4026635122</v>
      </c>
      <c r="BP1637" s="8">
        <v>2246662.5597656164</v>
      </c>
      <c r="BQ1637" s="8">
        <v>-5038660.8428978957</v>
      </c>
      <c r="BR1637" s="8" t="str">
        <v>Yes</v>
      </c>
    </row>
    <row r="1638" spans="54:70" x14ac:dyDescent="0.2">
      <c r="BB1638" s="94"/>
      <c r="BL1638" s="8">
        <v>1589</v>
      </c>
      <c r="BM1638" s="8">
        <v>2948440.5150367478</v>
      </c>
      <c r="BN1638" s="8">
        <v>0</v>
      </c>
      <c r="BO1638" s="8">
        <v>2948440.5150367478</v>
      </c>
      <c r="BP1638" s="8">
        <v>6133148.2525640186</v>
      </c>
      <c r="BQ1638" s="8">
        <v>3184707.7375272708</v>
      </c>
      <c r="BR1638" s="8" t="str">
        <v>No</v>
      </c>
    </row>
    <row r="1639" spans="54:70" x14ac:dyDescent="0.2">
      <c r="BB1639" s="94"/>
      <c r="BL1639" s="8">
        <v>1590</v>
      </c>
      <c r="BM1639" s="8">
        <v>14747749.765257474</v>
      </c>
      <c r="BN1639" s="8">
        <v>15400120.912271781</v>
      </c>
      <c r="BO1639" s="8">
        <v>30147870.677529253</v>
      </c>
      <c r="BP1639" s="8">
        <v>3350172.3927814276</v>
      </c>
      <c r="BQ1639" s="8">
        <v>-26797698.284747824</v>
      </c>
      <c r="BR1639" s="8" t="str">
        <v>Yes</v>
      </c>
    </row>
    <row r="1640" spans="54:70" x14ac:dyDescent="0.2">
      <c r="BB1640" s="94"/>
      <c r="BL1640" s="8">
        <v>1591</v>
      </c>
      <c r="BM1640" s="8">
        <v>3200393.9363710182</v>
      </c>
      <c r="BN1640" s="8">
        <v>0</v>
      </c>
      <c r="BO1640" s="8">
        <v>3200393.9363710182</v>
      </c>
      <c r="BP1640" s="8">
        <v>5883049.5186992986</v>
      </c>
      <c r="BQ1640" s="8">
        <v>2682655.5823282804</v>
      </c>
      <c r="BR1640" s="8" t="str">
        <v>No</v>
      </c>
    </row>
    <row r="1641" spans="54:70" x14ac:dyDescent="0.2">
      <c r="BB1641" s="94"/>
      <c r="BL1641" s="8">
        <v>1592</v>
      </c>
      <c r="BM1641" s="8">
        <v>2627944.7923162654</v>
      </c>
      <c r="BN1641" s="8">
        <v>2278503.8756409828</v>
      </c>
      <c r="BO1641" s="8">
        <v>4906448.6679572482</v>
      </c>
      <c r="BP1641" s="8">
        <v>3293938.7575673638</v>
      </c>
      <c r="BQ1641" s="8">
        <v>-1612509.9103898844</v>
      </c>
      <c r="BR1641" s="8" t="str">
        <v>Yes</v>
      </c>
    </row>
    <row r="1642" spans="54:70" x14ac:dyDescent="0.2">
      <c r="BB1642" s="94"/>
      <c r="BL1642" s="8">
        <v>1593</v>
      </c>
      <c r="BM1642" s="8">
        <v>4295813.4026803616</v>
      </c>
      <c r="BN1642" s="8">
        <v>0</v>
      </c>
      <c r="BO1642" s="8">
        <v>4295813.4026803616</v>
      </c>
      <c r="BP1642" s="8">
        <v>4245453.6739696674</v>
      </c>
      <c r="BQ1642" s="8">
        <v>-50359.728710694239</v>
      </c>
      <c r="BR1642" s="8" t="str">
        <v>Yes</v>
      </c>
    </row>
    <row r="1643" spans="54:70" x14ac:dyDescent="0.2">
      <c r="BB1643" s="94"/>
      <c r="BL1643" s="8">
        <v>1594</v>
      </c>
      <c r="BM1643" s="8">
        <v>10725371.244999513</v>
      </c>
      <c r="BN1643" s="8">
        <v>0</v>
      </c>
      <c r="BO1643" s="8">
        <v>10725371.244999513</v>
      </c>
      <c r="BP1643" s="8">
        <v>3345638.6415697606</v>
      </c>
      <c r="BQ1643" s="8">
        <v>-7379732.6034297524</v>
      </c>
      <c r="BR1643" s="8" t="str">
        <v>Yes</v>
      </c>
    </row>
    <row r="1644" spans="54:70" x14ac:dyDescent="0.2">
      <c r="BB1644" s="94"/>
      <c r="BL1644" s="8">
        <v>1595</v>
      </c>
      <c r="BM1644" s="8">
        <v>5096567.5956061501</v>
      </c>
      <c r="BN1644" s="8">
        <v>0</v>
      </c>
      <c r="BO1644" s="8">
        <v>5096567.5956061501</v>
      </c>
      <c r="BP1644" s="8">
        <v>4612383.5859489646</v>
      </c>
      <c r="BQ1644" s="8">
        <v>-484184.00965718552</v>
      </c>
      <c r="BR1644" s="8" t="str">
        <v>Yes</v>
      </c>
    </row>
    <row r="1645" spans="54:70" x14ac:dyDescent="0.2">
      <c r="BB1645" s="94"/>
      <c r="BL1645" s="8">
        <v>1596</v>
      </c>
      <c r="BM1645" s="8">
        <v>2422227.040985032</v>
      </c>
      <c r="BN1645" s="8">
        <v>0</v>
      </c>
      <c r="BO1645" s="8">
        <v>2422227.040985032</v>
      </c>
      <c r="BP1645" s="8">
        <v>7319141.0025989013</v>
      </c>
      <c r="BQ1645" s="8">
        <v>4896913.9616138693</v>
      </c>
      <c r="BR1645" s="8" t="str">
        <v>No</v>
      </c>
    </row>
    <row r="1646" spans="54:70" x14ac:dyDescent="0.2">
      <c r="BB1646" s="94"/>
      <c r="BL1646" s="8">
        <v>1597</v>
      </c>
      <c r="BM1646" s="8">
        <v>3526982.0700805974</v>
      </c>
      <c r="BN1646" s="8">
        <v>2556470.8227024497</v>
      </c>
      <c r="BO1646" s="8">
        <v>6083452.8927830476</v>
      </c>
      <c r="BP1646" s="8">
        <v>4714603.2804213082</v>
      </c>
      <c r="BQ1646" s="8">
        <v>-1368849.6123617394</v>
      </c>
      <c r="BR1646" s="8" t="str">
        <v>Yes</v>
      </c>
    </row>
    <row r="1647" spans="54:70" x14ac:dyDescent="0.2">
      <c r="BB1647" s="94"/>
      <c r="BL1647" s="8">
        <v>1598</v>
      </c>
      <c r="BM1647" s="8">
        <v>5840350.6122211767</v>
      </c>
      <c r="BN1647" s="8">
        <v>0</v>
      </c>
      <c r="BO1647" s="8">
        <v>5840350.6122211767</v>
      </c>
      <c r="BP1647" s="8">
        <v>2402753.9572885823</v>
      </c>
      <c r="BQ1647" s="8">
        <v>-3437596.6549325944</v>
      </c>
      <c r="BR1647" s="8" t="str">
        <v>Yes</v>
      </c>
    </row>
    <row r="1648" spans="54:70" x14ac:dyDescent="0.2">
      <c r="BB1648" s="94"/>
      <c r="BL1648" s="8">
        <v>1599</v>
      </c>
      <c r="BM1648" s="8">
        <v>3260623.7215239322</v>
      </c>
      <c r="BN1648" s="8">
        <v>0</v>
      </c>
      <c r="BO1648" s="8">
        <v>3260623.7215239322</v>
      </c>
      <c r="BP1648" s="8">
        <v>3158929.3266479205</v>
      </c>
      <c r="BQ1648" s="8">
        <v>-101694.39487601165</v>
      </c>
      <c r="BR1648" s="8" t="str">
        <v>Yes</v>
      </c>
    </row>
    <row r="1649" spans="54:70" x14ac:dyDescent="0.2">
      <c r="BB1649" s="94"/>
      <c r="BL1649" s="8">
        <v>1600</v>
      </c>
      <c r="BM1649" s="8">
        <v>2742848.6735399016</v>
      </c>
      <c r="BN1649" s="8">
        <v>2799215.5516445343</v>
      </c>
      <c r="BO1649" s="8">
        <v>5542064.225184436</v>
      </c>
      <c r="BP1649" s="8">
        <v>3588647.4051786829</v>
      </c>
      <c r="BQ1649" s="8">
        <v>-1953416.8200057531</v>
      </c>
      <c r="BR1649" s="8" t="str">
        <v>Yes</v>
      </c>
    </row>
    <row r="1650" spans="54:70" x14ac:dyDescent="0.2">
      <c r="BB1650" s="94"/>
      <c r="BL1650" s="8">
        <v>1601</v>
      </c>
      <c r="BM1650" s="8">
        <v>4987416.4380299486</v>
      </c>
      <c r="BN1650" s="8">
        <v>0</v>
      </c>
      <c r="BO1650" s="8">
        <v>4987416.4380299486</v>
      </c>
      <c r="BP1650" s="8">
        <v>2232181.472602861</v>
      </c>
      <c r="BQ1650" s="8">
        <v>-2755234.9654270876</v>
      </c>
      <c r="BR1650" s="8" t="str">
        <v>Yes</v>
      </c>
    </row>
    <row r="1651" spans="54:70" x14ac:dyDescent="0.2">
      <c r="BB1651" s="94"/>
      <c r="BL1651" s="8">
        <v>1602</v>
      </c>
      <c r="BM1651" s="8">
        <v>4162870.6524799094</v>
      </c>
      <c r="BN1651" s="8">
        <v>3854626.5334141739</v>
      </c>
      <c r="BO1651" s="8">
        <v>8017497.1858940832</v>
      </c>
      <c r="BP1651" s="8">
        <v>3798992.9732280327</v>
      </c>
      <c r="BQ1651" s="8">
        <v>-4218504.2126660505</v>
      </c>
      <c r="BR1651" s="8" t="str">
        <v>Yes</v>
      </c>
    </row>
    <row r="1652" spans="54:70" x14ac:dyDescent="0.2">
      <c r="BB1652" s="94"/>
      <c r="BL1652" s="8">
        <v>1603</v>
      </c>
      <c r="BM1652" s="8">
        <v>4348456.1432742523</v>
      </c>
      <c r="BN1652" s="8">
        <v>0</v>
      </c>
      <c r="BO1652" s="8">
        <v>4348456.1432742523</v>
      </c>
      <c r="BP1652" s="8">
        <v>3115857.4501919616</v>
      </c>
      <c r="BQ1652" s="8">
        <v>-1232598.6930822907</v>
      </c>
      <c r="BR1652" s="8" t="str">
        <v>Yes</v>
      </c>
    </row>
    <row r="1653" spans="54:70" x14ac:dyDescent="0.2">
      <c r="BB1653" s="94"/>
      <c r="BL1653" s="8">
        <v>1604</v>
      </c>
      <c r="BM1653" s="8">
        <v>6897286.4676790172</v>
      </c>
      <c r="BN1653" s="8">
        <v>14156944.750579191</v>
      </c>
      <c r="BO1653" s="8">
        <v>21054231.21825821</v>
      </c>
      <c r="BP1653" s="8">
        <v>2386915.6267372863</v>
      </c>
      <c r="BQ1653" s="8">
        <v>-18667315.591520924</v>
      </c>
      <c r="BR1653" s="8" t="str">
        <v>Yes</v>
      </c>
    </row>
    <row r="1654" spans="54:70" x14ac:dyDescent="0.2">
      <c r="BB1654" s="94"/>
      <c r="BL1654" s="8">
        <v>1605</v>
      </c>
      <c r="BM1654" s="8">
        <v>5177608.8483344596</v>
      </c>
      <c r="BN1654" s="8">
        <v>0</v>
      </c>
      <c r="BO1654" s="8">
        <v>5177608.8483344596</v>
      </c>
      <c r="BP1654" s="8">
        <v>2242327.6935109496</v>
      </c>
      <c r="BQ1654" s="8">
        <v>-2935281.15482351</v>
      </c>
      <c r="BR1654" s="8" t="str">
        <v>Yes</v>
      </c>
    </row>
    <row r="1655" spans="54:70" x14ac:dyDescent="0.2">
      <c r="BB1655" s="94"/>
      <c r="BL1655" s="8">
        <v>1606</v>
      </c>
      <c r="BM1655" s="8">
        <v>4873393.629303053</v>
      </c>
      <c r="BN1655" s="8">
        <v>1529871.7410117581</v>
      </c>
      <c r="BO1655" s="8">
        <v>6403265.3703148114</v>
      </c>
      <c r="BP1655" s="8">
        <v>4814542.049405247</v>
      </c>
      <c r="BQ1655" s="8">
        <v>-1588723.3209095644</v>
      </c>
      <c r="BR1655" s="8" t="str">
        <v>Yes</v>
      </c>
    </row>
    <row r="1656" spans="54:70" x14ac:dyDescent="0.2">
      <c r="BB1656" s="94"/>
      <c r="BL1656" s="8">
        <v>1607</v>
      </c>
      <c r="BM1656" s="8">
        <v>4860629.4211025406</v>
      </c>
      <c r="BN1656" s="8">
        <v>3026777.1007996006</v>
      </c>
      <c r="BO1656" s="8">
        <v>7887406.5219021412</v>
      </c>
      <c r="BP1656" s="8">
        <v>3317710.6020736289</v>
      </c>
      <c r="BQ1656" s="8">
        <v>-4569695.9198285118</v>
      </c>
      <c r="BR1656" s="8" t="str">
        <v>Yes</v>
      </c>
    </row>
    <row r="1657" spans="54:70" x14ac:dyDescent="0.2">
      <c r="BB1657" s="94"/>
      <c r="BL1657" s="8">
        <v>1608</v>
      </c>
      <c r="BM1657" s="8">
        <v>11360937.255764076</v>
      </c>
      <c r="BN1657" s="8">
        <v>10593646.504404563</v>
      </c>
      <c r="BO1657" s="8">
        <v>21954583.760168642</v>
      </c>
      <c r="BP1657" s="8">
        <v>4238398.0210715039</v>
      </c>
      <c r="BQ1657" s="8">
        <v>-17716185.739097137</v>
      </c>
      <c r="BR1657" s="8" t="str">
        <v>Yes</v>
      </c>
    </row>
    <row r="1658" spans="54:70" x14ac:dyDescent="0.2">
      <c r="BB1658" s="94"/>
      <c r="BL1658" s="8">
        <v>1609</v>
      </c>
      <c r="BM1658" s="8">
        <v>9073926.2913192976</v>
      </c>
      <c r="BN1658" s="8">
        <v>0</v>
      </c>
      <c r="BO1658" s="8">
        <v>9073926.2913192976</v>
      </c>
      <c r="BP1658" s="8">
        <v>4384437.1934629474</v>
      </c>
      <c r="BQ1658" s="8">
        <v>-4689489.0978563502</v>
      </c>
      <c r="BR1658" s="8" t="str">
        <v>Yes</v>
      </c>
    </row>
    <row r="1659" spans="54:70" x14ac:dyDescent="0.2">
      <c r="BB1659" s="94"/>
      <c r="BL1659" s="8">
        <v>1610</v>
      </c>
      <c r="BM1659" s="8">
        <v>2235365.6083752383</v>
      </c>
      <c r="BN1659" s="8">
        <v>0</v>
      </c>
      <c r="BO1659" s="8">
        <v>2235365.6083752383</v>
      </c>
      <c r="BP1659" s="8">
        <v>6578640.5186363878</v>
      </c>
      <c r="BQ1659" s="8">
        <v>4343274.9102611495</v>
      </c>
      <c r="BR1659" s="8" t="str">
        <v>No</v>
      </c>
    </row>
    <row r="1660" spans="54:70" x14ac:dyDescent="0.2">
      <c r="BB1660" s="94"/>
      <c r="BL1660" s="8">
        <v>1611</v>
      </c>
      <c r="BM1660" s="8">
        <v>2374618.7213515406</v>
      </c>
      <c r="BN1660" s="8">
        <v>1763591.8089074588</v>
      </c>
      <c r="BO1660" s="8">
        <v>4138210.5302589992</v>
      </c>
      <c r="BP1660" s="8">
        <v>5849690.7423396846</v>
      </c>
      <c r="BQ1660" s="8">
        <v>1711480.2120806854</v>
      </c>
      <c r="BR1660" s="8" t="str">
        <v>No</v>
      </c>
    </row>
    <row r="1661" spans="54:70" x14ac:dyDescent="0.2">
      <c r="BB1661" s="94"/>
      <c r="BL1661" s="8">
        <v>1612</v>
      </c>
      <c r="BM1661" s="8">
        <v>5620068.199418731</v>
      </c>
      <c r="BN1661" s="8">
        <v>0</v>
      </c>
      <c r="BO1661" s="8">
        <v>5620068.199418731</v>
      </c>
      <c r="BP1661" s="8">
        <v>6398439.661846716</v>
      </c>
      <c r="BQ1661" s="8">
        <v>778371.46242798492</v>
      </c>
      <c r="BR1661" s="8" t="str">
        <v>No</v>
      </c>
    </row>
    <row r="1662" spans="54:70" x14ac:dyDescent="0.2">
      <c r="BB1662" s="94"/>
      <c r="BL1662" s="8">
        <v>1613</v>
      </c>
      <c r="BM1662" s="8">
        <v>4158530.6161643276</v>
      </c>
      <c r="BN1662" s="8">
        <v>2941289.5677039572</v>
      </c>
      <c r="BO1662" s="8">
        <v>7099820.1838682853</v>
      </c>
      <c r="BP1662" s="8">
        <v>2306872.1576821539</v>
      </c>
      <c r="BQ1662" s="8">
        <v>-4792948.0261861309</v>
      </c>
      <c r="BR1662" s="8" t="str">
        <v>Yes</v>
      </c>
    </row>
    <row r="1663" spans="54:70" x14ac:dyDescent="0.2">
      <c r="BB1663" s="94"/>
      <c r="BL1663" s="8">
        <v>1614</v>
      </c>
      <c r="BM1663" s="8">
        <v>4267404.0519508021</v>
      </c>
      <c r="BN1663" s="8">
        <v>0</v>
      </c>
      <c r="BO1663" s="8">
        <v>4267404.0519508021</v>
      </c>
      <c r="BP1663" s="8">
        <v>1993550.7485385977</v>
      </c>
      <c r="BQ1663" s="8">
        <v>-2273853.3034122046</v>
      </c>
      <c r="BR1663" s="8" t="str">
        <v>Yes</v>
      </c>
    </row>
    <row r="1664" spans="54:70" x14ac:dyDescent="0.2">
      <c r="BB1664" s="94"/>
      <c r="BL1664" s="8">
        <v>1615</v>
      </c>
      <c r="BM1664" s="8">
        <v>1429522.471033325</v>
      </c>
      <c r="BN1664" s="8">
        <v>439582.86496894446</v>
      </c>
      <c r="BO1664" s="8">
        <v>1869105.3360022693</v>
      </c>
      <c r="BP1664" s="8">
        <v>5788206.8696978837</v>
      </c>
      <c r="BQ1664" s="8">
        <v>3919101.5336956144</v>
      </c>
      <c r="BR1664" s="8" t="str">
        <v>No</v>
      </c>
    </row>
    <row r="1665" spans="54:70" x14ac:dyDescent="0.2">
      <c r="BB1665" s="94"/>
      <c r="BL1665" s="8">
        <v>1616</v>
      </c>
      <c r="BM1665" s="8">
        <v>20124990.474355347</v>
      </c>
      <c r="BN1665" s="8">
        <v>17832212.389853846</v>
      </c>
      <c r="BO1665" s="8">
        <v>37957202.86420919</v>
      </c>
      <c r="BP1665" s="8">
        <v>4060371.9651019936</v>
      </c>
      <c r="BQ1665" s="8">
        <v>-33896830.899107195</v>
      </c>
      <c r="BR1665" s="8" t="str">
        <v>Yes</v>
      </c>
    </row>
    <row r="1666" spans="54:70" x14ac:dyDescent="0.2">
      <c r="BB1666" s="94"/>
      <c r="BL1666" s="8">
        <v>1617</v>
      </c>
      <c r="BM1666" s="8">
        <v>3297503.3121627881</v>
      </c>
      <c r="BN1666" s="8">
        <v>3090990.9397670263</v>
      </c>
      <c r="BO1666" s="8">
        <v>6388494.251929814</v>
      </c>
      <c r="BP1666" s="8">
        <v>4352997.3340435689</v>
      </c>
      <c r="BQ1666" s="8">
        <v>-2035496.9178862451</v>
      </c>
      <c r="BR1666" s="8" t="str">
        <v>Yes</v>
      </c>
    </row>
    <row r="1667" spans="54:70" x14ac:dyDescent="0.2">
      <c r="BB1667" s="94"/>
      <c r="BL1667" s="8">
        <v>1618</v>
      </c>
      <c r="BM1667" s="8">
        <v>4530513.9796436597</v>
      </c>
      <c r="BN1667" s="8">
        <v>0</v>
      </c>
      <c r="BO1667" s="8">
        <v>4530513.9796436597</v>
      </c>
      <c r="BP1667" s="8">
        <v>3300168.4367415584</v>
      </c>
      <c r="BQ1667" s="8">
        <v>-1230345.5429021013</v>
      </c>
      <c r="BR1667" s="8" t="str">
        <v>Yes</v>
      </c>
    </row>
    <row r="1668" spans="54:70" x14ac:dyDescent="0.2">
      <c r="BB1668" s="94"/>
      <c r="BL1668" s="8">
        <v>1619</v>
      </c>
      <c r="BM1668" s="8">
        <v>12603109.661686169</v>
      </c>
      <c r="BN1668" s="8">
        <v>0</v>
      </c>
      <c r="BO1668" s="8">
        <v>12603109.661686169</v>
      </c>
      <c r="BP1668" s="8">
        <v>3490766.932514315</v>
      </c>
      <c r="BQ1668" s="8">
        <v>-9112342.7291718535</v>
      </c>
      <c r="BR1668" s="8" t="str">
        <v>Yes</v>
      </c>
    </row>
    <row r="1669" spans="54:70" x14ac:dyDescent="0.2">
      <c r="BB1669" s="94"/>
      <c r="BL1669" s="8">
        <v>1620</v>
      </c>
      <c r="BM1669" s="8">
        <v>3617278.629228252</v>
      </c>
      <c r="BN1669" s="8">
        <v>0</v>
      </c>
      <c r="BO1669" s="8">
        <v>3617278.629228252</v>
      </c>
      <c r="BP1669" s="8">
        <v>2332404.5102424095</v>
      </c>
      <c r="BQ1669" s="8">
        <v>-1284874.1189858424</v>
      </c>
      <c r="BR1669" s="8" t="str">
        <v>Yes</v>
      </c>
    </row>
    <row r="1670" spans="54:70" x14ac:dyDescent="0.2">
      <c r="BB1670" s="94"/>
      <c r="BL1670" s="8">
        <v>1621</v>
      </c>
      <c r="BM1670" s="8">
        <v>5627281.5240391055</v>
      </c>
      <c r="BN1670" s="8">
        <v>0</v>
      </c>
      <c r="BO1670" s="8">
        <v>5627281.5240391055</v>
      </c>
      <c r="BP1670" s="8">
        <v>3909931.4096282297</v>
      </c>
      <c r="BQ1670" s="8">
        <v>-1717350.1144108758</v>
      </c>
      <c r="BR1670" s="8" t="str">
        <v>Yes</v>
      </c>
    </row>
    <row r="1671" spans="54:70" x14ac:dyDescent="0.2">
      <c r="BB1671" s="94"/>
      <c r="BL1671" s="8">
        <v>1622</v>
      </c>
      <c r="BM1671" s="8">
        <v>1940498.5804970791</v>
      </c>
      <c r="BN1671" s="8">
        <v>1942227.4904897853</v>
      </c>
      <c r="BO1671" s="8">
        <v>3882726.0709868642</v>
      </c>
      <c r="BP1671" s="8">
        <v>2179383.304422061</v>
      </c>
      <c r="BQ1671" s="8">
        <v>-1703342.7665648032</v>
      </c>
      <c r="BR1671" s="8" t="str">
        <v>Yes</v>
      </c>
    </row>
    <row r="1672" spans="54:70" x14ac:dyDescent="0.2">
      <c r="BB1672" s="94"/>
      <c r="BL1672" s="8">
        <v>1623</v>
      </c>
      <c r="BM1672" s="8">
        <v>6174841.7754554804</v>
      </c>
      <c r="BN1672" s="8">
        <v>0</v>
      </c>
      <c r="BO1672" s="8">
        <v>6174841.7754554804</v>
      </c>
      <c r="BP1672" s="8">
        <v>6152624.9103666535</v>
      </c>
      <c r="BQ1672" s="8">
        <v>-22216.865088826977</v>
      </c>
      <c r="BR1672" s="8" t="str">
        <v>Yes</v>
      </c>
    </row>
    <row r="1673" spans="54:70" x14ac:dyDescent="0.2">
      <c r="BB1673" s="94"/>
      <c r="BL1673" s="8">
        <v>1624</v>
      </c>
      <c r="BM1673" s="8">
        <v>1483229.7690437546</v>
      </c>
      <c r="BN1673" s="8">
        <v>0</v>
      </c>
      <c r="BO1673" s="8">
        <v>1483229.7690437546</v>
      </c>
      <c r="BP1673" s="8">
        <v>6032522.2716210261</v>
      </c>
      <c r="BQ1673" s="8">
        <v>4549292.5025772713</v>
      </c>
      <c r="BR1673" s="8" t="str">
        <v>No</v>
      </c>
    </row>
    <row r="1674" spans="54:70" x14ac:dyDescent="0.2">
      <c r="BB1674" s="94"/>
      <c r="BL1674" s="8">
        <v>1625</v>
      </c>
      <c r="BM1674" s="8">
        <v>3511981.6763220103</v>
      </c>
      <c r="BN1674" s="8">
        <v>0</v>
      </c>
      <c r="BO1674" s="8">
        <v>3511981.6763220103</v>
      </c>
      <c r="BP1674" s="8">
        <v>4322602.8385657156</v>
      </c>
      <c r="BQ1674" s="8">
        <v>810621.16224370524</v>
      </c>
      <c r="BR1674" s="8" t="str">
        <v>No</v>
      </c>
    </row>
    <row r="1675" spans="54:70" x14ac:dyDescent="0.2">
      <c r="BB1675" s="94"/>
      <c r="BL1675" s="8">
        <v>1626</v>
      </c>
      <c r="BM1675" s="8">
        <v>9676516.9654938821</v>
      </c>
      <c r="BN1675" s="8">
        <v>11631581.295059361</v>
      </c>
      <c r="BO1675" s="8">
        <v>21308098.260553241</v>
      </c>
      <c r="BP1675" s="8">
        <v>4148597.0519413846</v>
      </c>
      <c r="BQ1675" s="8">
        <v>-17159501.208611857</v>
      </c>
      <c r="BR1675" s="8" t="str">
        <v>Yes</v>
      </c>
    </row>
    <row r="1676" spans="54:70" x14ac:dyDescent="0.2">
      <c r="BB1676" s="94"/>
      <c r="BL1676" s="8">
        <v>1627</v>
      </c>
      <c r="BM1676" s="8">
        <v>3263819.4501369363</v>
      </c>
      <c r="BN1676" s="8">
        <v>0</v>
      </c>
      <c r="BO1676" s="8">
        <v>3263819.4501369363</v>
      </c>
      <c r="BP1676" s="8">
        <v>6479732.3755137008</v>
      </c>
      <c r="BQ1676" s="8">
        <v>3215912.9253767645</v>
      </c>
      <c r="BR1676" s="8" t="str">
        <v>No</v>
      </c>
    </row>
    <row r="1677" spans="54:70" x14ac:dyDescent="0.2">
      <c r="BB1677" s="94"/>
      <c r="BL1677" s="8">
        <v>1628</v>
      </c>
      <c r="BM1677" s="8">
        <v>5063733.3032659218</v>
      </c>
      <c r="BN1677" s="8">
        <v>0</v>
      </c>
      <c r="BO1677" s="8">
        <v>5063733.3032659218</v>
      </c>
      <c r="BP1677" s="8">
        <v>5560889.0347321732</v>
      </c>
      <c r="BQ1677" s="8">
        <v>497155.73146625143</v>
      </c>
      <c r="BR1677" s="8" t="str">
        <v>No</v>
      </c>
    </row>
    <row r="1678" spans="54:70" x14ac:dyDescent="0.2">
      <c r="BB1678" s="94"/>
      <c r="BL1678" s="8">
        <v>1629</v>
      </c>
      <c r="BM1678" s="8">
        <v>3300555.4780392013</v>
      </c>
      <c r="BN1678" s="8">
        <v>0</v>
      </c>
      <c r="BO1678" s="8">
        <v>3300555.4780392013</v>
      </c>
      <c r="BP1678" s="8">
        <v>2350621.8150851433</v>
      </c>
      <c r="BQ1678" s="8">
        <v>-949933.66295405803</v>
      </c>
      <c r="BR1678" s="8" t="str">
        <v>Yes</v>
      </c>
    </row>
    <row r="1679" spans="54:70" x14ac:dyDescent="0.2">
      <c r="BB1679" s="94"/>
      <c r="BL1679" s="8">
        <v>1630</v>
      </c>
      <c r="BM1679" s="8">
        <v>1477066.9277863312</v>
      </c>
      <c r="BN1679" s="8">
        <v>759805.25068182638</v>
      </c>
      <c r="BO1679" s="8">
        <v>2236872.1784681575</v>
      </c>
      <c r="BP1679" s="8">
        <v>3432144.1096927496</v>
      </c>
      <c r="BQ1679" s="8">
        <v>1195271.931224592</v>
      </c>
      <c r="BR1679" s="8" t="str">
        <v>No</v>
      </c>
    </row>
    <row r="1680" spans="54:70" x14ac:dyDescent="0.2">
      <c r="BB1680" s="94"/>
      <c r="BL1680" s="8">
        <v>1631</v>
      </c>
      <c r="BM1680" s="8">
        <v>7244038.3889032705</v>
      </c>
      <c r="BN1680" s="8">
        <v>7557517.268630703</v>
      </c>
      <c r="BO1680" s="8">
        <v>14801555.657533973</v>
      </c>
      <c r="BP1680" s="8">
        <v>6275969.5188751686</v>
      </c>
      <c r="BQ1680" s="8">
        <v>-8525586.1386588048</v>
      </c>
      <c r="BR1680" s="8" t="str">
        <v>Yes</v>
      </c>
    </row>
    <row r="1681" spans="54:70" x14ac:dyDescent="0.2">
      <c r="BB1681" s="94"/>
      <c r="BL1681" s="8">
        <v>1632</v>
      </c>
      <c r="BM1681" s="8">
        <v>2536768.1369843651</v>
      </c>
      <c r="BN1681" s="8">
        <v>1853181.9080747296</v>
      </c>
      <c r="BO1681" s="8">
        <v>4389950.0450590942</v>
      </c>
      <c r="BP1681" s="8">
        <v>2148496.8321940815</v>
      </c>
      <c r="BQ1681" s="8">
        <v>-2241453.2128650127</v>
      </c>
      <c r="BR1681" s="8" t="str">
        <v>Yes</v>
      </c>
    </row>
    <row r="1682" spans="54:70" x14ac:dyDescent="0.2">
      <c r="BB1682" s="94"/>
      <c r="BL1682" s="8">
        <v>1633</v>
      </c>
      <c r="BM1682" s="8">
        <v>3819268.4750939114</v>
      </c>
      <c r="BN1682" s="8">
        <v>2259495.902148705</v>
      </c>
      <c r="BO1682" s="8">
        <v>6078764.3772426164</v>
      </c>
      <c r="BP1682" s="8">
        <v>3437952.0635425183</v>
      </c>
      <c r="BQ1682" s="8">
        <v>-2640812.3137000981</v>
      </c>
      <c r="BR1682" s="8" t="str">
        <v>Yes</v>
      </c>
    </row>
    <row r="1683" spans="54:70" x14ac:dyDescent="0.2">
      <c r="BB1683" s="94"/>
      <c r="BL1683" s="8">
        <v>1634</v>
      </c>
      <c r="BM1683" s="8">
        <v>8353069.0370568717</v>
      </c>
      <c r="BN1683" s="8">
        <v>5931400.7413413916</v>
      </c>
      <c r="BO1683" s="8">
        <v>14284469.778398264</v>
      </c>
      <c r="BP1683" s="8">
        <v>6727704.0235085273</v>
      </c>
      <c r="BQ1683" s="8">
        <v>-7556765.7548897369</v>
      </c>
      <c r="BR1683" s="8" t="str">
        <v>Yes</v>
      </c>
    </row>
    <row r="1684" spans="54:70" x14ac:dyDescent="0.2">
      <c r="BB1684" s="94"/>
      <c r="BL1684" s="8">
        <v>1635</v>
      </c>
      <c r="BM1684" s="8">
        <v>2738980.6463268967</v>
      </c>
      <c r="BN1684" s="8">
        <v>2594816.1399916681</v>
      </c>
      <c r="BO1684" s="8">
        <v>5333796.7863185648</v>
      </c>
      <c r="BP1684" s="8">
        <v>3301895.9890964529</v>
      </c>
      <c r="BQ1684" s="8">
        <v>-2031900.7972221118</v>
      </c>
      <c r="BR1684" s="8" t="str">
        <v>Yes</v>
      </c>
    </row>
    <row r="1685" spans="54:70" x14ac:dyDescent="0.2">
      <c r="BB1685" s="94"/>
      <c r="BL1685" s="8">
        <v>1636</v>
      </c>
      <c r="BM1685" s="8">
        <v>1539513.2346243132</v>
      </c>
      <c r="BN1685" s="8">
        <v>0</v>
      </c>
      <c r="BO1685" s="8">
        <v>1539513.2346243132</v>
      </c>
      <c r="BP1685" s="8">
        <v>3421790.1098844749</v>
      </c>
      <c r="BQ1685" s="8">
        <v>1882276.8752601617</v>
      </c>
      <c r="BR1685" s="8" t="str">
        <v>No</v>
      </c>
    </row>
    <row r="1686" spans="54:70" x14ac:dyDescent="0.2">
      <c r="BB1686" s="94"/>
      <c r="BL1686" s="8">
        <v>1637</v>
      </c>
      <c r="BM1686" s="8">
        <v>3460001.8564809286</v>
      </c>
      <c r="BN1686" s="8">
        <v>4335039.0465171114</v>
      </c>
      <c r="BO1686" s="8">
        <v>7795040.9029980395</v>
      </c>
      <c r="BP1686" s="8">
        <v>2509838.9587330841</v>
      </c>
      <c r="BQ1686" s="8">
        <v>-5285201.9442649558</v>
      </c>
      <c r="BR1686" s="8" t="str">
        <v>Yes</v>
      </c>
    </row>
    <row r="1687" spans="54:70" x14ac:dyDescent="0.2">
      <c r="BB1687" s="94"/>
      <c r="BL1687" s="8">
        <v>1638</v>
      </c>
      <c r="BM1687" s="8">
        <v>2622435.9489337727</v>
      </c>
      <c r="BN1687" s="8">
        <v>0</v>
      </c>
      <c r="BO1687" s="8">
        <v>2622435.9489337727</v>
      </c>
      <c r="BP1687" s="8">
        <v>3443167.9137456594</v>
      </c>
      <c r="BQ1687" s="8">
        <v>820731.96481188666</v>
      </c>
      <c r="BR1687" s="8" t="str">
        <v>No</v>
      </c>
    </row>
    <row r="1688" spans="54:70" x14ac:dyDescent="0.2">
      <c r="BB1688" s="94"/>
      <c r="BL1688" s="8">
        <v>1639</v>
      </c>
      <c r="BM1688" s="8">
        <v>4981946.5908539575</v>
      </c>
      <c r="BN1688" s="8">
        <v>0</v>
      </c>
      <c r="BO1688" s="8">
        <v>4981946.5908539575</v>
      </c>
      <c r="BP1688" s="8">
        <v>4502405.7674084399</v>
      </c>
      <c r="BQ1688" s="8">
        <v>-479540.82344551757</v>
      </c>
      <c r="BR1688" s="8" t="str">
        <v>Yes</v>
      </c>
    </row>
    <row r="1689" spans="54:70" x14ac:dyDescent="0.2">
      <c r="BB1689" s="94"/>
      <c r="BL1689" s="8">
        <v>1640</v>
      </c>
      <c r="BM1689" s="8">
        <v>4071583.5006595496</v>
      </c>
      <c r="BN1689" s="8">
        <v>5000770.8586980347</v>
      </c>
      <c r="BO1689" s="8">
        <v>9072354.3593575843</v>
      </c>
      <c r="BP1689" s="8">
        <v>6386075.3433166184</v>
      </c>
      <c r="BQ1689" s="8">
        <v>-2686279.0160409659</v>
      </c>
      <c r="BR1689" s="8" t="str">
        <v>Yes</v>
      </c>
    </row>
    <row r="1690" spans="54:70" x14ac:dyDescent="0.2">
      <c r="BB1690" s="94"/>
      <c r="BL1690" s="8">
        <v>1641</v>
      </c>
      <c r="BM1690" s="8">
        <v>10013811.091472806</v>
      </c>
      <c r="BN1690" s="8">
        <v>0</v>
      </c>
      <c r="BO1690" s="8">
        <v>10013811.091472806</v>
      </c>
      <c r="BP1690" s="8">
        <v>3454639.1854031808</v>
      </c>
      <c r="BQ1690" s="8">
        <v>-6559171.9060696252</v>
      </c>
      <c r="BR1690" s="8" t="str">
        <v>Yes</v>
      </c>
    </row>
    <row r="1691" spans="54:70" x14ac:dyDescent="0.2">
      <c r="BB1691" s="94"/>
      <c r="BL1691" s="8">
        <v>1642</v>
      </c>
      <c r="BM1691" s="8">
        <v>2207946.9801205192</v>
      </c>
      <c r="BN1691" s="8">
        <v>2132041.4053514916</v>
      </c>
      <c r="BO1691" s="8">
        <v>4339988.3854720108</v>
      </c>
      <c r="BP1691" s="8">
        <v>4036330.5739136646</v>
      </c>
      <c r="BQ1691" s="8">
        <v>-303657.81155834626</v>
      </c>
      <c r="BR1691" s="8" t="str">
        <v>Yes</v>
      </c>
    </row>
    <row r="1692" spans="54:70" x14ac:dyDescent="0.2">
      <c r="BB1692" s="94"/>
      <c r="BL1692" s="8">
        <v>1643</v>
      </c>
      <c r="BM1692" s="8">
        <v>4173517.7441699691</v>
      </c>
      <c r="BN1692" s="8">
        <v>0</v>
      </c>
      <c r="BO1692" s="8">
        <v>4173517.7441699691</v>
      </c>
      <c r="BP1692" s="8">
        <v>3464851.5370139237</v>
      </c>
      <c r="BQ1692" s="8">
        <v>-708666.20715604536</v>
      </c>
      <c r="BR1692" s="8" t="str">
        <v>Yes</v>
      </c>
    </row>
    <row r="1693" spans="54:70" x14ac:dyDescent="0.2">
      <c r="BB1693" s="94"/>
      <c r="BL1693" s="8">
        <v>1644</v>
      </c>
      <c r="BM1693" s="8">
        <v>3473508.3547754195</v>
      </c>
      <c r="BN1693" s="8">
        <v>6748755.9286793824</v>
      </c>
      <c r="BO1693" s="8">
        <v>10222264.283454802</v>
      </c>
      <c r="BP1693" s="8">
        <v>2429907.0267687147</v>
      </c>
      <c r="BQ1693" s="8">
        <v>-7792357.2566860877</v>
      </c>
      <c r="BR1693" s="8" t="str">
        <v>Yes</v>
      </c>
    </row>
    <row r="1694" spans="54:70" x14ac:dyDescent="0.2">
      <c r="BB1694" s="94"/>
      <c r="BL1694" s="8">
        <v>1645</v>
      </c>
      <c r="BM1694" s="8">
        <v>4120830.8899285002</v>
      </c>
      <c r="BN1694" s="8">
        <v>5320763.0489279088</v>
      </c>
      <c r="BO1694" s="8">
        <v>9441593.938856408</v>
      </c>
      <c r="BP1694" s="8">
        <v>6126567.4054460665</v>
      </c>
      <c r="BQ1694" s="8">
        <v>-3315026.5334103415</v>
      </c>
      <c r="BR1694" s="8" t="str">
        <v>Yes</v>
      </c>
    </row>
    <row r="1695" spans="54:70" x14ac:dyDescent="0.2">
      <c r="BB1695" s="94"/>
      <c r="BL1695" s="8">
        <v>1646</v>
      </c>
      <c r="BM1695" s="8">
        <v>2600975.0762939923</v>
      </c>
      <c r="BN1695" s="8">
        <v>1414989.745928121</v>
      </c>
      <c r="BO1695" s="8">
        <v>4015964.8222221136</v>
      </c>
      <c r="BP1695" s="8">
        <v>3328458.3135961178</v>
      </c>
      <c r="BQ1695" s="8">
        <v>-687506.50862599583</v>
      </c>
      <c r="BR1695" s="8" t="str">
        <v>Yes</v>
      </c>
    </row>
    <row r="1696" spans="54:70" x14ac:dyDescent="0.2">
      <c r="BB1696" s="94"/>
      <c r="BL1696" s="8">
        <v>1647</v>
      </c>
      <c r="BM1696" s="8">
        <v>1818781.1879739626</v>
      </c>
      <c r="BN1696" s="8">
        <v>0</v>
      </c>
      <c r="BO1696" s="8">
        <v>1818781.1879739626</v>
      </c>
      <c r="BP1696" s="8">
        <v>2269310.5433480907</v>
      </c>
      <c r="BQ1696" s="8">
        <v>450529.35537412809</v>
      </c>
      <c r="BR1696" s="8" t="str">
        <v>No</v>
      </c>
    </row>
    <row r="1697" spans="54:70" x14ac:dyDescent="0.2">
      <c r="BB1697" s="94"/>
      <c r="BL1697" s="8">
        <v>1648</v>
      </c>
      <c r="BM1697" s="8">
        <v>8959838.2828547899</v>
      </c>
      <c r="BN1697" s="8">
        <v>0</v>
      </c>
      <c r="BO1697" s="8">
        <v>8959838.2828547899</v>
      </c>
      <c r="BP1697" s="8">
        <v>2372071.2867336078</v>
      </c>
      <c r="BQ1697" s="8">
        <v>-6587766.9961211821</v>
      </c>
      <c r="BR1697" s="8" t="str">
        <v>Yes</v>
      </c>
    </row>
    <row r="1698" spans="54:70" x14ac:dyDescent="0.2">
      <c r="BB1698" s="94"/>
      <c r="BL1698" s="8">
        <v>1649</v>
      </c>
      <c r="BM1698" s="8">
        <v>2367398.1956064044</v>
      </c>
      <c r="BN1698" s="8">
        <v>2403352.8428736427</v>
      </c>
      <c r="BO1698" s="8">
        <v>4770751.0384800471</v>
      </c>
      <c r="BP1698" s="8">
        <v>3195468.1371722887</v>
      </c>
      <c r="BQ1698" s="8">
        <v>-1575282.9013077584</v>
      </c>
      <c r="BR1698" s="8" t="str">
        <v>Yes</v>
      </c>
    </row>
    <row r="1699" spans="54:70" x14ac:dyDescent="0.2">
      <c r="BB1699" s="94"/>
      <c r="BL1699" s="8">
        <v>1650</v>
      </c>
      <c r="BM1699" s="8">
        <v>2108807.1654280759</v>
      </c>
      <c r="BN1699" s="8">
        <v>0</v>
      </c>
      <c r="BO1699" s="8">
        <v>2108807.1654280759</v>
      </c>
      <c r="BP1699" s="8">
        <v>2273582.2883731485</v>
      </c>
      <c r="BQ1699" s="8">
        <v>164775.1229450726</v>
      </c>
      <c r="BR1699" s="8" t="str">
        <v>No</v>
      </c>
    </row>
    <row r="1700" spans="54:70" x14ac:dyDescent="0.2">
      <c r="BB1700" s="94"/>
      <c r="BL1700" s="8">
        <v>1651</v>
      </c>
      <c r="BM1700" s="8">
        <v>3754362.1411536289</v>
      </c>
      <c r="BN1700" s="8">
        <v>2199912.1751907538</v>
      </c>
      <c r="BO1700" s="8">
        <v>5954274.3163443822</v>
      </c>
      <c r="BP1700" s="8">
        <v>3199160.0284052026</v>
      </c>
      <c r="BQ1700" s="8">
        <v>-2755114.2879391797</v>
      </c>
      <c r="BR1700" s="8" t="str">
        <v>Yes</v>
      </c>
    </row>
    <row r="1701" spans="54:70" x14ac:dyDescent="0.2">
      <c r="BB1701" s="94"/>
      <c r="BL1701" s="8">
        <v>1652</v>
      </c>
      <c r="BM1701" s="8">
        <v>4667224.9769331682</v>
      </c>
      <c r="BN1701" s="8">
        <v>3019514.0801095436</v>
      </c>
      <c r="BO1701" s="8">
        <v>7686739.0570427123</v>
      </c>
      <c r="BP1701" s="8">
        <v>3539230.366857646</v>
      </c>
      <c r="BQ1701" s="8">
        <v>-4147508.6901850663</v>
      </c>
      <c r="BR1701" s="8" t="str">
        <v>Yes</v>
      </c>
    </row>
    <row r="1702" spans="54:70" x14ac:dyDescent="0.2">
      <c r="BB1702" s="94"/>
      <c r="BL1702" s="8">
        <v>1653</v>
      </c>
      <c r="BM1702" s="8">
        <v>6595385.8805952957</v>
      </c>
      <c r="BN1702" s="8">
        <v>0</v>
      </c>
      <c r="BO1702" s="8">
        <v>6595385.8805952957</v>
      </c>
      <c r="BP1702" s="8">
        <v>4313101.8721212037</v>
      </c>
      <c r="BQ1702" s="8">
        <v>-2282284.008474092</v>
      </c>
      <c r="BR1702" s="8" t="str">
        <v>Yes</v>
      </c>
    </row>
    <row r="1703" spans="54:70" x14ac:dyDescent="0.2">
      <c r="BB1703" s="94"/>
      <c r="BL1703" s="8">
        <v>1654</v>
      </c>
      <c r="BM1703" s="8">
        <v>4134390.5533838426</v>
      </c>
      <c r="BN1703" s="8">
        <v>0</v>
      </c>
      <c r="BO1703" s="8">
        <v>4134390.5533838426</v>
      </c>
      <c r="BP1703" s="8">
        <v>4130638.5409479253</v>
      </c>
      <c r="BQ1703" s="8">
        <v>-3752.0124359172769</v>
      </c>
      <c r="BR1703" s="8" t="str">
        <v>Yes</v>
      </c>
    </row>
    <row r="1704" spans="54:70" x14ac:dyDescent="0.2">
      <c r="BB1704" s="94"/>
      <c r="BL1704" s="8">
        <v>1655</v>
      </c>
      <c r="BM1704" s="8">
        <v>3794375.2231413168</v>
      </c>
      <c r="BN1704" s="8">
        <v>3740958.7655141805</v>
      </c>
      <c r="BO1704" s="8">
        <v>7535333.9886554973</v>
      </c>
      <c r="BP1704" s="8">
        <v>3188779.8248747461</v>
      </c>
      <c r="BQ1704" s="8">
        <v>-4346554.1637807507</v>
      </c>
      <c r="BR1704" s="8" t="str">
        <v>Yes</v>
      </c>
    </row>
    <row r="1705" spans="54:70" x14ac:dyDescent="0.2">
      <c r="BB1705" s="94"/>
      <c r="BL1705" s="8">
        <v>1656</v>
      </c>
      <c r="BM1705" s="8">
        <v>6089950.8449617242</v>
      </c>
      <c r="BN1705" s="8">
        <v>3661725.3297890797</v>
      </c>
      <c r="BO1705" s="8">
        <v>9751676.1747508049</v>
      </c>
      <c r="BP1705" s="8">
        <v>2339511.0763175725</v>
      </c>
      <c r="BQ1705" s="8">
        <v>-7412165.0984332319</v>
      </c>
      <c r="BR1705" s="8" t="str">
        <v>Yes</v>
      </c>
    </row>
    <row r="1706" spans="54:70" x14ac:dyDescent="0.2">
      <c r="BB1706" s="94"/>
      <c r="BL1706" s="8">
        <v>1657</v>
      </c>
      <c r="BM1706" s="8">
        <v>6587055.1801415188</v>
      </c>
      <c r="BN1706" s="8">
        <v>0</v>
      </c>
      <c r="BO1706" s="8">
        <v>6587055.1801415188</v>
      </c>
      <c r="BP1706" s="8">
        <v>3727941.944948053</v>
      </c>
      <c r="BQ1706" s="8">
        <v>-2859113.2351934658</v>
      </c>
      <c r="BR1706" s="8" t="str">
        <v>Yes</v>
      </c>
    </row>
    <row r="1707" spans="54:70" x14ac:dyDescent="0.2">
      <c r="BB1707" s="94"/>
      <c r="BL1707" s="8">
        <v>1658</v>
      </c>
      <c r="BM1707" s="8">
        <v>7561151.4035003455</v>
      </c>
      <c r="BN1707" s="8">
        <v>0</v>
      </c>
      <c r="BO1707" s="8">
        <v>7561151.4035003455</v>
      </c>
      <c r="BP1707" s="8">
        <v>4119958.8789993841</v>
      </c>
      <c r="BQ1707" s="8">
        <v>-3441192.5245009614</v>
      </c>
      <c r="BR1707" s="8" t="str">
        <v>Yes</v>
      </c>
    </row>
    <row r="1708" spans="54:70" x14ac:dyDescent="0.2">
      <c r="BB1708" s="94"/>
      <c r="BL1708" s="8">
        <v>1659</v>
      </c>
      <c r="BM1708" s="8">
        <v>4039921.040325949</v>
      </c>
      <c r="BN1708" s="8">
        <v>0</v>
      </c>
      <c r="BO1708" s="8">
        <v>4039921.040325949</v>
      </c>
      <c r="BP1708" s="8">
        <v>6183287.8153229421</v>
      </c>
      <c r="BQ1708" s="8">
        <v>2143366.7749969931</v>
      </c>
      <c r="BR1708" s="8" t="str">
        <v>No</v>
      </c>
    </row>
    <row r="1709" spans="54:70" x14ac:dyDescent="0.2">
      <c r="BB1709" s="94"/>
      <c r="BL1709" s="8">
        <v>1660</v>
      </c>
      <c r="BM1709" s="8">
        <v>4095645.4136037985</v>
      </c>
      <c r="BN1709" s="8">
        <v>4569319.53097934</v>
      </c>
      <c r="BO1709" s="8">
        <v>8664964.9445831385</v>
      </c>
      <c r="BP1709" s="8">
        <v>3552707.8735307427</v>
      </c>
      <c r="BQ1709" s="8">
        <v>-5112257.0710523957</v>
      </c>
      <c r="BR1709" s="8" t="str">
        <v>Yes</v>
      </c>
    </row>
    <row r="1710" spans="54:70" x14ac:dyDescent="0.2">
      <c r="BB1710" s="94"/>
      <c r="BL1710" s="8">
        <v>1661</v>
      </c>
      <c r="BM1710" s="8">
        <v>1828852.1637470168</v>
      </c>
      <c r="BN1710" s="8">
        <v>0</v>
      </c>
      <c r="BO1710" s="8">
        <v>1828852.1637470168</v>
      </c>
      <c r="BP1710" s="8">
        <v>3207169.5065379068</v>
      </c>
      <c r="BQ1710" s="8">
        <v>1378317.34279089</v>
      </c>
      <c r="BR1710" s="8" t="str">
        <v>No</v>
      </c>
    </row>
    <row r="1711" spans="54:70" x14ac:dyDescent="0.2">
      <c r="BB1711" s="94"/>
      <c r="BL1711" s="8">
        <v>1662</v>
      </c>
      <c r="BM1711" s="8">
        <v>1727879.6208010865</v>
      </c>
      <c r="BN1711" s="8">
        <v>1134411.6975768278</v>
      </c>
      <c r="BO1711" s="8">
        <v>2862291.3183779144</v>
      </c>
      <c r="BP1711" s="8">
        <v>3528245.3475859929</v>
      </c>
      <c r="BQ1711" s="8">
        <v>665954.02920807851</v>
      </c>
      <c r="BR1711" s="8" t="str">
        <v>No</v>
      </c>
    </row>
    <row r="1712" spans="54:70" x14ac:dyDescent="0.2">
      <c r="BB1712" s="94"/>
      <c r="BL1712" s="8">
        <v>1663</v>
      </c>
      <c r="BM1712" s="8">
        <v>7999026.1762364525</v>
      </c>
      <c r="BN1712" s="8">
        <v>0</v>
      </c>
      <c r="BO1712" s="8">
        <v>7999026.1762364525</v>
      </c>
      <c r="BP1712" s="8">
        <v>5926944.9319683434</v>
      </c>
      <c r="BQ1712" s="8">
        <v>-2072081.2442681091</v>
      </c>
      <c r="BR1712" s="8" t="str">
        <v>Yes</v>
      </c>
    </row>
    <row r="1713" spans="54:70" x14ac:dyDescent="0.2">
      <c r="BB1713" s="94"/>
      <c r="BL1713" s="8">
        <v>1664</v>
      </c>
      <c r="BM1713" s="8">
        <v>5576578.5580828451</v>
      </c>
      <c r="BN1713" s="8">
        <v>4526651.8753261995</v>
      </c>
      <c r="BO1713" s="8">
        <v>10103230.433409045</v>
      </c>
      <c r="BP1713" s="8">
        <v>2101711.968216042</v>
      </c>
      <c r="BQ1713" s="8">
        <v>-8001518.4651930025</v>
      </c>
      <c r="BR1713" s="8" t="str">
        <v>Yes</v>
      </c>
    </row>
    <row r="1714" spans="54:70" x14ac:dyDescent="0.2">
      <c r="BB1714" s="94"/>
      <c r="BL1714" s="8">
        <v>1665</v>
      </c>
      <c r="BM1714" s="8">
        <v>8259606.3748144843</v>
      </c>
      <c r="BN1714" s="8">
        <v>12687859.723857271</v>
      </c>
      <c r="BO1714" s="8">
        <v>20947466.098671757</v>
      </c>
      <c r="BP1714" s="8">
        <v>3427465.3397754133</v>
      </c>
      <c r="BQ1714" s="8">
        <v>-17520000.758896343</v>
      </c>
      <c r="BR1714" s="8" t="str">
        <v>Yes</v>
      </c>
    </row>
    <row r="1715" spans="54:70" x14ac:dyDescent="0.2">
      <c r="BB1715" s="94"/>
      <c r="BL1715" s="8">
        <v>1666</v>
      </c>
      <c r="BM1715" s="8">
        <v>5605087.4480818436</v>
      </c>
      <c r="BN1715" s="8">
        <v>5131088.7990267053</v>
      </c>
      <c r="BO1715" s="8">
        <v>10736176.247108549</v>
      </c>
      <c r="BP1715" s="8">
        <v>2479507.7698249919</v>
      </c>
      <c r="BQ1715" s="8">
        <v>-8256668.4772835569</v>
      </c>
      <c r="BR1715" s="8" t="str">
        <v>Yes</v>
      </c>
    </row>
    <row r="1716" spans="54:70" x14ac:dyDescent="0.2">
      <c r="BB1716" s="94"/>
      <c r="BL1716" s="8">
        <v>1667</v>
      </c>
      <c r="BM1716" s="8">
        <v>3465439.4786571972</v>
      </c>
      <c r="BN1716" s="8">
        <v>3623841.5392615949</v>
      </c>
      <c r="BO1716" s="8">
        <v>7089281.0179187916</v>
      </c>
      <c r="BP1716" s="8">
        <v>2383918.8255023384</v>
      </c>
      <c r="BQ1716" s="8">
        <v>-4705362.1924164537</v>
      </c>
      <c r="BR1716" s="8" t="str">
        <v>Yes</v>
      </c>
    </row>
    <row r="1717" spans="54:70" x14ac:dyDescent="0.2">
      <c r="BB1717" s="94"/>
      <c r="BL1717" s="8">
        <v>1668</v>
      </c>
      <c r="BM1717" s="8">
        <v>8314858.7818117011</v>
      </c>
      <c r="BN1717" s="8">
        <v>0</v>
      </c>
      <c r="BO1717" s="8">
        <v>8314858.7818117011</v>
      </c>
      <c r="BP1717" s="8">
        <v>2500955.9396444829</v>
      </c>
      <c r="BQ1717" s="8">
        <v>-5813902.8421672182</v>
      </c>
      <c r="BR1717" s="8" t="str">
        <v>Yes</v>
      </c>
    </row>
    <row r="1718" spans="54:70" x14ac:dyDescent="0.2">
      <c r="BB1718" s="94"/>
      <c r="BL1718" s="8">
        <v>1669</v>
      </c>
      <c r="BM1718" s="8">
        <v>5537252.2870460255</v>
      </c>
      <c r="BN1718" s="8">
        <v>2420861.4005230065</v>
      </c>
      <c r="BO1718" s="8">
        <v>7958113.6875690315</v>
      </c>
      <c r="BP1718" s="8">
        <v>2315283.9150443701</v>
      </c>
      <c r="BQ1718" s="8">
        <v>-5642829.7725246614</v>
      </c>
      <c r="BR1718" s="8" t="str">
        <v>Yes</v>
      </c>
    </row>
    <row r="1719" spans="54:70" x14ac:dyDescent="0.2">
      <c r="BB1719" s="94"/>
      <c r="BL1719" s="8">
        <v>1670</v>
      </c>
      <c r="BM1719" s="8">
        <v>7738088.3611407299</v>
      </c>
      <c r="BN1719" s="8">
        <v>0</v>
      </c>
      <c r="BO1719" s="8">
        <v>7738088.3611407299</v>
      </c>
      <c r="BP1719" s="8">
        <v>6285332.2657243451</v>
      </c>
      <c r="BQ1719" s="8">
        <v>-1452756.0954163847</v>
      </c>
      <c r="BR1719" s="8" t="str">
        <v>Yes</v>
      </c>
    </row>
    <row r="1720" spans="54:70" x14ac:dyDescent="0.2">
      <c r="BB1720" s="94"/>
      <c r="BL1720" s="8">
        <v>1671</v>
      </c>
      <c r="BM1720" s="8">
        <v>1701205.0878058816</v>
      </c>
      <c r="BN1720" s="8">
        <v>0</v>
      </c>
      <c r="BO1720" s="8">
        <v>1701205.0878058816</v>
      </c>
      <c r="BP1720" s="8">
        <v>2346857.5966639821</v>
      </c>
      <c r="BQ1720" s="8">
        <v>645652.50885810051</v>
      </c>
      <c r="BR1720" s="8" t="str">
        <v>No</v>
      </c>
    </row>
    <row r="1721" spans="54:70" x14ac:dyDescent="0.2">
      <c r="BB1721" s="94"/>
      <c r="BL1721" s="8">
        <v>1672</v>
      </c>
      <c r="BM1721" s="8">
        <v>10015863.925876748</v>
      </c>
      <c r="BN1721" s="8">
        <v>0</v>
      </c>
      <c r="BO1721" s="8">
        <v>10015863.925876748</v>
      </c>
      <c r="BP1721" s="8">
        <v>6463040.9225806007</v>
      </c>
      <c r="BQ1721" s="8">
        <v>-3552823.0032961471</v>
      </c>
      <c r="BR1721" s="8" t="str">
        <v>Yes</v>
      </c>
    </row>
    <row r="1722" spans="54:70" x14ac:dyDescent="0.2">
      <c r="BB1722" s="94"/>
      <c r="BL1722" s="8">
        <v>1673</v>
      </c>
      <c r="BM1722" s="8">
        <v>4732784.5637671091</v>
      </c>
      <c r="BN1722" s="8">
        <v>3195195.5138252471</v>
      </c>
      <c r="BO1722" s="8">
        <v>7927980.0775923561</v>
      </c>
      <c r="BP1722" s="8">
        <v>4405718.7642350355</v>
      </c>
      <c r="BQ1722" s="8">
        <v>-3522261.3133573206</v>
      </c>
      <c r="BR1722" s="8" t="str">
        <v>Yes</v>
      </c>
    </row>
    <row r="1723" spans="54:70" x14ac:dyDescent="0.2">
      <c r="BB1723" s="94"/>
      <c r="BL1723" s="8">
        <v>1674</v>
      </c>
      <c r="BM1723" s="8">
        <v>5078099.6462448193</v>
      </c>
      <c r="BN1723" s="8">
        <v>3549290.0745664812</v>
      </c>
      <c r="BO1723" s="8">
        <v>8627389.7208113</v>
      </c>
      <c r="BP1723" s="8">
        <v>4234295.5532050664</v>
      </c>
      <c r="BQ1723" s="8">
        <v>-4393094.1676062336</v>
      </c>
      <c r="BR1723" s="8" t="str">
        <v>Yes</v>
      </c>
    </row>
    <row r="1724" spans="54:70" x14ac:dyDescent="0.2">
      <c r="BB1724" s="94"/>
      <c r="BL1724" s="8">
        <v>1675</v>
      </c>
      <c r="BM1724" s="8">
        <v>3774151.6604834739</v>
      </c>
      <c r="BN1724" s="8">
        <v>2338399.9881326426</v>
      </c>
      <c r="BO1724" s="8">
        <v>6112551.6486161165</v>
      </c>
      <c r="BP1724" s="8">
        <v>4815813.8450152054</v>
      </c>
      <c r="BQ1724" s="8">
        <v>-1296737.8036009111</v>
      </c>
      <c r="BR1724" s="8" t="str">
        <v>Yes</v>
      </c>
    </row>
    <row r="1725" spans="54:70" x14ac:dyDescent="0.2">
      <c r="BB1725" s="94"/>
      <c r="BL1725" s="8">
        <v>1676</v>
      </c>
      <c r="BM1725" s="8">
        <v>7846039.1370432684</v>
      </c>
      <c r="BN1725" s="8">
        <v>10825247.261415988</v>
      </c>
      <c r="BO1725" s="8">
        <v>18671286.398459256</v>
      </c>
      <c r="BP1725" s="8">
        <v>6459951.98897117</v>
      </c>
      <c r="BQ1725" s="8">
        <v>-12211334.409488086</v>
      </c>
      <c r="BR1725" s="8" t="str">
        <v>Yes</v>
      </c>
    </row>
    <row r="1726" spans="54:70" x14ac:dyDescent="0.2">
      <c r="BB1726" s="94"/>
      <c r="BL1726" s="8">
        <v>1677</v>
      </c>
      <c r="BM1726" s="8">
        <v>7801253.9389056154</v>
      </c>
      <c r="BN1726" s="8">
        <v>3037649.8842958244</v>
      </c>
      <c r="BO1726" s="8">
        <v>10838903.82320144</v>
      </c>
      <c r="BP1726" s="8">
        <v>6244242.0825338615</v>
      </c>
      <c r="BQ1726" s="8">
        <v>-4594661.7406675788</v>
      </c>
      <c r="BR1726" s="8" t="str">
        <v>Yes</v>
      </c>
    </row>
    <row r="1727" spans="54:70" x14ac:dyDescent="0.2">
      <c r="BB1727" s="94"/>
      <c r="BL1727" s="8">
        <v>1678</v>
      </c>
      <c r="BM1727" s="8">
        <v>11050322.195507951</v>
      </c>
      <c r="BN1727" s="8">
        <v>0</v>
      </c>
      <c r="BO1727" s="8">
        <v>11050322.195507951</v>
      </c>
      <c r="BP1727" s="8">
        <v>5971139.6790489927</v>
      </c>
      <c r="BQ1727" s="8">
        <v>-5079182.5164589584</v>
      </c>
      <c r="BR1727" s="8" t="str">
        <v>Yes</v>
      </c>
    </row>
    <row r="1728" spans="54:70" x14ac:dyDescent="0.2">
      <c r="BB1728" s="94"/>
      <c r="BL1728" s="8">
        <v>1679</v>
      </c>
      <c r="BM1728" s="8">
        <v>1576766.7828282872</v>
      </c>
      <c r="BN1728" s="8">
        <v>0</v>
      </c>
      <c r="BO1728" s="8">
        <v>1576766.7828282872</v>
      </c>
      <c r="BP1728" s="8">
        <v>6264787.2303942563</v>
      </c>
      <c r="BQ1728" s="8">
        <v>4688020.4475659691</v>
      </c>
      <c r="BR1728" s="8" t="str">
        <v>No</v>
      </c>
    </row>
    <row r="1729" spans="54:70" x14ac:dyDescent="0.2">
      <c r="BB1729" s="94"/>
      <c r="BL1729" s="8">
        <v>1680</v>
      </c>
      <c r="BM1729" s="8">
        <v>5006903.1122207474</v>
      </c>
      <c r="BN1729" s="8">
        <v>5779481.904011054</v>
      </c>
      <c r="BO1729" s="8">
        <v>10786385.016231801</v>
      </c>
      <c r="BP1729" s="8">
        <v>3325665.9609563262</v>
      </c>
      <c r="BQ1729" s="8">
        <v>-7460719.0552754756</v>
      </c>
      <c r="BR1729" s="8" t="str">
        <v>Yes</v>
      </c>
    </row>
    <row r="1730" spans="54:70" x14ac:dyDescent="0.2">
      <c r="BB1730" s="94"/>
      <c r="BL1730" s="8">
        <v>1681</v>
      </c>
      <c r="BM1730" s="8">
        <v>3587714.254108368</v>
      </c>
      <c r="BN1730" s="8">
        <v>0</v>
      </c>
      <c r="BO1730" s="8">
        <v>3587714.254108368</v>
      </c>
      <c r="BP1730" s="8">
        <v>4217553.9511051578</v>
      </c>
      <c r="BQ1730" s="8">
        <v>629839.69699678989</v>
      </c>
      <c r="BR1730" s="8" t="str">
        <v>No</v>
      </c>
    </row>
    <row r="1731" spans="54:70" x14ac:dyDescent="0.2">
      <c r="BB1731" s="94"/>
      <c r="BL1731" s="8">
        <v>1682</v>
      </c>
      <c r="BM1731" s="8">
        <v>3949488.8411914157</v>
      </c>
      <c r="BN1731" s="8">
        <v>0</v>
      </c>
      <c r="BO1731" s="8">
        <v>3949488.8411914157</v>
      </c>
      <c r="BP1731" s="8">
        <v>3726397.225188599</v>
      </c>
      <c r="BQ1731" s="8">
        <v>-223091.61600281671</v>
      </c>
      <c r="BR1731" s="8" t="str">
        <v>Yes</v>
      </c>
    </row>
    <row r="1732" spans="54:70" x14ac:dyDescent="0.2">
      <c r="BB1732" s="94"/>
      <c r="BL1732" s="8">
        <v>1683</v>
      </c>
      <c r="BM1732" s="8">
        <v>2644878.1868735165</v>
      </c>
      <c r="BN1732" s="8">
        <v>2171119.1116562081</v>
      </c>
      <c r="BO1732" s="8">
        <v>4815997.2985297246</v>
      </c>
      <c r="BP1732" s="8">
        <v>3500837.0973360478</v>
      </c>
      <c r="BQ1732" s="8">
        <v>-1315160.2011936768</v>
      </c>
      <c r="BR1732" s="8" t="str">
        <v>Yes</v>
      </c>
    </row>
    <row r="1733" spans="54:70" x14ac:dyDescent="0.2">
      <c r="BB1733" s="94"/>
      <c r="BL1733" s="8">
        <v>1684</v>
      </c>
      <c r="BM1733" s="8">
        <v>4456355.4693969153</v>
      </c>
      <c r="BN1733" s="8">
        <v>0</v>
      </c>
      <c r="BO1733" s="8">
        <v>4456355.4693969153</v>
      </c>
      <c r="BP1733" s="8">
        <v>3884672.5592964198</v>
      </c>
      <c r="BQ1733" s="8">
        <v>-571682.91010049544</v>
      </c>
      <c r="BR1733" s="8" t="str">
        <v>Yes</v>
      </c>
    </row>
    <row r="1734" spans="54:70" x14ac:dyDescent="0.2">
      <c r="BB1734" s="94"/>
      <c r="BL1734" s="8">
        <v>1685</v>
      </c>
      <c r="BM1734" s="8">
        <v>4533770.322790659</v>
      </c>
      <c r="BN1734" s="8">
        <v>0</v>
      </c>
      <c r="BO1734" s="8">
        <v>4533770.322790659</v>
      </c>
      <c r="BP1734" s="8">
        <v>5944925.4080530833</v>
      </c>
      <c r="BQ1734" s="8">
        <v>1411155.0852624243</v>
      </c>
      <c r="BR1734" s="8" t="str">
        <v>No</v>
      </c>
    </row>
    <row r="1735" spans="54:70" x14ac:dyDescent="0.2">
      <c r="BB1735" s="94"/>
      <c r="BL1735" s="8">
        <v>1686</v>
      </c>
      <c r="BM1735" s="8">
        <v>7532554.0513630137</v>
      </c>
      <c r="BN1735" s="8">
        <v>0</v>
      </c>
      <c r="BO1735" s="8">
        <v>7532554.0513630137</v>
      </c>
      <c r="BP1735" s="8">
        <v>2370927.4590809131</v>
      </c>
      <c r="BQ1735" s="8">
        <v>-5161626.5922821006</v>
      </c>
      <c r="BR1735" s="8" t="str">
        <v>Yes</v>
      </c>
    </row>
    <row r="1736" spans="54:70" x14ac:dyDescent="0.2">
      <c r="BB1736" s="94"/>
      <c r="BL1736" s="8">
        <v>1687</v>
      </c>
      <c r="BM1736" s="8">
        <v>2849254.3599268277</v>
      </c>
      <c r="BN1736" s="8">
        <v>1744028.7410469805</v>
      </c>
      <c r="BO1736" s="8">
        <v>4593283.1009738082</v>
      </c>
      <c r="BP1736" s="8">
        <v>2098696.2203890681</v>
      </c>
      <c r="BQ1736" s="8">
        <v>-2494586.8805847401</v>
      </c>
      <c r="BR1736" s="8" t="str">
        <v>Yes</v>
      </c>
    </row>
    <row r="1737" spans="54:70" x14ac:dyDescent="0.2">
      <c r="BB1737" s="94"/>
      <c r="BL1737" s="8">
        <v>1688</v>
      </c>
      <c r="BM1737" s="8">
        <v>2319031.1057174932</v>
      </c>
      <c r="BN1737" s="8">
        <v>3768557.933686886</v>
      </c>
      <c r="BO1737" s="8">
        <v>6087589.0394043792</v>
      </c>
      <c r="BP1737" s="8">
        <v>3663868.9288617722</v>
      </c>
      <c r="BQ1737" s="8">
        <v>-2423720.110542607</v>
      </c>
      <c r="BR1737" s="8" t="str">
        <v>Yes</v>
      </c>
    </row>
    <row r="1738" spans="54:70" x14ac:dyDescent="0.2">
      <c r="BB1738" s="94"/>
      <c r="BL1738" s="8">
        <v>1689</v>
      </c>
      <c r="BM1738" s="8">
        <v>3750942.3722611181</v>
      </c>
      <c r="BN1738" s="8">
        <v>2319485.5358946184</v>
      </c>
      <c r="BO1738" s="8">
        <v>6070427.9081557365</v>
      </c>
      <c r="BP1738" s="8">
        <v>3491361.0666291625</v>
      </c>
      <c r="BQ1738" s="8">
        <v>-2579066.841526574</v>
      </c>
      <c r="BR1738" s="8" t="str">
        <v>Yes</v>
      </c>
    </row>
    <row r="1739" spans="54:70" x14ac:dyDescent="0.2">
      <c r="BB1739" s="94"/>
      <c r="BL1739" s="8">
        <v>1690</v>
      </c>
      <c r="BM1739" s="8">
        <v>2766559.8282882953</v>
      </c>
      <c r="BN1739" s="8">
        <v>0</v>
      </c>
      <c r="BO1739" s="8">
        <v>2766559.8282882953</v>
      </c>
      <c r="BP1739" s="8">
        <v>4638674.216322884</v>
      </c>
      <c r="BQ1739" s="8">
        <v>1872114.3880345887</v>
      </c>
      <c r="BR1739" s="8" t="str">
        <v>No</v>
      </c>
    </row>
    <row r="1740" spans="54:70" x14ac:dyDescent="0.2">
      <c r="BB1740" s="94"/>
      <c r="BL1740" s="8">
        <v>1691</v>
      </c>
      <c r="BM1740" s="8">
        <v>3209525.7963735261</v>
      </c>
      <c r="BN1740" s="8">
        <v>0</v>
      </c>
      <c r="BO1740" s="8">
        <v>3209525.7963735261</v>
      </c>
      <c r="BP1740" s="8">
        <v>4464251.9503465006</v>
      </c>
      <c r="BQ1740" s="8">
        <v>1254726.1539729745</v>
      </c>
      <c r="BR1740" s="8" t="str">
        <v>No</v>
      </c>
    </row>
    <row r="1741" spans="54:70" x14ac:dyDescent="0.2">
      <c r="BB1741" s="94"/>
      <c r="BL1741" s="8">
        <v>1692</v>
      </c>
      <c r="BM1741" s="8">
        <v>1550550.4170919405</v>
      </c>
      <c r="BN1741" s="8">
        <v>0</v>
      </c>
      <c r="BO1741" s="8">
        <v>1550550.4170919405</v>
      </c>
      <c r="BP1741" s="8">
        <v>3297025.6734007648</v>
      </c>
      <c r="BQ1741" s="8">
        <v>1746475.2563088243</v>
      </c>
      <c r="BR1741" s="8" t="str">
        <v>No</v>
      </c>
    </row>
    <row r="1742" spans="54:70" x14ac:dyDescent="0.2">
      <c r="BB1742" s="94"/>
      <c r="BL1742" s="8">
        <v>1693</v>
      </c>
      <c r="BM1742" s="8">
        <v>6193365.8653750485</v>
      </c>
      <c r="BN1742" s="8">
        <v>0</v>
      </c>
      <c r="BO1742" s="8">
        <v>6193365.8653750485</v>
      </c>
      <c r="BP1742" s="8">
        <v>4232597.8280591834</v>
      </c>
      <c r="BQ1742" s="8">
        <v>-1960768.037315865</v>
      </c>
      <c r="BR1742" s="8" t="str">
        <v>Yes</v>
      </c>
    </row>
    <row r="1743" spans="54:70" x14ac:dyDescent="0.2">
      <c r="BB1743" s="94"/>
      <c r="BL1743" s="8">
        <v>1694</v>
      </c>
      <c r="BM1743" s="8">
        <v>5403146.3164174333</v>
      </c>
      <c r="BN1743" s="8">
        <v>0</v>
      </c>
      <c r="BO1743" s="8">
        <v>5403146.3164174333</v>
      </c>
      <c r="BP1743" s="8">
        <v>2303689.1172125093</v>
      </c>
      <c r="BQ1743" s="8">
        <v>-3099457.1992049241</v>
      </c>
      <c r="BR1743" s="8" t="str">
        <v>Yes</v>
      </c>
    </row>
    <row r="1744" spans="54:70" x14ac:dyDescent="0.2">
      <c r="BB1744" s="94"/>
      <c r="BL1744" s="8">
        <v>1695</v>
      </c>
      <c r="BM1744" s="8">
        <v>7312227.6072482672</v>
      </c>
      <c r="BN1744" s="8">
        <v>0</v>
      </c>
      <c r="BO1744" s="8">
        <v>7312227.6072482672</v>
      </c>
      <c r="BP1744" s="8">
        <v>3984170.6978549459</v>
      </c>
      <c r="BQ1744" s="8">
        <v>-3328056.9093933213</v>
      </c>
      <c r="BR1744" s="8" t="str">
        <v>Yes</v>
      </c>
    </row>
    <row r="1745" spans="54:70" x14ac:dyDescent="0.2">
      <c r="BB1745" s="94"/>
      <c r="BL1745" s="8">
        <v>1696</v>
      </c>
      <c r="BM1745" s="8">
        <v>5284126.3236695593</v>
      </c>
      <c r="BN1745" s="8">
        <v>0</v>
      </c>
      <c r="BO1745" s="8">
        <v>5284126.3236695593</v>
      </c>
      <c r="BP1745" s="8">
        <v>2056092.4937544845</v>
      </c>
      <c r="BQ1745" s="8">
        <v>-3228033.8299150746</v>
      </c>
      <c r="BR1745" s="8" t="str">
        <v>Yes</v>
      </c>
    </row>
    <row r="1746" spans="54:70" x14ac:dyDescent="0.2">
      <c r="BB1746" s="94"/>
      <c r="BL1746" s="8">
        <v>1697</v>
      </c>
      <c r="BM1746" s="8">
        <v>3453100.5113531281</v>
      </c>
      <c r="BN1746" s="8">
        <v>2684582.6310095051</v>
      </c>
      <c r="BO1746" s="8">
        <v>6137683.1423626337</v>
      </c>
      <c r="BP1746" s="8">
        <v>3444018.9202823997</v>
      </c>
      <c r="BQ1746" s="8">
        <v>-2693664.222080234</v>
      </c>
      <c r="BR1746" s="8" t="str">
        <v>Yes</v>
      </c>
    </row>
    <row r="1747" spans="54:70" x14ac:dyDescent="0.2">
      <c r="BB1747" s="94"/>
      <c r="BL1747" s="8">
        <v>1698</v>
      </c>
      <c r="BM1747" s="8">
        <v>10957559.344270524</v>
      </c>
      <c r="BN1747" s="8">
        <v>0</v>
      </c>
      <c r="BO1747" s="8">
        <v>10957559.344270524</v>
      </c>
      <c r="BP1747" s="8">
        <v>4219513.8517116485</v>
      </c>
      <c r="BQ1747" s="8">
        <v>-6738045.4925588751</v>
      </c>
      <c r="BR1747" s="8" t="str">
        <v>Yes</v>
      </c>
    </row>
    <row r="1748" spans="54:70" x14ac:dyDescent="0.2">
      <c r="BB1748" s="94"/>
      <c r="BL1748" s="8">
        <v>1699</v>
      </c>
      <c r="BM1748" s="8">
        <v>6325279.5811222075</v>
      </c>
      <c r="BN1748" s="8">
        <v>0</v>
      </c>
      <c r="BO1748" s="8">
        <v>6325279.5811222075</v>
      </c>
      <c r="BP1748" s="8">
        <v>2482457.8972608214</v>
      </c>
      <c r="BQ1748" s="8">
        <v>-3842821.683861386</v>
      </c>
      <c r="BR1748" s="8" t="str">
        <v>Yes</v>
      </c>
    </row>
    <row r="1749" spans="54:70" x14ac:dyDescent="0.2">
      <c r="BB1749" s="94"/>
      <c r="BL1749" s="8">
        <v>1700</v>
      </c>
      <c r="BM1749" s="8">
        <v>4040111.6729741525</v>
      </c>
      <c r="BN1749" s="8">
        <v>0</v>
      </c>
      <c r="BO1749" s="8">
        <v>4040111.6729741525</v>
      </c>
      <c r="BP1749" s="8">
        <v>4403903.2102197185</v>
      </c>
      <c r="BQ1749" s="8">
        <v>363791.53724556603</v>
      </c>
      <c r="BR1749" s="8" t="str">
        <v>No</v>
      </c>
    </row>
    <row r="1750" spans="54:70" x14ac:dyDescent="0.2">
      <c r="BB1750" s="94"/>
      <c r="BL1750" s="8">
        <v>1701</v>
      </c>
      <c r="BM1750" s="8">
        <v>4201481.3080423372</v>
      </c>
      <c r="BN1750" s="8">
        <v>0</v>
      </c>
      <c r="BO1750" s="8">
        <v>4201481.3080423372</v>
      </c>
      <c r="BP1750" s="8">
        <v>6642175.9412864391</v>
      </c>
      <c r="BQ1750" s="8">
        <v>2440694.6332441019</v>
      </c>
      <c r="BR1750" s="8" t="str">
        <v>No</v>
      </c>
    </row>
    <row r="1751" spans="54:70" x14ac:dyDescent="0.2">
      <c r="BB1751" s="94"/>
      <c r="BL1751" s="8">
        <v>1702</v>
      </c>
      <c r="BM1751" s="8">
        <v>2846422.7586114504</v>
      </c>
      <c r="BN1751" s="8">
        <v>1990804.9446168873</v>
      </c>
      <c r="BO1751" s="8">
        <v>4837227.7032283377</v>
      </c>
      <c r="BP1751" s="8">
        <v>3210441.7163946745</v>
      </c>
      <c r="BQ1751" s="8">
        <v>-1626785.9868336632</v>
      </c>
      <c r="BR1751" s="8" t="str">
        <v>Yes</v>
      </c>
    </row>
    <row r="1752" spans="54:70" x14ac:dyDescent="0.2">
      <c r="BB1752" s="94"/>
      <c r="BL1752" s="8">
        <v>1703</v>
      </c>
      <c r="BM1752" s="8">
        <v>4915016.8663543891</v>
      </c>
      <c r="BN1752" s="8">
        <v>4158149.9402022739</v>
      </c>
      <c r="BO1752" s="8">
        <v>9073166.8065566625</v>
      </c>
      <c r="BP1752" s="8">
        <v>6255211.421740083</v>
      </c>
      <c r="BQ1752" s="8">
        <v>-2817955.3848165795</v>
      </c>
      <c r="BR1752" s="8" t="str">
        <v>Yes</v>
      </c>
    </row>
    <row r="1753" spans="54:70" x14ac:dyDescent="0.2">
      <c r="BB1753" s="94"/>
      <c r="BL1753" s="8">
        <v>1704</v>
      </c>
      <c r="BM1753" s="8">
        <v>6955828.5205656709</v>
      </c>
      <c r="BN1753" s="8">
        <v>6021866.0608458733</v>
      </c>
      <c r="BO1753" s="8">
        <v>12977694.581411544</v>
      </c>
      <c r="BP1753" s="8">
        <v>3342249.6821623226</v>
      </c>
      <c r="BQ1753" s="8">
        <v>-9635444.8992492221</v>
      </c>
      <c r="BR1753" s="8" t="str">
        <v>Yes</v>
      </c>
    </row>
    <row r="1754" spans="54:70" x14ac:dyDescent="0.2">
      <c r="BB1754" s="94"/>
      <c r="BL1754" s="8">
        <v>1705</v>
      </c>
      <c r="BM1754" s="8">
        <v>12597046.3656085</v>
      </c>
      <c r="BN1754" s="8">
        <v>15064523.549988369</v>
      </c>
      <c r="BO1754" s="8">
        <v>27661569.915596869</v>
      </c>
      <c r="BP1754" s="8">
        <v>3314391.7481207163</v>
      </c>
      <c r="BQ1754" s="8">
        <v>-24347178.167476151</v>
      </c>
      <c r="BR1754" s="8" t="str">
        <v>Yes</v>
      </c>
    </row>
    <row r="1755" spans="54:70" x14ac:dyDescent="0.2">
      <c r="BB1755" s="94"/>
      <c r="BL1755" s="8">
        <v>1706</v>
      </c>
      <c r="BM1755" s="8">
        <v>2073028.538916206</v>
      </c>
      <c r="BN1755" s="8">
        <v>0</v>
      </c>
      <c r="BO1755" s="8">
        <v>2073028.538916206</v>
      </c>
      <c r="BP1755" s="8">
        <v>3409724.7950658374</v>
      </c>
      <c r="BQ1755" s="8">
        <v>1336696.2561496315</v>
      </c>
      <c r="BR1755" s="8" t="str">
        <v>No</v>
      </c>
    </row>
    <row r="1756" spans="54:70" x14ac:dyDescent="0.2">
      <c r="BB1756" s="94"/>
      <c r="BL1756" s="8">
        <v>1707</v>
      </c>
      <c r="BM1756" s="8">
        <v>3473660.6815800103</v>
      </c>
      <c r="BN1756" s="8">
        <v>0</v>
      </c>
      <c r="BO1756" s="8">
        <v>3473660.6815800103</v>
      </c>
      <c r="BP1756" s="8">
        <v>3083257.1214692211</v>
      </c>
      <c r="BQ1756" s="8">
        <v>-390403.56011078926</v>
      </c>
      <c r="BR1756" s="8" t="str">
        <v>Yes</v>
      </c>
    </row>
    <row r="1757" spans="54:70" x14ac:dyDescent="0.2">
      <c r="BB1757" s="94"/>
      <c r="BL1757" s="8">
        <v>1708</v>
      </c>
      <c r="BM1757" s="8">
        <v>5897571.4111927636</v>
      </c>
      <c r="BN1757" s="8">
        <v>4591610.7059503347</v>
      </c>
      <c r="BO1757" s="8">
        <v>10489182.117143098</v>
      </c>
      <c r="BP1757" s="8">
        <v>6245754.5113797784</v>
      </c>
      <c r="BQ1757" s="8">
        <v>-4243427.6057633199</v>
      </c>
      <c r="BR1757" s="8" t="str">
        <v>Yes</v>
      </c>
    </row>
    <row r="1758" spans="54:70" x14ac:dyDescent="0.2">
      <c r="BB1758" s="94"/>
      <c r="BL1758" s="8">
        <v>1709</v>
      </c>
      <c r="BM1758" s="8">
        <v>8937493.1207220927</v>
      </c>
      <c r="BN1758" s="8">
        <v>0</v>
      </c>
      <c r="BO1758" s="8">
        <v>8937493.1207220927</v>
      </c>
      <c r="BP1758" s="8">
        <v>5391767.7242519548</v>
      </c>
      <c r="BQ1758" s="8">
        <v>-3545725.3964701379</v>
      </c>
      <c r="BR1758" s="8" t="str">
        <v>Yes</v>
      </c>
    </row>
    <row r="1759" spans="54:70" x14ac:dyDescent="0.2">
      <c r="BB1759" s="94"/>
      <c r="BL1759" s="8">
        <v>1710</v>
      </c>
      <c r="BM1759" s="8">
        <v>1653631.4171420615</v>
      </c>
      <c r="BN1759" s="8">
        <v>0</v>
      </c>
      <c r="BO1759" s="8">
        <v>1653631.4171420615</v>
      </c>
      <c r="BP1759" s="8">
        <v>3011422.6934192535</v>
      </c>
      <c r="BQ1759" s="8">
        <v>1357791.2762771919</v>
      </c>
      <c r="BR1759" s="8" t="str">
        <v>No</v>
      </c>
    </row>
    <row r="1760" spans="54:70" x14ac:dyDescent="0.2">
      <c r="BB1760" s="94"/>
      <c r="BL1760" s="8">
        <v>1711</v>
      </c>
      <c r="BM1760" s="8">
        <v>7568540.7593545076</v>
      </c>
      <c r="BN1760" s="8">
        <v>9327147.7723634075</v>
      </c>
      <c r="BO1760" s="8">
        <v>16895688.531717915</v>
      </c>
      <c r="BP1760" s="8">
        <v>4349397.32991134</v>
      </c>
      <c r="BQ1760" s="8">
        <v>-12546291.201806575</v>
      </c>
      <c r="BR1760" s="8" t="str">
        <v>Yes</v>
      </c>
    </row>
    <row r="1761" spans="54:70" x14ac:dyDescent="0.2">
      <c r="BB1761" s="94"/>
      <c r="BL1761" s="8">
        <v>1712</v>
      </c>
      <c r="BM1761" s="8">
        <v>2262460.2169870213</v>
      </c>
      <c r="BN1761" s="8">
        <v>2269204.6640530238</v>
      </c>
      <c r="BO1761" s="8">
        <v>4531664.8810400451</v>
      </c>
      <c r="BP1761" s="8">
        <v>2187608.9354798798</v>
      </c>
      <c r="BQ1761" s="8">
        <v>-2344055.9455601652</v>
      </c>
      <c r="BR1761" s="8" t="str">
        <v>Yes</v>
      </c>
    </row>
    <row r="1762" spans="54:70" x14ac:dyDescent="0.2">
      <c r="BB1762" s="94"/>
      <c r="BL1762" s="8">
        <v>1713</v>
      </c>
      <c r="BM1762" s="8">
        <v>2042315.5240975569</v>
      </c>
      <c r="BN1762" s="8">
        <v>0</v>
      </c>
      <c r="BO1762" s="8">
        <v>2042315.5240975569</v>
      </c>
      <c r="BP1762" s="8">
        <v>6420924.8145008553</v>
      </c>
      <c r="BQ1762" s="8">
        <v>4378609.2904032981</v>
      </c>
      <c r="BR1762" s="8" t="str">
        <v>No</v>
      </c>
    </row>
    <row r="1763" spans="54:70" x14ac:dyDescent="0.2">
      <c r="BB1763" s="94"/>
      <c r="BL1763" s="8">
        <v>1714</v>
      </c>
      <c r="BM1763" s="8">
        <v>10357444.641803846</v>
      </c>
      <c r="BN1763" s="8">
        <v>0</v>
      </c>
      <c r="BO1763" s="8">
        <v>10357444.641803846</v>
      </c>
      <c r="BP1763" s="8">
        <v>6067741.3162398925</v>
      </c>
      <c r="BQ1763" s="8">
        <v>-4289703.3255639533</v>
      </c>
      <c r="BR1763" s="8" t="str">
        <v>Yes</v>
      </c>
    </row>
    <row r="1764" spans="54:70" x14ac:dyDescent="0.2">
      <c r="BB1764" s="94"/>
      <c r="BL1764" s="8">
        <v>1715</v>
      </c>
      <c r="BM1764" s="8">
        <v>2618654.7124397489</v>
      </c>
      <c r="BN1764" s="8">
        <v>0</v>
      </c>
      <c r="BO1764" s="8">
        <v>2618654.7124397489</v>
      </c>
      <c r="BP1764" s="8">
        <v>4115891.0862389677</v>
      </c>
      <c r="BQ1764" s="8">
        <v>1497236.3737992188</v>
      </c>
      <c r="BR1764" s="8" t="str">
        <v>No</v>
      </c>
    </row>
    <row r="1765" spans="54:70" x14ac:dyDescent="0.2">
      <c r="BB1765" s="94"/>
      <c r="BL1765" s="8">
        <v>1716</v>
      </c>
      <c r="BM1765" s="8">
        <v>2349210.4946789872</v>
      </c>
      <c r="BN1765" s="8">
        <v>0</v>
      </c>
      <c r="BO1765" s="8">
        <v>2349210.4946789872</v>
      </c>
      <c r="BP1765" s="8">
        <v>6560928.3157931231</v>
      </c>
      <c r="BQ1765" s="8">
        <v>4211717.8211141359</v>
      </c>
      <c r="BR1765" s="8" t="str">
        <v>No</v>
      </c>
    </row>
    <row r="1766" spans="54:70" x14ac:dyDescent="0.2">
      <c r="BB1766" s="94"/>
      <c r="BL1766" s="8">
        <v>1717</v>
      </c>
      <c r="BM1766" s="8">
        <v>4350853.4801302254</v>
      </c>
      <c r="BN1766" s="8">
        <v>10284873.644945102</v>
      </c>
      <c r="BO1766" s="8">
        <v>14635727.125075327</v>
      </c>
      <c r="BP1766" s="8">
        <v>2174861.8776286766</v>
      </c>
      <c r="BQ1766" s="8">
        <v>-12460865.247446651</v>
      </c>
      <c r="BR1766" s="8" t="str">
        <v>Yes</v>
      </c>
    </row>
    <row r="1767" spans="54:70" x14ac:dyDescent="0.2">
      <c r="BB1767" s="94"/>
      <c r="BL1767" s="8">
        <v>1718</v>
      </c>
      <c r="BM1767" s="8">
        <v>3036534.7764702342</v>
      </c>
      <c r="BN1767" s="8">
        <v>0</v>
      </c>
      <c r="BO1767" s="8">
        <v>3036534.7764702342</v>
      </c>
      <c r="BP1767" s="8">
        <v>6308050.1874293927</v>
      </c>
      <c r="BQ1767" s="8">
        <v>3271515.4109591586</v>
      </c>
      <c r="BR1767" s="8" t="str">
        <v>No</v>
      </c>
    </row>
    <row r="1768" spans="54:70" x14ac:dyDescent="0.2">
      <c r="BB1768" s="94"/>
      <c r="BL1768" s="8">
        <v>1719</v>
      </c>
      <c r="BM1768" s="8">
        <v>6202923.1006581392</v>
      </c>
      <c r="BN1768" s="8">
        <v>1188054.0377827846</v>
      </c>
      <c r="BO1768" s="8">
        <v>7390977.1384409238</v>
      </c>
      <c r="BP1768" s="8">
        <v>2388226.4775663265</v>
      </c>
      <c r="BQ1768" s="8">
        <v>-5002750.6608745977</v>
      </c>
      <c r="BR1768" s="8" t="str">
        <v>Yes</v>
      </c>
    </row>
    <row r="1769" spans="54:70" x14ac:dyDescent="0.2">
      <c r="BB1769" s="94"/>
      <c r="BL1769" s="8">
        <v>1720</v>
      </c>
      <c r="BM1769" s="8">
        <v>4097215.5626283027</v>
      </c>
      <c r="BN1769" s="8">
        <v>5385726.2250346383</v>
      </c>
      <c r="BO1769" s="8">
        <v>9482941.787662942</v>
      </c>
      <c r="BP1769" s="8">
        <v>6797876.2592366319</v>
      </c>
      <c r="BQ1769" s="8">
        <v>-2685065.52842631</v>
      </c>
      <c r="BR1769" s="8" t="str">
        <v>Yes</v>
      </c>
    </row>
    <row r="1770" spans="54:70" x14ac:dyDescent="0.2">
      <c r="BB1770" s="94"/>
      <c r="BL1770" s="8">
        <v>1721</v>
      </c>
      <c r="BM1770" s="8">
        <v>3821712.650955067</v>
      </c>
      <c r="BN1770" s="8">
        <v>0</v>
      </c>
      <c r="BO1770" s="8">
        <v>3821712.650955067</v>
      </c>
      <c r="BP1770" s="8">
        <v>2227293.3750322787</v>
      </c>
      <c r="BQ1770" s="8">
        <v>-1594419.2759227883</v>
      </c>
      <c r="BR1770" s="8" t="str">
        <v>Yes</v>
      </c>
    </row>
    <row r="1771" spans="54:70" x14ac:dyDescent="0.2">
      <c r="BB1771" s="94"/>
      <c r="BL1771" s="8">
        <v>1722</v>
      </c>
      <c r="BM1771" s="8">
        <v>2622658.2830136586</v>
      </c>
      <c r="BN1771" s="8">
        <v>0</v>
      </c>
      <c r="BO1771" s="8">
        <v>2622658.2830136586</v>
      </c>
      <c r="BP1771" s="8">
        <v>3497710.808442221</v>
      </c>
      <c r="BQ1771" s="8">
        <v>875052.52542856243</v>
      </c>
      <c r="BR1771" s="8" t="str">
        <v>No</v>
      </c>
    </row>
    <row r="1772" spans="54:70" x14ac:dyDescent="0.2">
      <c r="BB1772" s="94"/>
      <c r="BL1772" s="8">
        <v>1723</v>
      </c>
      <c r="BM1772" s="8">
        <v>4124309.4606137765</v>
      </c>
      <c r="BN1772" s="8">
        <v>6719893.8512414694</v>
      </c>
      <c r="BO1772" s="8">
        <v>10844203.311855245</v>
      </c>
      <c r="BP1772" s="8">
        <v>2153811.1957878079</v>
      </c>
      <c r="BQ1772" s="8">
        <v>-8690392.1160674375</v>
      </c>
      <c r="BR1772" s="8" t="str">
        <v>Yes</v>
      </c>
    </row>
    <row r="1773" spans="54:70" x14ac:dyDescent="0.2">
      <c r="BB1773" s="94"/>
      <c r="BL1773" s="8">
        <v>1724</v>
      </c>
      <c r="BM1773" s="8">
        <v>9952399.7240946405</v>
      </c>
      <c r="BN1773" s="8">
        <v>9183478.4611437693</v>
      </c>
      <c r="BO1773" s="8">
        <v>19135878.18523841</v>
      </c>
      <c r="BP1773" s="8">
        <v>4717249.3275090419</v>
      </c>
      <c r="BQ1773" s="8">
        <v>-14418628.857729368</v>
      </c>
      <c r="BR1773" s="8" t="str">
        <v>Yes</v>
      </c>
    </row>
    <row r="1774" spans="54:70" x14ac:dyDescent="0.2">
      <c r="BB1774" s="94"/>
      <c r="BL1774" s="8">
        <v>1725</v>
      </c>
      <c r="BM1774" s="8">
        <v>6849672.494587861</v>
      </c>
      <c r="BN1774" s="8">
        <v>0</v>
      </c>
      <c r="BO1774" s="8">
        <v>6849672.494587861</v>
      </c>
      <c r="BP1774" s="8">
        <v>4288805.6917114705</v>
      </c>
      <c r="BQ1774" s="8">
        <v>-2560866.8028763905</v>
      </c>
      <c r="BR1774" s="8" t="str">
        <v>Yes</v>
      </c>
    </row>
    <row r="1775" spans="54:70" x14ac:dyDescent="0.2">
      <c r="BB1775" s="94"/>
      <c r="BL1775" s="8">
        <v>1726</v>
      </c>
      <c r="BM1775" s="8">
        <v>5307260.9073822228</v>
      </c>
      <c r="BN1775" s="8">
        <v>0</v>
      </c>
      <c r="BO1775" s="8">
        <v>5307260.9073822228</v>
      </c>
      <c r="BP1775" s="8">
        <v>3954097.9664092115</v>
      </c>
      <c r="BQ1775" s="8">
        <v>-1353162.9409730113</v>
      </c>
      <c r="BR1775" s="8" t="str">
        <v>Yes</v>
      </c>
    </row>
    <row r="1776" spans="54:70" x14ac:dyDescent="0.2">
      <c r="BB1776" s="94"/>
      <c r="BL1776" s="8">
        <v>1727</v>
      </c>
      <c r="BM1776" s="8">
        <v>6194711.3730893256</v>
      </c>
      <c r="BN1776" s="8">
        <v>0</v>
      </c>
      <c r="BO1776" s="8">
        <v>6194711.3730893256</v>
      </c>
      <c r="BP1776" s="8">
        <v>6746489.0581009127</v>
      </c>
      <c r="BQ1776" s="8">
        <v>551777.68501158711</v>
      </c>
      <c r="BR1776" s="8" t="str">
        <v>No</v>
      </c>
    </row>
    <row r="1777" spans="54:70" x14ac:dyDescent="0.2">
      <c r="BB1777" s="94"/>
      <c r="BL1777" s="8">
        <v>1728</v>
      </c>
      <c r="BM1777" s="8">
        <v>2168576.6688283239</v>
      </c>
      <c r="BN1777" s="8">
        <v>806171.09563701472</v>
      </c>
      <c r="BO1777" s="8">
        <v>2974747.7644653386</v>
      </c>
      <c r="BP1777" s="8">
        <v>4597440.2360090204</v>
      </c>
      <c r="BQ1777" s="8">
        <v>1622692.4715436818</v>
      </c>
      <c r="BR1777" s="8" t="str">
        <v>No</v>
      </c>
    </row>
    <row r="1778" spans="54:70" x14ac:dyDescent="0.2">
      <c r="BB1778" s="94"/>
      <c r="BL1778" s="8">
        <v>1729</v>
      </c>
      <c r="BM1778" s="8">
        <v>4852118.9229708202</v>
      </c>
      <c r="BN1778" s="8">
        <v>0</v>
      </c>
      <c r="BO1778" s="8">
        <v>4852118.9229708202</v>
      </c>
      <c r="BP1778" s="8">
        <v>2209955.5510027916</v>
      </c>
      <c r="BQ1778" s="8">
        <v>-2642163.3719680286</v>
      </c>
      <c r="BR1778" s="8" t="str">
        <v>Yes</v>
      </c>
    </row>
    <row r="1779" spans="54:70" x14ac:dyDescent="0.2">
      <c r="BB1779" s="94"/>
      <c r="BL1779" s="8">
        <v>1730</v>
      </c>
      <c r="BM1779" s="8">
        <v>3038702.1532391431</v>
      </c>
      <c r="BN1779" s="8">
        <v>2760886.4885916836</v>
      </c>
      <c r="BO1779" s="8">
        <v>5799588.6418308262</v>
      </c>
      <c r="BP1779" s="8">
        <v>2047327.6616245441</v>
      </c>
      <c r="BQ1779" s="8">
        <v>-3752260.9802062819</v>
      </c>
      <c r="BR1779" s="8" t="str">
        <v>Yes</v>
      </c>
    </row>
    <row r="1780" spans="54:70" x14ac:dyDescent="0.2">
      <c r="BB1780" s="94"/>
      <c r="BL1780" s="8">
        <v>1731</v>
      </c>
      <c r="BM1780" s="8">
        <v>3052588.4955487847</v>
      </c>
      <c r="BN1780" s="8">
        <v>0</v>
      </c>
      <c r="BO1780" s="8">
        <v>3052588.4955487847</v>
      </c>
      <c r="BP1780" s="8">
        <v>6146873.5695419256</v>
      </c>
      <c r="BQ1780" s="8">
        <v>3094285.0739931408</v>
      </c>
      <c r="BR1780" s="8" t="str">
        <v>No</v>
      </c>
    </row>
    <row r="1781" spans="54:70" x14ac:dyDescent="0.2">
      <c r="BB1781" s="94"/>
      <c r="BL1781" s="8">
        <v>1732</v>
      </c>
      <c r="BM1781" s="8">
        <v>2623877.7241001967</v>
      </c>
      <c r="BN1781" s="8">
        <v>714943.23608955403</v>
      </c>
      <c r="BO1781" s="8">
        <v>3338820.9601897509</v>
      </c>
      <c r="BP1781" s="8">
        <v>2346459.17226724</v>
      </c>
      <c r="BQ1781" s="8">
        <v>-992361.78792251088</v>
      </c>
      <c r="BR1781" s="8" t="str">
        <v>Yes</v>
      </c>
    </row>
    <row r="1782" spans="54:70" x14ac:dyDescent="0.2">
      <c r="BB1782" s="94"/>
      <c r="BL1782" s="8">
        <v>1733</v>
      </c>
      <c r="BM1782" s="8">
        <v>3267234.1963742045</v>
      </c>
      <c r="BN1782" s="8">
        <v>1071202.5561681017</v>
      </c>
      <c r="BO1782" s="8">
        <v>4338436.7525423057</v>
      </c>
      <c r="BP1782" s="8">
        <v>3400517.9352760441</v>
      </c>
      <c r="BQ1782" s="8">
        <v>-937918.81726626167</v>
      </c>
      <c r="BR1782" s="8" t="str">
        <v>Yes</v>
      </c>
    </row>
    <row r="1783" spans="54:70" x14ac:dyDescent="0.2">
      <c r="BB1783" s="94"/>
      <c r="BL1783" s="8">
        <v>1734</v>
      </c>
      <c r="BM1783" s="8">
        <v>4012664.2417193307</v>
      </c>
      <c r="BN1783" s="8">
        <v>1987628.1932633501</v>
      </c>
      <c r="BO1783" s="8">
        <v>6000292.4349826807</v>
      </c>
      <c r="BP1783" s="8">
        <v>2092385.2875541798</v>
      </c>
      <c r="BQ1783" s="8">
        <v>-3907907.1474285009</v>
      </c>
      <c r="BR1783" s="8" t="str">
        <v>Yes</v>
      </c>
    </row>
    <row r="1784" spans="54:70" x14ac:dyDescent="0.2">
      <c r="BB1784" s="94"/>
      <c r="BL1784" s="8">
        <v>1735</v>
      </c>
      <c r="BM1784" s="8">
        <v>4422554.7614283217</v>
      </c>
      <c r="BN1784" s="8">
        <v>5971174.5332931038</v>
      </c>
      <c r="BO1784" s="8">
        <v>10393729.294721425</v>
      </c>
      <c r="BP1784" s="8">
        <v>2385480.0186074944</v>
      </c>
      <c r="BQ1784" s="8">
        <v>-8008249.2761139302</v>
      </c>
      <c r="BR1784" s="8" t="str">
        <v>Yes</v>
      </c>
    </row>
    <row r="1785" spans="54:70" x14ac:dyDescent="0.2">
      <c r="BB1785" s="94"/>
      <c r="BL1785" s="8">
        <v>1736</v>
      </c>
      <c r="BM1785" s="8">
        <v>2617186.7423594072</v>
      </c>
      <c r="BN1785" s="8">
        <v>2668668.4677516711</v>
      </c>
      <c r="BO1785" s="8">
        <v>5285855.2101110779</v>
      </c>
      <c r="BP1785" s="8">
        <v>4393992.7413510513</v>
      </c>
      <c r="BQ1785" s="8">
        <v>-891862.46876002662</v>
      </c>
      <c r="BR1785" s="8" t="str">
        <v>Yes</v>
      </c>
    </row>
    <row r="1786" spans="54:70" x14ac:dyDescent="0.2">
      <c r="BB1786" s="94"/>
      <c r="BL1786" s="8">
        <v>1737</v>
      </c>
      <c r="BM1786" s="8">
        <v>5644192.3503521709</v>
      </c>
      <c r="BN1786" s="8">
        <v>0</v>
      </c>
      <c r="BO1786" s="8">
        <v>5644192.3503521709</v>
      </c>
      <c r="BP1786" s="8">
        <v>4480587.3273084648</v>
      </c>
      <c r="BQ1786" s="8">
        <v>-1163605.0230437061</v>
      </c>
      <c r="BR1786" s="8" t="str">
        <v>Yes</v>
      </c>
    </row>
    <row r="1787" spans="54:70" x14ac:dyDescent="0.2">
      <c r="BB1787" s="94"/>
      <c r="BL1787" s="8">
        <v>1738</v>
      </c>
      <c r="BM1787" s="8">
        <v>4380965.7690081457</v>
      </c>
      <c r="BN1787" s="8">
        <v>0</v>
      </c>
      <c r="BO1787" s="8">
        <v>4380965.7690081457</v>
      </c>
      <c r="BP1787" s="8">
        <v>6414156.1081917519</v>
      </c>
      <c r="BQ1787" s="8">
        <v>2033190.3391836062</v>
      </c>
      <c r="BR1787" s="8" t="str">
        <v>No</v>
      </c>
    </row>
    <row r="1788" spans="54:70" x14ac:dyDescent="0.2">
      <c r="BB1788" s="94"/>
      <c r="BL1788" s="8">
        <v>1739</v>
      </c>
      <c r="BM1788" s="8">
        <v>10632458.575798104</v>
      </c>
      <c r="BN1788" s="8">
        <v>10235774.647034138</v>
      </c>
      <c r="BO1788" s="8">
        <v>20868233.22283224</v>
      </c>
      <c r="BP1788" s="8">
        <v>1995120.4694175837</v>
      </c>
      <c r="BQ1788" s="8">
        <v>-18873112.753414657</v>
      </c>
      <c r="BR1788" s="8" t="str">
        <v>Yes</v>
      </c>
    </row>
    <row r="1789" spans="54:70" x14ac:dyDescent="0.2">
      <c r="BB1789" s="94"/>
      <c r="BL1789" s="8">
        <v>1740</v>
      </c>
      <c r="BM1789" s="8">
        <v>2250693.0566481343</v>
      </c>
      <c r="BN1789" s="8">
        <v>182659.92262997534</v>
      </c>
      <c r="BO1789" s="8">
        <v>2433352.9792781095</v>
      </c>
      <c r="BP1789" s="8">
        <v>6913877.4936377415</v>
      </c>
      <c r="BQ1789" s="8">
        <v>4480524.5143596325</v>
      </c>
      <c r="BR1789" s="8" t="str">
        <v>No</v>
      </c>
    </row>
    <row r="1790" spans="54:70" x14ac:dyDescent="0.2">
      <c r="BB1790" s="94"/>
      <c r="BL1790" s="8">
        <v>1741</v>
      </c>
      <c r="BM1790" s="8">
        <v>5617747.5039774263</v>
      </c>
      <c r="BN1790" s="8">
        <v>4990694.3074325211</v>
      </c>
      <c r="BO1790" s="8">
        <v>10608441.811409947</v>
      </c>
      <c r="BP1790" s="8">
        <v>4576938.1417332087</v>
      </c>
      <c r="BQ1790" s="8">
        <v>-6031503.6696767379</v>
      </c>
      <c r="BR1790" s="8" t="str">
        <v>Yes</v>
      </c>
    </row>
    <row r="1791" spans="54:70" x14ac:dyDescent="0.2">
      <c r="BB1791" s="94"/>
      <c r="BL1791" s="8">
        <v>1742</v>
      </c>
      <c r="BM1791" s="8">
        <v>5041232.0429276796</v>
      </c>
      <c r="BN1791" s="8">
        <v>5762141.4000167502</v>
      </c>
      <c r="BO1791" s="8">
        <v>10803373.44294443</v>
      </c>
      <c r="BP1791" s="8">
        <v>3428611.5027024578</v>
      </c>
      <c r="BQ1791" s="8">
        <v>-7374761.940241972</v>
      </c>
      <c r="BR1791" s="8" t="str">
        <v>Yes</v>
      </c>
    </row>
    <row r="1792" spans="54:70" x14ac:dyDescent="0.2">
      <c r="BB1792" s="94"/>
      <c r="BL1792" s="8">
        <v>1743</v>
      </c>
      <c r="BM1792" s="8">
        <v>5526026.1956429007</v>
      </c>
      <c r="BN1792" s="8">
        <v>3253285.949287001</v>
      </c>
      <c r="BO1792" s="8">
        <v>8779312.1449299008</v>
      </c>
      <c r="BP1792" s="8">
        <v>4144717.6315775393</v>
      </c>
      <c r="BQ1792" s="8">
        <v>-4634594.5133523615</v>
      </c>
      <c r="BR1792" s="8" t="str">
        <v>Yes</v>
      </c>
    </row>
    <row r="1793" spans="54:70" x14ac:dyDescent="0.2">
      <c r="BB1793" s="94"/>
      <c r="BL1793" s="8">
        <v>1744</v>
      </c>
      <c r="BM1793" s="8">
        <v>4122176.0246934057</v>
      </c>
      <c r="BN1793" s="8">
        <v>1773728.760235596</v>
      </c>
      <c r="BO1793" s="8">
        <v>5895904.7849290017</v>
      </c>
      <c r="BP1793" s="8">
        <v>4177567.8192277728</v>
      </c>
      <c r="BQ1793" s="8">
        <v>-1718336.9657012289</v>
      </c>
      <c r="BR1793" s="8" t="str">
        <v>Yes</v>
      </c>
    </row>
    <row r="1794" spans="54:70" x14ac:dyDescent="0.2">
      <c r="BB1794" s="94"/>
      <c r="BL1794" s="8">
        <v>1745</v>
      </c>
      <c r="BM1794" s="8">
        <v>4524854.3134359904</v>
      </c>
      <c r="BN1794" s="8">
        <v>1939070.9368404625</v>
      </c>
      <c r="BO1794" s="8">
        <v>6463925.2502764529</v>
      </c>
      <c r="BP1794" s="8">
        <v>6324401.714327666</v>
      </c>
      <c r="BQ1794" s="8">
        <v>-139523.53594878688</v>
      </c>
      <c r="BR1794" s="8" t="str">
        <v>Yes</v>
      </c>
    </row>
    <row r="1795" spans="54:70" x14ac:dyDescent="0.2">
      <c r="BB1795" s="94"/>
      <c r="BL1795" s="8">
        <v>1746</v>
      </c>
      <c r="BM1795" s="8">
        <v>4222927.5985878268</v>
      </c>
      <c r="BN1795" s="8">
        <v>2962934.3267703052</v>
      </c>
      <c r="BO1795" s="8">
        <v>7185861.9253581315</v>
      </c>
      <c r="BP1795" s="8">
        <v>4171295.1174751921</v>
      </c>
      <c r="BQ1795" s="8">
        <v>-3014566.8078829395</v>
      </c>
      <c r="BR1795" s="8" t="str">
        <v>Yes</v>
      </c>
    </row>
    <row r="1796" spans="54:70" x14ac:dyDescent="0.2">
      <c r="BB1796" s="94"/>
      <c r="BL1796" s="8">
        <v>1747</v>
      </c>
      <c r="BM1796" s="8">
        <v>4416876.857549211</v>
      </c>
      <c r="BN1796" s="8">
        <v>1832994.1580852254</v>
      </c>
      <c r="BO1796" s="8">
        <v>6249871.0156344362</v>
      </c>
      <c r="BP1796" s="8">
        <v>4616752.954897712</v>
      </c>
      <c r="BQ1796" s="8">
        <v>-1633118.0607367242</v>
      </c>
      <c r="BR1796" s="8" t="str">
        <v>Yes</v>
      </c>
    </row>
    <row r="1797" spans="54:70" x14ac:dyDescent="0.2">
      <c r="BB1797" s="94"/>
      <c r="BL1797" s="8">
        <v>1748</v>
      </c>
      <c r="BM1797" s="8">
        <v>2544914.4839363191</v>
      </c>
      <c r="BN1797" s="8">
        <v>1279246.3437531544</v>
      </c>
      <c r="BO1797" s="8">
        <v>3824160.8276894735</v>
      </c>
      <c r="BP1797" s="8">
        <v>2243404.5265412279</v>
      </c>
      <c r="BQ1797" s="8">
        <v>-1580756.3011482456</v>
      </c>
      <c r="BR1797" s="8" t="str">
        <v>Yes</v>
      </c>
    </row>
    <row r="1798" spans="54:70" x14ac:dyDescent="0.2">
      <c r="BB1798" s="94"/>
      <c r="BL1798" s="8">
        <v>1749</v>
      </c>
      <c r="BM1798" s="8">
        <v>4113336.7961834446</v>
      </c>
      <c r="BN1798" s="8">
        <v>3389848.0610611816</v>
      </c>
      <c r="BO1798" s="8">
        <v>7503184.8572446257</v>
      </c>
      <c r="BP1798" s="8">
        <v>6552616.4415319599</v>
      </c>
      <c r="BQ1798" s="8">
        <v>-950568.41571266577</v>
      </c>
      <c r="BR1798" s="8" t="str">
        <v>Yes</v>
      </c>
    </row>
    <row r="1799" spans="54:70" x14ac:dyDescent="0.2">
      <c r="BB1799" s="94"/>
      <c r="BL1799" s="8">
        <v>1750</v>
      </c>
      <c r="BM1799" s="8">
        <v>2330773.7856016858</v>
      </c>
      <c r="BN1799" s="8">
        <v>-344898.2084684018</v>
      </c>
      <c r="BO1799" s="8">
        <v>1985875.577133284</v>
      </c>
      <c r="BP1799" s="8">
        <v>6752688.4352214877</v>
      </c>
      <c r="BQ1799" s="8">
        <v>4766812.8580882037</v>
      </c>
      <c r="BR1799" s="8" t="str">
        <v>No</v>
      </c>
    </row>
    <row r="1800" spans="54:70" x14ac:dyDescent="0.2">
      <c r="BB1800" s="94"/>
      <c r="BL1800" s="8">
        <v>1751</v>
      </c>
      <c r="BM1800" s="8">
        <v>6482066.0394047899</v>
      </c>
      <c r="BN1800" s="8">
        <v>9724200.9893361889</v>
      </c>
      <c r="BO1800" s="8">
        <v>16206267.02874098</v>
      </c>
      <c r="BP1800" s="8">
        <v>6286514.9275969472</v>
      </c>
      <c r="BQ1800" s="8">
        <v>-9919752.1011440326</v>
      </c>
      <c r="BR1800" s="8" t="str">
        <v>Yes</v>
      </c>
    </row>
    <row r="1801" spans="54:70" x14ac:dyDescent="0.2">
      <c r="BB1801" s="94"/>
      <c r="BL1801" s="8">
        <v>1752</v>
      </c>
      <c r="BM1801" s="8">
        <v>1830523.7346187991</v>
      </c>
      <c r="BN1801" s="8">
        <v>584209.06006041565</v>
      </c>
      <c r="BO1801" s="8">
        <v>2414732.7946792147</v>
      </c>
      <c r="BP1801" s="8">
        <v>6335688.7134445542</v>
      </c>
      <c r="BQ1801" s="8">
        <v>3920955.9187653395</v>
      </c>
      <c r="BR1801" s="8" t="str">
        <v>No</v>
      </c>
    </row>
    <row r="1802" spans="54:70" x14ac:dyDescent="0.2">
      <c r="BB1802" s="94"/>
      <c r="BL1802" s="8">
        <v>1753</v>
      </c>
      <c r="BM1802" s="8">
        <v>4390165.2140086656</v>
      </c>
      <c r="BN1802" s="8">
        <v>0</v>
      </c>
      <c r="BO1802" s="8">
        <v>4390165.2140086656</v>
      </c>
      <c r="BP1802" s="8">
        <v>4193830.3544034469</v>
      </c>
      <c r="BQ1802" s="8">
        <v>-196334.85960521875</v>
      </c>
      <c r="BR1802" s="8" t="str">
        <v>Yes</v>
      </c>
    </row>
    <row r="1803" spans="54:70" x14ac:dyDescent="0.2">
      <c r="BB1803" s="94"/>
      <c r="BL1803" s="8">
        <v>1754</v>
      </c>
      <c r="BM1803" s="8">
        <v>4207692.3158637621</v>
      </c>
      <c r="BN1803" s="8">
        <v>5356452.7547805998</v>
      </c>
      <c r="BO1803" s="8">
        <v>9564145.0706443619</v>
      </c>
      <c r="BP1803" s="8">
        <v>4170341.2620532876</v>
      </c>
      <c r="BQ1803" s="8">
        <v>-5393803.8085910743</v>
      </c>
      <c r="BR1803" s="8" t="str">
        <v>Yes</v>
      </c>
    </row>
    <row r="1804" spans="54:70" x14ac:dyDescent="0.2">
      <c r="BB1804" s="94"/>
      <c r="BL1804" s="8">
        <v>1755</v>
      </c>
      <c r="BM1804" s="8">
        <v>6828643.4696558574</v>
      </c>
      <c r="BN1804" s="8">
        <v>0</v>
      </c>
      <c r="BO1804" s="8">
        <v>6828643.4696558574</v>
      </c>
      <c r="BP1804" s="8">
        <v>6068132.5871743225</v>
      </c>
      <c r="BQ1804" s="8">
        <v>-760510.88248153497</v>
      </c>
      <c r="BR1804" s="8" t="str">
        <v>Yes</v>
      </c>
    </row>
    <row r="1805" spans="54:70" x14ac:dyDescent="0.2">
      <c r="BB1805" s="94"/>
      <c r="BL1805" s="8">
        <v>1756</v>
      </c>
      <c r="BM1805" s="8">
        <v>10341300.364949299</v>
      </c>
      <c r="BN1805" s="8">
        <v>0</v>
      </c>
      <c r="BO1805" s="8">
        <v>10341300.364949299</v>
      </c>
      <c r="BP1805" s="8">
        <v>2327849.7957194382</v>
      </c>
      <c r="BQ1805" s="8">
        <v>-8013450.5692298608</v>
      </c>
      <c r="BR1805" s="8" t="str">
        <v>Yes</v>
      </c>
    </row>
    <row r="1806" spans="54:70" x14ac:dyDescent="0.2">
      <c r="BB1806" s="94"/>
      <c r="BL1806" s="8">
        <v>1757</v>
      </c>
      <c r="BM1806" s="8">
        <v>4682086.508044675</v>
      </c>
      <c r="BN1806" s="8">
        <v>0</v>
      </c>
      <c r="BO1806" s="8">
        <v>4682086.508044675</v>
      </c>
      <c r="BP1806" s="8">
        <v>4245565.8857555222</v>
      </c>
      <c r="BQ1806" s="8">
        <v>-436520.62228915282</v>
      </c>
      <c r="BR1806" s="8" t="str">
        <v>Yes</v>
      </c>
    </row>
    <row r="1807" spans="54:70" x14ac:dyDescent="0.2">
      <c r="BB1807" s="94"/>
      <c r="BL1807" s="8">
        <v>1758</v>
      </c>
      <c r="BM1807" s="8">
        <v>5794914.8507450679</v>
      </c>
      <c r="BN1807" s="8">
        <v>2788921.523540651</v>
      </c>
      <c r="BO1807" s="8">
        <v>8583836.3742857184</v>
      </c>
      <c r="BP1807" s="8">
        <v>6779541.4863088066</v>
      </c>
      <c r="BQ1807" s="8">
        <v>-1804294.8879769119</v>
      </c>
      <c r="BR1807" s="8" t="str">
        <v>Yes</v>
      </c>
    </row>
    <row r="1808" spans="54:70" x14ac:dyDescent="0.2">
      <c r="BB1808" s="94"/>
      <c r="BL1808" s="8">
        <v>1759</v>
      </c>
      <c r="BM1808" s="8">
        <v>4145543.6829507882</v>
      </c>
      <c r="BN1808" s="8">
        <v>0</v>
      </c>
      <c r="BO1808" s="8">
        <v>4145543.6829507882</v>
      </c>
      <c r="BP1808" s="8">
        <v>2456177.7098652422</v>
      </c>
      <c r="BQ1808" s="8">
        <v>-1689365.9730855459</v>
      </c>
      <c r="BR1808" s="8" t="str">
        <v>Yes</v>
      </c>
    </row>
    <row r="1809" spans="54:70" x14ac:dyDescent="0.2">
      <c r="BB1809" s="94"/>
      <c r="BL1809" s="8">
        <v>1760</v>
      </c>
      <c r="BM1809" s="8">
        <v>2282587.9184351368</v>
      </c>
      <c r="BN1809" s="8">
        <v>0</v>
      </c>
      <c r="BO1809" s="8">
        <v>2282587.9184351368</v>
      </c>
      <c r="BP1809" s="8">
        <v>6486725.8993231375</v>
      </c>
      <c r="BQ1809" s="8">
        <v>4204137.9808880007</v>
      </c>
      <c r="BR1809" s="8" t="str">
        <v>No</v>
      </c>
    </row>
    <row r="1810" spans="54:70" x14ac:dyDescent="0.2">
      <c r="BB1810" s="94"/>
      <c r="BL1810" s="8">
        <v>1761</v>
      </c>
      <c r="BM1810" s="8">
        <v>5894884.4988351958</v>
      </c>
      <c r="BN1810" s="8">
        <v>0</v>
      </c>
      <c r="BO1810" s="8">
        <v>5894884.4988351958</v>
      </c>
      <c r="BP1810" s="8">
        <v>3309534.3576618521</v>
      </c>
      <c r="BQ1810" s="8">
        <v>-2585350.1411733436</v>
      </c>
      <c r="BR1810" s="8" t="str">
        <v>Yes</v>
      </c>
    </row>
    <row r="1811" spans="54:70" x14ac:dyDescent="0.2">
      <c r="BB1811" s="94"/>
      <c r="BL1811" s="8">
        <v>1762</v>
      </c>
      <c r="BM1811" s="8">
        <v>4414009.9902568236</v>
      </c>
      <c r="BN1811" s="8">
        <v>8117486.7803953337</v>
      </c>
      <c r="BO1811" s="8">
        <v>12531496.770652156</v>
      </c>
      <c r="BP1811" s="8">
        <v>2225611.4618654125</v>
      </c>
      <c r="BQ1811" s="8">
        <v>-10305885.308786744</v>
      </c>
      <c r="BR1811" s="8" t="str">
        <v>Yes</v>
      </c>
    </row>
    <row r="1812" spans="54:70" x14ac:dyDescent="0.2">
      <c r="BB1812" s="94"/>
      <c r="BL1812" s="8">
        <v>1763</v>
      </c>
      <c r="BM1812" s="8">
        <v>3017871.1342781419</v>
      </c>
      <c r="BN1812" s="8">
        <v>0</v>
      </c>
      <c r="BO1812" s="8">
        <v>3017871.1342781419</v>
      </c>
      <c r="BP1812" s="8">
        <v>4233501.2856304012</v>
      </c>
      <c r="BQ1812" s="8">
        <v>1215630.1513522593</v>
      </c>
      <c r="BR1812" s="8" t="str">
        <v>No</v>
      </c>
    </row>
    <row r="1813" spans="54:70" x14ac:dyDescent="0.2">
      <c r="BB1813" s="94"/>
      <c r="BL1813" s="8">
        <v>1764</v>
      </c>
      <c r="BM1813" s="8">
        <v>3974732.2368232869</v>
      </c>
      <c r="BN1813" s="8">
        <v>0</v>
      </c>
      <c r="BO1813" s="8">
        <v>3974732.2368232869</v>
      </c>
      <c r="BP1813" s="8">
        <v>3486000.616696666</v>
      </c>
      <c r="BQ1813" s="8">
        <v>-488731.62012662087</v>
      </c>
      <c r="BR1813" s="8" t="str">
        <v>Yes</v>
      </c>
    </row>
    <row r="1814" spans="54:70" x14ac:dyDescent="0.2">
      <c r="BB1814" s="94"/>
      <c r="BL1814" s="8">
        <v>1765</v>
      </c>
      <c r="BM1814" s="8">
        <v>5098629.0297489967</v>
      </c>
      <c r="BN1814" s="8">
        <v>7322151.6359356362</v>
      </c>
      <c r="BO1814" s="8">
        <v>12420780.665684633</v>
      </c>
      <c r="BP1814" s="8">
        <v>2962448.859357188</v>
      </c>
      <c r="BQ1814" s="8">
        <v>-9458331.8063274454</v>
      </c>
      <c r="BR1814" s="8" t="str">
        <v>Yes</v>
      </c>
    </row>
    <row r="1815" spans="54:70" x14ac:dyDescent="0.2">
      <c r="BB1815" s="94"/>
      <c r="BL1815" s="8">
        <v>1766</v>
      </c>
      <c r="BM1815" s="8">
        <v>3981236.3224492124</v>
      </c>
      <c r="BN1815" s="8">
        <v>0</v>
      </c>
      <c r="BO1815" s="8">
        <v>3981236.3224492124</v>
      </c>
      <c r="BP1815" s="8">
        <v>2369653.9483363354</v>
      </c>
      <c r="BQ1815" s="8">
        <v>-1611582.3741128771</v>
      </c>
      <c r="BR1815" s="8" t="str">
        <v>Yes</v>
      </c>
    </row>
    <row r="1816" spans="54:70" x14ac:dyDescent="0.2">
      <c r="BB1816" s="94"/>
      <c r="BL1816" s="8">
        <v>1767</v>
      </c>
      <c r="BM1816" s="8">
        <v>2854914.3527069334</v>
      </c>
      <c r="BN1816" s="8">
        <v>1682831.6115219344</v>
      </c>
      <c r="BO1816" s="8">
        <v>4537745.9642288676</v>
      </c>
      <c r="BP1816" s="8">
        <v>2264735.454544337</v>
      </c>
      <c r="BQ1816" s="8">
        <v>-2273010.5096845306</v>
      </c>
      <c r="BR1816" s="8" t="str">
        <v>Yes</v>
      </c>
    </row>
    <row r="1817" spans="54:70" x14ac:dyDescent="0.2">
      <c r="BB1817" s="94"/>
      <c r="BL1817" s="8">
        <v>1768</v>
      </c>
      <c r="BM1817" s="8">
        <v>9933717.3811522573</v>
      </c>
      <c r="BN1817" s="8">
        <v>5739256.8737584539</v>
      </c>
      <c r="BO1817" s="8">
        <v>15672974.254910711</v>
      </c>
      <c r="BP1817" s="8">
        <v>5712388.9823516868</v>
      </c>
      <c r="BQ1817" s="8">
        <v>-9960585.2725590244</v>
      </c>
      <c r="BR1817" s="8" t="str">
        <v>Yes</v>
      </c>
    </row>
    <row r="1818" spans="54:70" x14ac:dyDescent="0.2">
      <c r="BB1818" s="94"/>
      <c r="BL1818" s="8">
        <v>1769</v>
      </c>
      <c r="BM1818" s="8">
        <v>2073804.0782967408</v>
      </c>
      <c r="BN1818" s="8">
        <v>1243138.2694972539</v>
      </c>
      <c r="BO1818" s="8">
        <v>3316942.3477939945</v>
      </c>
      <c r="BP1818" s="8">
        <v>6128972.2546341345</v>
      </c>
      <c r="BQ1818" s="8">
        <v>2812029.90684014</v>
      </c>
      <c r="BR1818" s="8" t="str">
        <v>No</v>
      </c>
    </row>
    <row r="1819" spans="54:70" x14ac:dyDescent="0.2">
      <c r="BB1819" s="94"/>
      <c r="BL1819" s="8">
        <v>1770</v>
      </c>
      <c r="BM1819" s="8">
        <v>3594779.8096794831</v>
      </c>
      <c r="BN1819" s="8">
        <v>0</v>
      </c>
      <c r="BO1819" s="8">
        <v>3594779.8096794831</v>
      </c>
      <c r="BP1819" s="8">
        <v>6091013.7159102503</v>
      </c>
      <c r="BQ1819" s="8">
        <v>2496233.9062307673</v>
      </c>
      <c r="BR1819" s="8" t="str">
        <v>No</v>
      </c>
    </row>
    <row r="1820" spans="54:70" x14ac:dyDescent="0.2">
      <c r="BB1820" s="94"/>
      <c r="BL1820" s="8">
        <v>1771</v>
      </c>
      <c r="BM1820" s="8">
        <v>13518235.960584659</v>
      </c>
      <c r="BN1820" s="8">
        <v>0</v>
      </c>
      <c r="BO1820" s="8">
        <v>13518235.960584659</v>
      </c>
      <c r="BP1820" s="8">
        <v>4569463.4391095703</v>
      </c>
      <c r="BQ1820" s="8">
        <v>-8948772.5214750879</v>
      </c>
      <c r="BR1820" s="8" t="str">
        <v>Yes</v>
      </c>
    </row>
    <row r="1821" spans="54:70" x14ac:dyDescent="0.2">
      <c r="BB1821" s="94"/>
      <c r="BL1821" s="8">
        <v>1772</v>
      </c>
      <c r="BM1821" s="8">
        <v>2761617.5945277633</v>
      </c>
      <c r="BN1821" s="8">
        <v>2830302.2073350814</v>
      </c>
      <c r="BO1821" s="8">
        <v>5591919.8018628452</v>
      </c>
      <c r="BP1821" s="8">
        <v>3308423.6149706244</v>
      </c>
      <c r="BQ1821" s="8">
        <v>-2283496.1868922208</v>
      </c>
      <c r="BR1821" s="8" t="str">
        <v>Yes</v>
      </c>
    </row>
    <row r="1822" spans="54:70" x14ac:dyDescent="0.2">
      <c r="BB1822" s="94"/>
      <c r="BL1822" s="8">
        <v>1773</v>
      </c>
      <c r="BM1822" s="8">
        <v>3069504.5427333261</v>
      </c>
      <c r="BN1822" s="8">
        <v>792882.62793337426</v>
      </c>
      <c r="BO1822" s="8">
        <v>3862387.1706667002</v>
      </c>
      <c r="BP1822" s="8">
        <v>6364095.429356805</v>
      </c>
      <c r="BQ1822" s="8">
        <v>2501708.2586901048</v>
      </c>
      <c r="BR1822" s="8" t="str">
        <v>No</v>
      </c>
    </row>
    <row r="1823" spans="54:70" x14ac:dyDescent="0.2">
      <c r="BB1823" s="94"/>
      <c r="BL1823" s="8">
        <v>1774</v>
      </c>
      <c r="BM1823" s="8">
        <v>3738221.5851225033</v>
      </c>
      <c r="BN1823" s="8">
        <v>0</v>
      </c>
      <c r="BO1823" s="8">
        <v>3738221.5851225033</v>
      </c>
      <c r="BP1823" s="8">
        <v>4259109.0983303757</v>
      </c>
      <c r="BQ1823" s="8">
        <v>520887.5132078724</v>
      </c>
      <c r="BR1823" s="8" t="str">
        <v>No</v>
      </c>
    </row>
    <row r="1824" spans="54:70" x14ac:dyDescent="0.2">
      <c r="BB1824" s="94"/>
      <c r="BL1824" s="8">
        <v>1775</v>
      </c>
      <c r="BM1824" s="8">
        <v>8583510.6364683099</v>
      </c>
      <c r="BN1824" s="8">
        <v>0</v>
      </c>
      <c r="BO1824" s="8">
        <v>8583510.6364683099</v>
      </c>
      <c r="BP1824" s="8">
        <v>3662218.4608856519</v>
      </c>
      <c r="BQ1824" s="8">
        <v>-4921292.1755826585</v>
      </c>
      <c r="BR1824" s="8" t="str">
        <v>Yes</v>
      </c>
    </row>
    <row r="1825" spans="54:70" x14ac:dyDescent="0.2">
      <c r="BB1825" s="94"/>
      <c r="BL1825" s="8">
        <v>1776</v>
      </c>
      <c r="BM1825" s="8">
        <v>11709460.66434769</v>
      </c>
      <c r="BN1825" s="8">
        <v>0</v>
      </c>
      <c r="BO1825" s="8">
        <v>11709460.66434769</v>
      </c>
      <c r="BP1825" s="8">
        <v>5811088.5106961522</v>
      </c>
      <c r="BQ1825" s="8">
        <v>-5898372.1536515374</v>
      </c>
      <c r="BR1825" s="8" t="str">
        <v>Yes</v>
      </c>
    </row>
    <row r="1826" spans="54:70" x14ac:dyDescent="0.2">
      <c r="BB1826" s="94"/>
      <c r="BL1826" s="8">
        <v>1777</v>
      </c>
      <c r="BM1826" s="8">
        <v>9305187.5739874057</v>
      </c>
      <c r="BN1826" s="8">
        <v>13816255.10967081</v>
      </c>
      <c r="BO1826" s="8">
        <v>23121442.683658216</v>
      </c>
      <c r="BP1826" s="8">
        <v>4183016.0215478707</v>
      </c>
      <c r="BQ1826" s="8">
        <v>-18938426.662110344</v>
      </c>
      <c r="BR1826" s="8" t="str">
        <v>Yes</v>
      </c>
    </row>
    <row r="1827" spans="54:70" x14ac:dyDescent="0.2">
      <c r="BB1827" s="94"/>
      <c r="BL1827" s="8">
        <v>1778</v>
      </c>
      <c r="BM1827" s="8">
        <v>4735312.5907673417</v>
      </c>
      <c r="BN1827" s="8">
        <v>8468775.454818625</v>
      </c>
      <c r="BO1827" s="8">
        <v>13204088.045585968</v>
      </c>
      <c r="BP1827" s="8">
        <v>4259007.5060436744</v>
      </c>
      <c r="BQ1827" s="8">
        <v>-8945080.5395422932</v>
      </c>
      <c r="BR1827" s="8" t="str">
        <v>Yes</v>
      </c>
    </row>
    <row r="1828" spans="54:70" x14ac:dyDescent="0.2">
      <c r="BB1828" s="94"/>
      <c r="BL1828" s="8">
        <v>1779</v>
      </c>
      <c r="BM1828" s="8">
        <v>7066420.5470056422</v>
      </c>
      <c r="BN1828" s="8">
        <v>0</v>
      </c>
      <c r="BO1828" s="8">
        <v>7066420.5470056422</v>
      </c>
      <c r="BP1828" s="8">
        <v>4224813.713609213</v>
      </c>
      <c r="BQ1828" s="8">
        <v>-2841606.8333964292</v>
      </c>
      <c r="BR1828" s="8" t="str">
        <v>Yes</v>
      </c>
    </row>
    <row r="1829" spans="54:70" x14ac:dyDescent="0.2">
      <c r="BB1829" s="94"/>
      <c r="BL1829" s="8">
        <v>1780</v>
      </c>
      <c r="BM1829" s="8">
        <v>6173700.8403934874</v>
      </c>
      <c r="BN1829" s="8">
        <v>0</v>
      </c>
      <c r="BO1829" s="8">
        <v>6173700.8403934874</v>
      </c>
      <c r="BP1829" s="8">
        <v>2209851.2186555825</v>
      </c>
      <c r="BQ1829" s="8">
        <v>-3963849.6217379048</v>
      </c>
      <c r="BR1829" s="8" t="str">
        <v>Yes</v>
      </c>
    </row>
    <row r="1830" spans="54:70" x14ac:dyDescent="0.2">
      <c r="BB1830" s="94"/>
      <c r="BL1830" s="8">
        <v>1781</v>
      </c>
      <c r="BM1830" s="8">
        <v>11372207.874865398</v>
      </c>
      <c r="BN1830" s="8">
        <v>0</v>
      </c>
      <c r="BO1830" s="8">
        <v>11372207.874865398</v>
      </c>
      <c r="BP1830" s="8">
        <v>6303541.1583594251</v>
      </c>
      <c r="BQ1830" s="8">
        <v>-5068666.7165059727</v>
      </c>
      <c r="BR1830" s="8" t="str">
        <v>Yes</v>
      </c>
    </row>
    <row r="1831" spans="54:70" x14ac:dyDescent="0.2">
      <c r="BB1831" s="94"/>
      <c r="BL1831" s="8">
        <v>1782</v>
      </c>
      <c r="BM1831" s="8">
        <v>5351072.3710880298</v>
      </c>
      <c r="BN1831" s="8">
        <v>0</v>
      </c>
      <c r="BO1831" s="8">
        <v>5351072.3710880298</v>
      </c>
      <c r="BP1831" s="8">
        <v>5816859.0979651269</v>
      </c>
      <c r="BQ1831" s="8">
        <v>465786.72687709704</v>
      </c>
      <c r="BR1831" s="8" t="str">
        <v>No</v>
      </c>
    </row>
    <row r="1832" spans="54:70" x14ac:dyDescent="0.2">
      <c r="BB1832" s="94"/>
      <c r="BL1832" s="8">
        <v>1783</v>
      </c>
      <c r="BM1832" s="8">
        <v>4517268.3246469814</v>
      </c>
      <c r="BN1832" s="8">
        <v>0</v>
      </c>
      <c r="BO1832" s="8">
        <v>4517268.3246469814</v>
      </c>
      <c r="BP1832" s="8">
        <v>3196440.1927303346</v>
      </c>
      <c r="BQ1832" s="8">
        <v>-1320828.1319166468</v>
      </c>
      <c r="BR1832" s="8" t="str">
        <v>Yes</v>
      </c>
    </row>
    <row r="1833" spans="54:70" x14ac:dyDescent="0.2">
      <c r="BB1833" s="94"/>
      <c r="BL1833" s="8">
        <v>1784</v>
      </c>
      <c r="BM1833" s="8">
        <v>2308521.1583686783</v>
      </c>
      <c r="BN1833" s="8">
        <v>0</v>
      </c>
      <c r="BO1833" s="8">
        <v>2308521.1583686783</v>
      </c>
      <c r="BP1833" s="8">
        <v>2305571.383445892</v>
      </c>
      <c r="BQ1833" s="8">
        <v>-2949.7749227862805</v>
      </c>
      <c r="BR1833" s="8" t="str">
        <v>Yes</v>
      </c>
    </row>
    <row r="1834" spans="54:70" x14ac:dyDescent="0.2">
      <c r="BB1834" s="94"/>
      <c r="BL1834" s="8">
        <v>1785</v>
      </c>
      <c r="BM1834" s="8">
        <v>5620717.5207064059</v>
      </c>
      <c r="BN1834" s="8">
        <v>7741383.0703051761</v>
      </c>
      <c r="BO1834" s="8">
        <v>13362100.591011582</v>
      </c>
      <c r="BP1834" s="8">
        <v>5902123.1775910109</v>
      </c>
      <c r="BQ1834" s="8">
        <v>-7459977.413420571</v>
      </c>
      <c r="BR1834" s="8" t="str">
        <v>Yes</v>
      </c>
    </row>
    <row r="1835" spans="54:70" x14ac:dyDescent="0.2">
      <c r="BB1835" s="94"/>
      <c r="BL1835" s="8">
        <v>1786</v>
      </c>
      <c r="BM1835" s="8">
        <v>1942741.2531337142</v>
      </c>
      <c r="BN1835" s="8">
        <v>0</v>
      </c>
      <c r="BO1835" s="8">
        <v>1942741.2531337142</v>
      </c>
      <c r="BP1835" s="8">
        <v>3459662.0313515919</v>
      </c>
      <c r="BQ1835" s="8">
        <v>1516920.7782178777</v>
      </c>
      <c r="BR1835" s="8" t="str">
        <v>No</v>
      </c>
    </row>
    <row r="1836" spans="54:70" x14ac:dyDescent="0.2">
      <c r="BB1836" s="94"/>
      <c r="BL1836" s="8">
        <v>1787</v>
      </c>
      <c r="BM1836" s="8">
        <v>5884705.5869644322</v>
      </c>
      <c r="BN1836" s="8">
        <v>4284044.6904230183</v>
      </c>
      <c r="BO1836" s="8">
        <v>10168750.277387451</v>
      </c>
      <c r="BP1836" s="8">
        <v>3479968.9517288064</v>
      </c>
      <c r="BQ1836" s="8">
        <v>-6688781.3256586455</v>
      </c>
      <c r="BR1836" s="8" t="str">
        <v>Yes</v>
      </c>
    </row>
    <row r="1837" spans="54:70" x14ac:dyDescent="0.2">
      <c r="BB1837" s="94"/>
      <c r="BL1837" s="8">
        <v>1788</v>
      </c>
      <c r="BM1837" s="8">
        <v>7651961.4522088096</v>
      </c>
      <c r="BN1837" s="8">
        <v>8258859.1059392365</v>
      </c>
      <c r="BO1837" s="8">
        <v>15910820.558148045</v>
      </c>
      <c r="BP1837" s="8">
        <v>4041676.6997278929</v>
      </c>
      <c r="BQ1837" s="8">
        <v>-11869143.858420152</v>
      </c>
      <c r="BR1837" s="8" t="str">
        <v>Yes</v>
      </c>
    </row>
    <row r="1838" spans="54:70" x14ac:dyDescent="0.2">
      <c r="BB1838" s="94"/>
      <c r="BL1838" s="8">
        <v>1789</v>
      </c>
      <c r="BM1838" s="8">
        <v>4825817.9489574069</v>
      </c>
      <c r="BN1838" s="8">
        <v>0</v>
      </c>
      <c r="BO1838" s="8">
        <v>4825817.9489574069</v>
      </c>
      <c r="BP1838" s="8">
        <v>2395276.1939251651</v>
      </c>
      <c r="BQ1838" s="8">
        <v>-2430541.7550322418</v>
      </c>
      <c r="BR1838" s="8" t="str">
        <v>Yes</v>
      </c>
    </row>
    <row r="1839" spans="54:70" x14ac:dyDescent="0.2">
      <c r="BB1839" s="94"/>
      <c r="BL1839" s="8">
        <v>1790</v>
      </c>
      <c r="BM1839" s="8">
        <v>4391238.442257857</v>
      </c>
      <c r="BN1839" s="8">
        <v>4880406.4707242409</v>
      </c>
      <c r="BO1839" s="8">
        <v>9271644.9129820988</v>
      </c>
      <c r="BP1839" s="8">
        <v>3470655.1316799615</v>
      </c>
      <c r="BQ1839" s="8">
        <v>-5800989.7813021373</v>
      </c>
      <c r="BR1839" s="8" t="str">
        <v>Yes</v>
      </c>
    </row>
    <row r="1840" spans="54:70" x14ac:dyDescent="0.2">
      <c r="BB1840" s="94"/>
      <c r="BL1840" s="8">
        <v>1791</v>
      </c>
      <c r="BM1840" s="8">
        <v>5316724.0107934764</v>
      </c>
      <c r="BN1840" s="8">
        <v>3612677.3153955308</v>
      </c>
      <c r="BO1840" s="8">
        <v>8929401.3261890076</v>
      </c>
      <c r="BP1840" s="8">
        <v>2363488.031553105</v>
      </c>
      <c r="BQ1840" s="8">
        <v>-6565913.2946359031</v>
      </c>
      <c r="BR1840" s="8" t="str">
        <v>Yes</v>
      </c>
    </row>
    <row r="1841" spans="54:70" x14ac:dyDescent="0.2">
      <c r="BB1841" s="94"/>
      <c r="BL1841" s="8">
        <v>1792</v>
      </c>
      <c r="BM1841" s="8">
        <v>2679593.3757792204</v>
      </c>
      <c r="BN1841" s="8">
        <v>1140284.1930097812</v>
      </c>
      <c r="BO1841" s="8">
        <v>3819877.5687890016</v>
      </c>
      <c r="BP1841" s="8">
        <v>3166080.585834858</v>
      </c>
      <c r="BQ1841" s="8">
        <v>-653796.98295414355</v>
      </c>
      <c r="BR1841" s="8" t="str">
        <v>Yes</v>
      </c>
    </row>
    <row r="1842" spans="54:70" x14ac:dyDescent="0.2">
      <c r="BB1842" s="94"/>
      <c r="BL1842" s="8">
        <v>1793</v>
      </c>
      <c r="BM1842" s="8">
        <v>2472044.1459793155</v>
      </c>
      <c r="BN1842" s="8">
        <v>0</v>
      </c>
      <c r="BO1842" s="8">
        <v>2472044.1459793155</v>
      </c>
      <c r="BP1842" s="8">
        <v>3425399.3900516774</v>
      </c>
      <c r="BQ1842" s="8">
        <v>953355.24407236185</v>
      </c>
      <c r="BR1842" s="8" t="str">
        <v>No</v>
      </c>
    </row>
    <row r="1843" spans="54:70" x14ac:dyDescent="0.2">
      <c r="BB1843" s="94"/>
      <c r="BL1843" s="8">
        <v>1794</v>
      </c>
      <c r="BM1843" s="8">
        <v>3379149.8715547528</v>
      </c>
      <c r="BN1843" s="8">
        <v>0</v>
      </c>
      <c r="BO1843" s="8">
        <v>3379149.8715547528</v>
      </c>
      <c r="BP1843" s="8">
        <v>3401649.4187761336</v>
      </c>
      <c r="BQ1843" s="8">
        <v>22499.547221380752</v>
      </c>
      <c r="BR1843" s="8" t="str">
        <v>No</v>
      </c>
    </row>
    <row r="1844" spans="54:70" x14ac:dyDescent="0.2">
      <c r="BB1844" s="94"/>
      <c r="BL1844" s="8">
        <v>1795</v>
      </c>
      <c r="BM1844" s="8">
        <v>3617238.613379044</v>
      </c>
      <c r="BN1844" s="8">
        <v>0</v>
      </c>
      <c r="BO1844" s="8">
        <v>3617238.613379044</v>
      </c>
      <c r="BP1844" s="8">
        <v>4352580.8124804758</v>
      </c>
      <c r="BQ1844" s="8">
        <v>735342.19910143176</v>
      </c>
      <c r="BR1844" s="8" t="str">
        <v>No</v>
      </c>
    </row>
    <row r="1845" spans="54:70" x14ac:dyDescent="0.2">
      <c r="BB1845" s="94"/>
      <c r="BL1845" s="8">
        <v>1796</v>
      </c>
      <c r="BM1845" s="8">
        <v>5261841.2894656314</v>
      </c>
      <c r="BN1845" s="8">
        <v>8480373.6955119241</v>
      </c>
      <c r="BO1845" s="8">
        <v>13742214.984977555</v>
      </c>
      <c r="BP1845" s="8">
        <v>2127637.0161814163</v>
      </c>
      <c r="BQ1845" s="8">
        <v>-11614577.968796138</v>
      </c>
      <c r="BR1845" s="8" t="str">
        <v>Yes</v>
      </c>
    </row>
    <row r="1846" spans="54:70" x14ac:dyDescent="0.2">
      <c r="BB1846" s="94"/>
      <c r="BL1846" s="8">
        <v>1797</v>
      </c>
      <c r="BM1846" s="8">
        <v>1963905.2485265278</v>
      </c>
      <c r="BN1846" s="8">
        <v>208629.55124845018</v>
      </c>
      <c r="BO1846" s="8">
        <v>2172534.7997749778</v>
      </c>
      <c r="BP1846" s="8">
        <v>5981575.7024419392</v>
      </c>
      <c r="BQ1846" s="8">
        <v>3809040.9026669613</v>
      </c>
      <c r="BR1846" s="8" t="str">
        <v>No</v>
      </c>
    </row>
    <row r="1847" spans="54:70" x14ac:dyDescent="0.2">
      <c r="BB1847" s="94"/>
      <c r="BL1847" s="8">
        <v>1798</v>
      </c>
      <c r="BM1847" s="8">
        <v>4923949.1148027079</v>
      </c>
      <c r="BN1847" s="8">
        <v>8913055.0253429599</v>
      </c>
      <c r="BO1847" s="8">
        <v>13837004.140145667</v>
      </c>
      <c r="BP1847" s="8">
        <v>2277404.8585898811</v>
      </c>
      <c r="BQ1847" s="8">
        <v>-11559599.281555787</v>
      </c>
      <c r="BR1847" s="8" t="str">
        <v>Yes</v>
      </c>
    </row>
    <row r="1848" spans="54:70" x14ac:dyDescent="0.2">
      <c r="BB1848" s="94"/>
      <c r="BL1848" s="8">
        <v>1799</v>
      </c>
      <c r="BM1848" s="8">
        <v>6819715.996098401</v>
      </c>
      <c r="BN1848" s="8">
        <v>8653081.1076269913</v>
      </c>
      <c r="BO1848" s="8">
        <v>15472797.103725392</v>
      </c>
      <c r="BP1848" s="8">
        <v>6043195.8002057103</v>
      </c>
      <c r="BQ1848" s="8">
        <v>-9429601.3035196811</v>
      </c>
      <c r="BR1848" s="8" t="str">
        <v>Yes</v>
      </c>
    </row>
    <row r="1849" spans="54:70" x14ac:dyDescent="0.2">
      <c r="BB1849" s="94"/>
      <c r="BL1849" s="8">
        <v>1800</v>
      </c>
      <c r="BM1849" s="8">
        <v>10692595.46208561</v>
      </c>
      <c r="BN1849" s="8">
        <v>9106214.7169225328</v>
      </c>
      <c r="BO1849" s="8">
        <v>19798810.179008141</v>
      </c>
      <c r="BP1849" s="8">
        <v>4402175.0171348806</v>
      </c>
      <c r="BQ1849" s="8">
        <v>-15396635.161873261</v>
      </c>
      <c r="BR1849" s="8" t="str">
        <v>Yes</v>
      </c>
    </row>
    <row r="1850" spans="54:70" x14ac:dyDescent="0.2">
      <c r="BB1850" s="94"/>
      <c r="BL1850" s="8">
        <v>1801</v>
      </c>
      <c r="BM1850" s="8">
        <v>3431217.3475093758</v>
      </c>
      <c r="BN1850" s="8">
        <v>0</v>
      </c>
      <c r="BO1850" s="8">
        <v>3431217.3475093758</v>
      </c>
      <c r="BP1850" s="8">
        <v>2277643.786228396</v>
      </c>
      <c r="BQ1850" s="8">
        <v>-1153573.5612809798</v>
      </c>
      <c r="BR1850" s="8" t="str">
        <v>Yes</v>
      </c>
    </row>
    <row r="1851" spans="54:70" x14ac:dyDescent="0.2">
      <c r="BB1851" s="94"/>
      <c r="BL1851" s="8">
        <v>1802</v>
      </c>
      <c r="BM1851" s="8">
        <v>10474697.462048063</v>
      </c>
      <c r="BN1851" s="8">
        <v>0</v>
      </c>
      <c r="BO1851" s="8">
        <v>10474697.462048063</v>
      </c>
      <c r="BP1851" s="8">
        <v>6202051.3025280572</v>
      </c>
      <c r="BQ1851" s="8">
        <v>-4272646.1595200058</v>
      </c>
      <c r="BR1851" s="8" t="str">
        <v>Yes</v>
      </c>
    </row>
    <row r="1852" spans="54:70" x14ac:dyDescent="0.2">
      <c r="BB1852" s="94"/>
      <c r="BL1852" s="8">
        <v>1803</v>
      </c>
      <c r="BM1852" s="8">
        <v>3299866.2031596517</v>
      </c>
      <c r="BN1852" s="8">
        <v>2308241.9036064362</v>
      </c>
      <c r="BO1852" s="8">
        <v>5608108.1067660879</v>
      </c>
      <c r="BP1852" s="8">
        <v>5981936.3490471514</v>
      </c>
      <c r="BQ1852" s="8">
        <v>373828.24228106346</v>
      </c>
      <c r="BR1852" s="8" t="str">
        <v>No</v>
      </c>
    </row>
    <row r="1853" spans="54:70" x14ac:dyDescent="0.2">
      <c r="BB1853" s="94"/>
      <c r="BL1853" s="8">
        <v>1804</v>
      </c>
      <c r="BM1853" s="8">
        <v>8142250.9409348555</v>
      </c>
      <c r="BN1853" s="8">
        <v>0</v>
      </c>
      <c r="BO1853" s="8">
        <v>8142250.9409348555</v>
      </c>
      <c r="BP1853" s="8">
        <v>2210620.7933311085</v>
      </c>
      <c r="BQ1853" s="8">
        <v>-5931630.1476037465</v>
      </c>
      <c r="BR1853" s="8" t="str">
        <v>Yes</v>
      </c>
    </row>
    <row r="1854" spans="54:70" x14ac:dyDescent="0.2">
      <c r="BB1854" s="94"/>
      <c r="BL1854" s="8">
        <v>1805</v>
      </c>
      <c r="BM1854" s="8">
        <v>4071211.0301672262</v>
      </c>
      <c r="BN1854" s="8">
        <v>0</v>
      </c>
      <c r="BO1854" s="8">
        <v>4071211.0301672262</v>
      </c>
      <c r="BP1854" s="8">
        <v>5870650.9302598266</v>
      </c>
      <c r="BQ1854" s="8">
        <v>1799439.9000926004</v>
      </c>
      <c r="BR1854" s="8" t="str">
        <v>No</v>
      </c>
    </row>
    <row r="1855" spans="54:70" x14ac:dyDescent="0.2">
      <c r="BB1855" s="94"/>
      <c r="BL1855" s="8">
        <v>1806</v>
      </c>
      <c r="BM1855" s="8">
        <v>7556321.0999266338</v>
      </c>
      <c r="BN1855" s="8">
        <v>0</v>
      </c>
      <c r="BO1855" s="8">
        <v>7556321.0999266338</v>
      </c>
      <c r="BP1855" s="8">
        <v>2462493.6120644012</v>
      </c>
      <c r="BQ1855" s="8">
        <v>-5093827.4878622331</v>
      </c>
      <c r="BR1855" s="8" t="str">
        <v>Yes</v>
      </c>
    </row>
    <row r="1856" spans="54:70" x14ac:dyDescent="0.2">
      <c r="BB1856" s="94"/>
      <c r="BL1856" s="8">
        <v>1807</v>
      </c>
      <c r="BM1856" s="8">
        <v>2823225.8692271006</v>
      </c>
      <c r="BN1856" s="8">
        <v>0</v>
      </c>
      <c r="BO1856" s="8">
        <v>2823225.8692271006</v>
      </c>
      <c r="BP1856" s="8">
        <v>6748622.412423702</v>
      </c>
      <c r="BQ1856" s="8">
        <v>3925396.5431966013</v>
      </c>
      <c r="BR1856" s="8" t="str">
        <v>No</v>
      </c>
    </row>
    <row r="1857" spans="54:70" x14ac:dyDescent="0.2">
      <c r="BB1857" s="94"/>
      <c r="BL1857" s="8">
        <v>1808</v>
      </c>
      <c r="BM1857" s="8">
        <v>6802350.9313242082</v>
      </c>
      <c r="BN1857" s="8">
        <v>8279463.9051782629</v>
      </c>
      <c r="BO1857" s="8">
        <v>15081814.83650247</v>
      </c>
      <c r="BP1857" s="8">
        <v>2031489.9366197875</v>
      </c>
      <c r="BQ1857" s="8">
        <v>-13050324.899882682</v>
      </c>
      <c r="BR1857" s="8" t="str">
        <v>Yes</v>
      </c>
    </row>
    <row r="1858" spans="54:70" x14ac:dyDescent="0.2">
      <c r="BB1858" s="94"/>
      <c r="BL1858" s="8">
        <v>1809</v>
      </c>
      <c r="BM1858" s="8">
        <v>4846317.3242928972</v>
      </c>
      <c r="BN1858" s="8">
        <v>0</v>
      </c>
      <c r="BO1858" s="8">
        <v>4846317.3242928972</v>
      </c>
      <c r="BP1858" s="8">
        <v>3305022.0197937237</v>
      </c>
      <c r="BQ1858" s="8">
        <v>-1541295.3044991735</v>
      </c>
      <c r="BR1858" s="8" t="str">
        <v>Yes</v>
      </c>
    </row>
    <row r="1859" spans="54:70" x14ac:dyDescent="0.2">
      <c r="BB1859" s="94"/>
      <c r="BL1859" s="8">
        <v>1810</v>
      </c>
      <c r="BM1859" s="8">
        <v>5018636.2827709904</v>
      </c>
      <c r="BN1859" s="8">
        <v>0</v>
      </c>
      <c r="BO1859" s="8">
        <v>5018636.2827709904</v>
      </c>
      <c r="BP1859" s="8">
        <v>6469235.8965063915</v>
      </c>
      <c r="BQ1859" s="8">
        <v>1450599.6137354011</v>
      </c>
      <c r="BR1859" s="8" t="str">
        <v>No</v>
      </c>
    </row>
    <row r="1860" spans="54:70" x14ac:dyDescent="0.2">
      <c r="BB1860" s="94"/>
      <c r="BL1860" s="8">
        <v>1811</v>
      </c>
      <c r="BM1860" s="8">
        <v>3716314.1909931907</v>
      </c>
      <c r="BN1860" s="8">
        <v>3081689.3521919856</v>
      </c>
      <c r="BO1860" s="8">
        <v>6798003.5431851763</v>
      </c>
      <c r="BP1860" s="8">
        <v>3689823.6510669729</v>
      </c>
      <c r="BQ1860" s="8">
        <v>-3108179.8921182035</v>
      </c>
      <c r="BR1860" s="8" t="str">
        <v>Yes</v>
      </c>
    </row>
    <row r="1861" spans="54:70" x14ac:dyDescent="0.2">
      <c r="BB1861" s="94"/>
      <c r="BL1861" s="8">
        <v>1812</v>
      </c>
      <c r="BM1861" s="8">
        <v>6638262.2873293785</v>
      </c>
      <c r="BN1861" s="8">
        <v>0</v>
      </c>
      <c r="BO1861" s="8">
        <v>6638262.2873293785</v>
      </c>
      <c r="BP1861" s="8">
        <v>3844222.9356505959</v>
      </c>
      <c r="BQ1861" s="8">
        <v>-2794039.3516787826</v>
      </c>
      <c r="BR1861" s="8" t="str">
        <v>Yes</v>
      </c>
    </row>
    <row r="1862" spans="54:70" x14ac:dyDescent="0.2">
      <c r="BB1862" s="94"/>
      <c r="BL1862" s="8">
        <v>1813</v>
      </c>
      <c r="BM1862" s="8">
        <v>3572722.1902030394</v>
      </c>
      <c r="BN1862" s="8">
        <v>0</v>
      </c>
      <c r="BO1862" s="8">
        <v>3572722.1902030394</v>
      </c>
      <c r="BP1862" s="8">
        <v>6464664.1861240808</v>
      </c>
      <c r="BQ1862" s="8">
        <v>2891941.9959210414</v>
      </c>
      <c r="BR1862" s="8" t="str">
        <v>No</v>
      </c>
    </row>
    <row r="1863" spans="54:70" x14ac:dyDescent="0.2">
      <c r="BB1863" s="94"/>
      <c r="BL1863" s="8">
        <v>1814</v>
      </c>
      <c r="BM1863" s="8">
        <v>7130890.2307584193</v>
      </c>
      <c r="BN1863" s="8">
        <v>8132077.6825398002</v>
      </c>
      <c r="BO1863" s="8">
        <v>15262967.913298219</v>
      </c>
      <c r="BP1863" s="8">
        <v>6179922.2699371269</v>
      </c>
      <c r="BQ1863" s="8">
        <v>-9083045.6433610916</v>
      </c>
      <c r="BR1863" s="8" t="str">
        <v>Yes</v>
      </c>
    </row>
    <row r="1864" spans="54:70" x14ac:dyDescent="0.2">
      <c r="BB1864" s="94"/>
      <c r="BL1864" s="8">
        <v>1815</v>
      </c>
      <c r="BM1864" s="8">
        <v>3247209.1884735366</v>
      </c>
      <c r="BN1864" s="8">
        <v>0</v>
      </c>
      <c r="BO1864" s="8">
        <v>3247209.1884735366</v>
      </c>
      <c r="BP1864" s="8">
        <v>5657777.8972372776</v>
      </c>
      <c r="BQ1864" s="8">
        <v>2410568.708763741</v>
      </c>
      <c r="BR1864" s="8" t="str">
        <v>No</v>
      </c>
    </row>
    <row r="1865" spans="54:70" x14ac:dyDescent="0.2">
      <c r="BB1865" s="94"/>
      <c r="BL1865" s="8">
        <v>1816</v>
      </c>
      <c r="BM1865" s="8">
        <v>6374556.3228035839</v>
      </c>
      <c r="BN1865" s="8">
        <v>2944887.7433060766</v>
      </c>
      <c r="BO1865" s="8">
        <v>9319444.066109661</v>
      </c>
      <c r="BP1865" s="8">
        <v>3243163.4219051753</v>
      </c>
      <c r="BQ1865" s="8">
        <v>-6076280.6442044862</v>
      </c>
      <c r="BR1865" s="8" t="str">
        <v>Yes</v>
      </c>
    </row>
    <row r="1866" spans="54:70" x14ac:dyDescent="0.2">
      <c r="BB1866" s="94"/>
      <c r="BL1866" s="8">
        <v>1817</v>
      </c>
      <c r="BM1866" s="8">
        <v>4325136.3651517611</v>
      </c>
      <c r="BN1866" s="8">
        <v>0</v>
      </c>
      <c r="BO1866" s="8">
        <v>4325136.3651517611</v>
      </c>
      <c r="BP1866" s="8">
        <v>3971663.178227487</v>
      </c>
      <c r="BQ1866" s="8">
        <v>-353473.18692427408</v>
      </c>
      <c r="BR1866" s="8" t="str">
        <v>Yes</v>
      </c>
    </row>
    <row r="1867" spans="54:70" x14ac:dyDescent="0.2">
      <c r="BB1867" s="94"/>
      <c r="BL1867" s="8">
        <v>1818</v>
      </c>
      <c r="BM1867" s="8">
        <v>2588904.1804960063</v>
      </c>
      <c r="BN1867" s="8">
        <v>0</v>
      </c>
      <c r="BO1867" s="8">
        <v>2588904.1804960063</v>
      </c>
      <c r="BP1867" s="8">
        <v>4612704.2255720058</v>
      </c>
      <c r="BQ1867" s="8">
        <v>2023800.0450759996</v>
      </c>
      <c r="BR1867" s="8" t="str">
        <v>No</v>
      </c>
    </row>
    <row r="1868" spans="54:70" x14ac:dyDescent="0.2">
      <c r="BB1868" s="94"/>
      <c r="BL1868" s="8">
        <v>1819</v>
      </c>
      <c r="BM1868" s="8">
        <v>2331605.8609847929</v>
      </c>
      <c r="BN1868" s="8">
        <v>1443081.2299085476</v>
      </c>
      <c r="BO1868" s="8">
        <v>3774687.0908933403</v>
      </c>
      <c r="BP1868" s="8">
        <v>4299739.3966624653</v>
      </c>
      <c r="BQ1868" s="8">
        <v>525052.305769125</v>
      </c>
      <c r="BR1868" s="8" t="str">
        <v>No</v>
      </c>
    </row>
    <row r="1869" spans="54:70" x14ac:dyDescent="0.2">
      <c r="BB1869" s="94"/>
      <c r="BL1869" s="8">
        <v>1820</v>
      </c>
      <c r="BM1869" s="8">
        <v>2789192.6769031901</v>
      </c>
      <c r="BN1869" s="8">
        <v>1932005.4182420864</v>
      </c>
      <c r="BO1869" s="8">
        <v>4721198.0951452767</v>
      </c>
      <c r="BP1869" s="8">
        <v>2283874.9676790829</v>
      </c>
      <c r="BQ1869" s="8">
        <v>-2437323.1274661939</v>
      </c>
      <c r="BR1869" s="8" t="str">
        <v>Yes</v>
      </c>
    </row>
    <row r="1870" spans="54:70" x14ac:dyDescent="0.2">
      <c r="BB1870" s="94"/>
      <c r="BL1870" s="8">
        <v>1821</v>
      </c>
      <c r="BM1870" s="8">
        <v>1650899.4143646243</v>
      </c>
      <c r="BN1870" s="8">
        <v>0</v>
      </c>
      <c r="BO1870" s="8">
        <v>1650899.4143646243</v>
      </c>
      <c r="BP1870" s="8">
        <v>3471119.0031322427</v>
      </c>
      <c r="BQ1870" s="8">
        <v>1820219.5887676184</v>
      </c>
      <c r="BR1870" s="8" t="str">
        <v>No</v>
      </c>
    </row>
    <row r="1871" spans="54:70" x14ac:dyDescent="0.2">
      <c r="BB1871" s="94"/>
      <c r="BL1871" s="8">
        <v>1822</v>
      </c>
      <c r="BM1871" s="8">
        <v>3426585.680914077</v>
      </c>
      <c r="BN1871" s="8">
        <v>0</v>
      </c>
      <c r="BO1871" s="8">
        <v>3426585.680914077</v>
      </c>
      <c r="BP1871" s="8">
        <v>2124065.0527638602</v>
      </c>
      <c r="BQ1871" s="8">
        <v>-1302520.6281502168</v>
      </c>
      <c r="BR1871" s="8" t="str">
        <v>Yes</v>
      </c>
    </row>
    <row r="1872" spans="54:70" x14ac:dyDescent="0.2">
      <c r="BB1872" s="94"/>
      <c r="BL1872" s="8">
        <v>1823</v>
      </c>
      <c r="BM1872" s="8">
        <v>5739628.5623977296</v>
      </c>
      <c r="BN1872" s="8">
        <v>0</v>
      </c>
      <c r="BO1872" s="8">
        <v>5739628.5623977296</v>
      </c>
      <c r="BP1872" s="8">
        <v>4048334.3047371646</v>
      </c>
      <c r="BQ1872" s="8">
        <v>-1691294.257660565</v>
      </c>
      <c r="BR1872" s="8" t="str">
        <v>Yes</v>
      </c>
    </row>
    <row r="1873" spans="54:70" x14ac:dyDescent="0.2">
      <c r="BB1873" s="94"/>
      <c r="BL1873" s="8">
        <v>1824</v>
      </c>
      <c r="BM1873" s="8">
        <v>4193397.5116569116</v>
      </c>
      <c r="BN1873" s="8">
        <v>0</v>
      </c>
      <c r="BO1873" s="8">
        <v>4193397.5116569116</v>
      </c>
      <c r="BP1873" s="8">
        <v>6613918.3795596147</v>
      </c>
      <c r="BQ1873" s="8">
        <v>2420520.8679027031</v>
      </c>
      <c r="BR1873" s="8" t="str">
        <v>No</v>
      </c>
    </row>
    <row r="1874" spans="54:70" x14ac:dyDescent="0.2">
      <c r="BB1874" s="94"/>
      <c r="BL1874" s="8">
        <v>1825</v>
      </c>
      <c r="BM1874" s="8">
        <v>3426196.0428155148</v>
      </c>
      <c r="BN1874" s="8">
        <v>2575700.9575259644</v>
      </c>
      <c r="BO1874" s="8">
        <v>6001897.0003414787</v>
      </c>
      <c r="BP1874" s="8">
        <v>2219618.2713904544</v>
      </c>
      <c r="BQ1874" s="8">
        <v>-3782278.7289510244</v>
      </c>
      <c r="BR1874" s="8" t="str">
        <v>Yes</v>
      </c>
    </row>
    <row r="1875" spans="54:70" x14ac:dyDescent="0.2">
      <c r="BB1875" s="94"/>
      <c r="BL1875" s="8">
        <v>1826</v>
      </c>
      <c r="BM1875" s="8">
        <v>1474290.8188591758</v>
      </c>
      <c r="BN1875" s="8">
        <v>841086.72599203861</v>
      </c>
      <c r="BO1875" s="8">
        <v>2315377.5448512146</v>
      </c>
      <c r="BP1875" s="8">
        <v>4552111.5056699757</v>
      </c>
      <c r="BQ1875" s="8">
        <v>2236733.960818761</v>
      </c>
      <c r="BR1875" s="8" t="str">
        <v>No</v>
      </c>
    </row>
    <row r="1876" spans="54:70" x14ac:dyDescent="0.2">
      <c r="BB1876" s="94"/>
      <c r="BL1876" s="8">
        <v>1827</v>
      </c>
      <c r="BM1876" s="8">
        <v>2971336.4768258473</v>
      </c>
      <c r="BN1876" s="8">
        <v>0</v>
      </c>
      <c r="BO1876" s="8">
        <v>2971336.4768258473</v>
      </c>
      <c r="BP1876" s="8">
        <v>6592791.791312525</v>
      </c>
      <c r="BQ1876" s="8">
        <v>3621455.3144866778</v>
      </c>
      <c r="BR1876" s="8" t="str">
        <v>No</v>
      </c>
    </row>
    <row r="1877" spans="54:70" x14ac:dyDescent="0.2">
      <c r="BB1877" s="94"/>
      <c r="BL1877" s="8">
        <v>1828</v>
      </c>
      <c r="BM1877" s="8">
        <v>1915857.078729209</v>
      </c>
      <c r="BN1877" s="8">
        <v>2379443.5336360577</v>
      </c>
      <c r="BO1877" s="8">
        <v>4295300.6123652663</v>
      </c>
      <c r="BP1877" s="8">
        <v>4380254.6127408911</v>
      </c>
      <c r="BQ1877" s="8">
        <v>84954.000375624746</v>
      </c>
      <c r="BR1877" s="8" t="str">
        <v>No</v>
      </c>
    </row>
    <row r="1878" spans="54:70" x14ac:dyDescent="0.2">
      <c r="BB1878" s="94"/>
      <c r="BL1878" s="8">
        <v>1829</v>
      </c>
      <c r="BM1878" s="8">
        <v>3869763.3745508003</v>
      </c>
      <c r="BN1878" s="8">
        <v>0</v>
      </c>
      <c r="BO1878" s="8">
        <v>3869763.3745508003</v>
      </c>
      <c r="BP1878" s="8">
        <v>6809453.6065222537</v>
      </c>
      <c r="BQ1878" s="8">
        <v>2939690.2319714534</v>
      </c>
      <c r="BR1878" s="8" t="str">
        <v>No</v>
      </c>
    </row>
    <row r="1879" spans="54:70" x14ac:dyDescent="0.2">
      <c r="BB1879" s="94"/>
      <c r="BL1879" s="8">
        <v>1830</v>
      </c>
      <c r="BM1879" s="8">
        <v>5964364.8141111918</v>
      </c>
      <c r="BN1879" s="8">
        <v>0</v>
      </c>
      <c r="BO1879" s="8">
        <v>5964364.8141111918</v>
      </c>
      <c r="BP1879" s="8">
        <v>4149300.3055822966</v>
      </c>
      <c r="BQ1879" s="8">
        <v>-1815064.5085288952</v>
      </c>
      <c r="BR1879" s="8" t="str">
        <v>Yes</v>
      </c>
    </row>
    <row r="1880" spans="54:70" x14ac:dyDescent="0.2">
      <c r="BB1880" s="94"/>
      <c r="BL1880" s="8">
        <v>1831</v>
      </c>
      <c r="BM1880" s="8">
        <v>4767624.9467196157</v>
      </c>
      <c r="BN1880" s="8">
        <v>0</v>
      </c>
      <c r="BO1880" s="8">
        <v>4767624.9467196157</v>
      </c>
      <c r="BP1880" s="8">
        <v>3944047.6536073256</v>
      </c>
      <c r="BQ1880" s="8">
        <v>-823577.29311229009</v>
      </c>
      <c r="BR1880" s="8" t="str">
        <v>Yes</v>
      </c>
    </row>
    <row r="1881" spans="54:70" x14ac:dyDescent="0.2">
      <c r="BB1881" s="94"/>
      <c r="BL1881" s="8">
        <v>1832</v>
      </c>
      <c r="BM1881" s="8">
        <v>3410291.1154940873</v>
      </c>
      <c r="BN1881" s="8">
        <v>2628591.6662895586</v>
      </c>
      <c r="BO1881" s="8">
        <v>6038882.781783646</v>
      </c>
      <c r="BP1881" s="8">
        <v>3190130.0647611599</v>
      </c>
      <c r="BQ1881" s="8">
        <v>-2848752.717022486</v>
      </c>
      <c r="BR1881" s="8" t="str">
        <v>Yes</v>
      </c>
    </row>
    <row r="1882" spans="54:70" x14ac:dyDescent="0.2">
      <c r="BB1882" s="94"/>
      <c r="BL1882" s="8">
        <v>1833</v>
      </c>
      <c r="BM1882" s="8">
        <v>5071238.0304427445</v>
      </c>
      <c r="BN1882" s="8">
        <v>0</v>
      </c>
      <c r="BO1882" s="8">
        <v>5071238.0304427445</v>
      </c>
      <c r="BP1882" s="8">
        <v>5983227.6169705288</v>
      </c>
      <c r="BQ1882" s="8">
        <v>911989.58652778435</v>
      </c>
      <c r="BR1882" s="8" t="str">
        <v>No</v>
      </c>
    </row>
    <row r="1883" spans="54:70" x14ac:dyDescent="0.2">
      <c r="BB1883" s="94"/>
      <c r="BL1883" s="8">
        <v>1834</v>
      </c>
      <c r="BM1883" s="8">
        <v>4139540.578932601</v>
      </c>
      <c r="BN1883" s="8">
        <v>1610255.0162343199</v>
      </c>
      <c r="BO1883" s="8">
        <v>5749795.5951669207</v>
      </c>
      <c r="BP1883" s="8">
        <v>3066904.3859033473</v>
      </c>
      <c r="BQ1883" s="8">
        <v>-2682891.2092635734</v>
      </c>
      <c r="BR1883" s="8" t="str">
        <v>Yes</v>
      </c>
    </row>
    <row r="1884" spans="54:70" x14ac:dyDescent="0.2">
      <c r="BB1884" s="94"/>
      <c r="BL1884" s="8">
        <v>1835</v>
      </c>
      <c r="BM1884" s="8">
        <v>1257845.6949240076</v>
      </c>
      <c r="BN1884" s="8">
        <v>0</v>
      </c>
      <c r="BO1884" s="8">
        <v>1257845.6949240076</v>
      </c>
      <c r="BP1884" s="8">
        <v>3449090.3410880147</v>
      </c>
      <c r="BQ1884" s="8">
        <v>2191244.646164007</v>
      </c>
      <c r="BR1884" s="8" t="str">
        <v>No</v>
      </c>
    </row>
    <row r="1885" spans="54:70" x14ac:dyDescent="0.2">
      <c r="BB1885" s="94"/>
      <c r="BL1885" s="8">
        <v>1836</v>
      </c>
      <c r="BM1885" s="8">
        <v>4865576.5611904357</v>
      </c>
      <c r="BN1885" s="8">
        <v>6278210.9105526097</v>
      </c>
      <c r="BO1885" s="8">
        <v>11143787.471743045</v>
      </c>
      <c r="BP1885" s="8">
        <v>2065534.7164633626</v>
      </c>
      <c r="BQ1885" s="8">
        <v>-9078252.7552796826</v>
      </c>
      <c r="BR1885" s="8" t="str">
        <v>Yes</v>
      </c>
    </row>
    <row r="1886" spans="54:70" x14ac:dyDescent="0.2">
      <c r="BB1886" s="94"/>
      <c r="BL1886" s="8">
        <v>1837</v>
      </c>
      <c r="BM1886" s="8">
        <v>3371300.6956406869</v>
      </c>
      <c r="BN1886" s="8">
        <v>0</v>
      </c>
      <c r="BO1886" s="8">
        <v>3371300.6956406869</v>
      </c>
      <c r="BP1886" s="8">
        <v>3255123.2572337235</v>
      </c>
      <c r="BQ1886" s="8">
        <v>-116177.43840696337</v>
      </c>
      <c r="BR1886" s="8" t="str">
        <v>Yes</v>
      </c>
    </row>
    <row r="1887" spans="54:70" x14ac:dyDescent="0.2">
      <c r="BB1887" s="94"/>
      <c r="BL1887" s="8">
        <v>1838</v>
      </c>
      <c r="BM1887" s="8">
        <v>1858550.5372411651</v>
      </c>
      <c r="BN1887" s="8">
        <v>0</v>
      </c>
      <c r="BO1887" s="8">
        <v>1858550.5372411651</v>
      </c>
      <c r="BP1887" s="8">
        <v>2171183.5760171046</v>
      </c>
      <c r="BQ1887" s="8">
        <v>312633.03877593949</v>
      </c>
      <c r="BR1887" s="8" t="str">
        <v>No</v>
      </c>
    </row>
    <row r="1888" spans="54:70" x14ac:dyDescent="0.2">
      <c r="BB1888" s="94"/>
      <c r="BL1888" s="8">
        <v>1839</v>
      </c>
      <c r="BM1888" s="8">
        <v>3892080.2019097069</v>
      </c>
      <c r="BN1888" s="8">
        <v>0</v>
      </c>
      <c r="BO1888" s="8">
        <v>3892080.2019097069</v>
      </c>
      <c r="BP1888" s="8">
        <v>4081544.684499179</v>
      </c>
      <c r="BQ1888" s="8">
        <v>189464.48258947209</v>
      </c>
      <c r="BR1888" s="8" t="str">
        <v>No</v>
      </c>
    </row>
    <row r="1889" spans="54:70" x14ac:dyDescent="0.2">
      <c r="BB1889" s="94"/>
      <c r="BL1889" s="8">
        <v>1840</v>
      </c>
      <c r="BM1889" s="8">
        <v>6123201.5634063696</v>
      </c>
      <c r="BN1889" s="8">
        <v>5038478.6647090474</v>
      </c>
      <c r="BO1889" s="8">
        <v>11161680.228115417</v>
      </c>
      <c r="BP1889" s="8">
        <v>2258958.9881275948</v>
      </c>
      <c r="BQ1889" s="8">
        <v>-8902721.2399878222</v>
      </c>
      <c r="BR1889" s="8" t="str">
        <v>Yes</v>
      </c>
    </row>
    <row r="1890" spans="54:70" x14ac:dyDescent="0.2">
      <c r="BB1890" s="94"/>
      <c r="BL1890" s="8">
        <v>1841</v>
      </c>
      <c r="BM1890" s="8">
        <v>4317401.7426754609</v>
      </c>
      <c r="BN1890" s="8">
        <v>4934389.6082044449</v>
      </c>
      <c r="BO1890" s="8">
        <v>9251791.3508799057</v>
      </c>
      <c r="BP1890" s="8">
        <v>2438539.0988836465</v>
      </c>
      <c r="BQ1890" s="8">
        <v>-6813252.2519962592</v>
      </c>
      <c r="BR1890" s="8" t="str">
        <v>Yes</v>
      </c>
    </row>
    <row r="1891" spans="54:70" x14ac:dyDescent="0.2">
      <c r="BB1891" s="94"/>
      <c r="BL1891" s="8">
        <v>1842</v>
      </c>
      <c r="BM1891" s="8">
        <v>6529316.4917253135</v>
      </c>
      <c r="BN1891" s="8">
        <v>7198287.3786991825</v>
      </c>
      <c r="BO1891" s="8">
        <v>13727603.870424496</v>
      </c>
      <c r="BP1891" s="8">
        <v>3071638.2187853116</v>
      </c>
      <c r="BQ1891" s="8">
        <v>-10655965.651639184</v>
      </c>
      <c r="BR1891" s="8" t="str">
        <v>Yes</v>
      </c>
    </row>
    <row r="1892" spans="54:70" x14ac:dyDescent="0.2">
      <c r="BB1892" s="94"/>
      <c r="BL1892" s="8">
        <v>1843</v>
      </c>
      <c r="BM1892" s="8">
        <v>18706628.985873573</v>
      </c>
      <c r="BN1892" s="8">
        <v>0</v>
      </c>
      <c r="BO1892" s="8">
        <v>18706628.985873573</v>
      </c>
      <c r="BP1892" s="8">
        <v>6007313.3699675668</v>
      </c>
      <c r="BQ1892" s="8">
        <v>-12699315.615906006</v>
      </c>
      <c r="BR1892" s="8" t="str">
        <v>Yes</v>
      </c>
    </row>
    <row r="1893" spans="54:70" x14ac:dyDescent="0.2">
      <c r="BB1893" s="94"/>
      <c r="BL1893" s="8">
        <v>1844</v>
      </c>
      <c r="BM1893" s="8">
        <v>4344982.5818779776</v>
      </c>
      <c r="BN1893" s="8">
        <v>3240945.0792108201</v>
      </c>
      <c r="BO1893" s="8">
        <v>7585927.6610887982</v>
      </c>
      <c r="BP1893" s="8">
        <v>6510615.5608813381</v>
      </c>
      <c r="BQ1893" s="8">
        <v>-1075312.1002074601</v>
      </c>
      <c r="BR1893" s="8" t="str">
        <v>Yes</v>
      </c>
    </row>
    <row r="1894" spans="54:70" x14ac:dyDescent="0.2">
      <c r="BB1894" s="94"/>
      <c r="BL1894" s="8">
        <v>1845</v>
      </c>
      <c r="BM1894" s="8">
        <v>2508762.0761927664</v>
      </c>
      <c r="BN1894" s="8">
        <v>0</v>
      </c>
      <c r="BO1894" s="8">
        <v>2508762.0761927664</v>
      </c>
      <c r="BP1894" s="8">
        <v>2191956.1668851352</v>
      </c>
      <c r="BQ1894" s="8">
        <v>-316805.9093076312</v>
      </c>
      <c r="BR1894" s="8" t="str">
        <v>Yes</v>
      </c>
    </row>
    <row r="1895" spans="54:70" x14ac:dyDescent="0.2">
      <c r="BB1895" s="94"/>
      <c r="BL1895" s="8">
        <v>1846</v>
      </c>
      <c r="BM1895" s="8">
        <v>9009947.3644301984</v>
      </c>
      <c r="BN1895" s="8">
        <v>0</v>
      </c>
      <c r="BO1895" s="8">
        <v>9009947.3644301984</v>
      </c>
      <c r="BP1895" s="8">
        <v>2140496.7155200983</v>
      </c>
      <c r="BQ1895" s="8">
        <v>-6869450.6489100996</v>
      </c>
      <c r="BR1895" s="8" t="str">
        <v>Yes</v>
      </c>
    </row>
    <row r="1896" spans="54:70" x14ac:dyDescent="0.2">
      <c r="BB1896" s="94"/>
      <c r="BL1896" s="8">
        <v>1847</v>
      </c>
      <c r="BM1896" s="8">
        <v>7927655.6671403004</v>
      </c>
      <c r="BN1896" s="8">
        <v>7237387.464132268</v>
      </c>
      <c r="BO1896" s="8">
        <v>15165043.131272569</v>
      </c>
      <c r="BP1896" s="8">
        <v>2355039.5789957247</v>
      </c>
      <c r="BQ1896" s="8">
        <v>-12810003.552276844</v>
      </c>
      <c r="BR1896" s="8" t="str">
        <v>Yes</v>
      </c>
    </row>
    <row r="1897" spans="54:70" x14ac:dyDescent="0.2">
      <c r="BB1897" s="94"/>
      <c r="BL1897" s="8">
        <v>1848</v>
      </c>
      <c r="BM1897" s="8">
        <v>3852298.2022789055</v>
      </c>
      <c r="BN1897" s="8">
        <v>0</v>
      </c>
      <c r="BO1897" s="8">
        <v>3852298.2022789055</v>
      </c>
      <c r="BP1897" s="8">
        <v>6929676.7881376836</v>
      </c>
      <c r="BQ1897" s="8">
        <v>3077378.5858587781</v>
      </c>
      <c r="BR1897" s="8" t="str">
        <v>No</v>
      </c>
    </row>
    <row r="1898" spans="54:70" x14ac:dyDescent="0.2">
      <c r="BB1898" s="94"/>
      <c r="BL1898" s="8">
        <v>1849</v>
      </c>
      <c r="BM1898" s="8">
        <v>4424483.901206593</v>
      </c>
      <c r="BN1898" s="8">
        <v>1374165.6975138194</v>
      </c>
      <c r="BO1898" s="8">
        <v>5798649.5987204127</v>
      </c>
      <c r="BP1898" s="8">
        <v>3732246.4331082809</v>
      </c>
      <c r="BQ1898" s="8">
        <v>-2066403.1656121318</v>
      </c>
      <c r="BR1898" s="8" t="str">
        <v>Yes</v>
      </c>
    </row>
    <row r="1899" spans="54:70" x14ac:dyDescent="0.2">
      <c r="BB1899" s="94"/>
      <c r="BL1899" s="8">
        <v>1850</v>
      </c>
      <c r="BM1899" s="8">
        <v>4129124.5486396826</v>
      </c>
      <c r="BN1899" s="8">
        <v>0</v>
      </c>
      <c r="BO1899" s="8">
        <v>4129124.5486396826</v>
      </c>
      <c r="BP1899" s="8">
        <v>6116722.6975495089</v>
      </c>
      <c r="BQ1899" s="8">
        <v>1987598.1489098263</v>
      </c>
      <c r="BR1899" s="8" t="str">
        <v>No</v>
      </c>
    </row>
    <row r="1900" spans="54:70" x14ac:dyDescent="0.2">
      <c r="BB1900" s="94"/>
      <c r="BL1900" s="8">
        <v>1851</v>
      </c>
      <c r="BM1900" s="8">
        <v>4405472.3734622411</v>
      </c>
      <c r="BN1900" s="8">
        <v>1347085.3401101427</v>
      </c>
      <c r="BO1900" s="8">
        <v>5752557.7135723839</v>
      </c>
      <c r="BP1900" s="8">
        <v>6062313.7289812304</v>
      </c>
      <c r="BQ1900" s="8">
        <v>309756.01540884655</v>
      </c>
      <c r="BR1900" s="8" t="str">
        <v>No</v>
      </c>
    </row>
    <row r="1901" spans="54:70" x14ac:dyDescent="0.2">
      <c r="BB1901" s="94"/>
      <c r="BL1901" s="8">
        <v>1852</v>
      </c>
      <c r="BM1901" s="8">
        <v>4371136.2514640624</v>
      </c>
      <c r="BN1901" s="8">
        <v>0</v>
      </c>
      <c r="BO1901" s="8">
        <v>4371136.2514640624</v>
      </c>
      <c r="BP1901" s="8">
        <v>3365783.1754065854</v>
      </c>
      <c r="BQ1901" s="8">
        <v>-1005353.0760574769</v>
      </c>
      <c r="BR1901" s="8" t="str">
        <v>Yes</v>
      </c>
    </row>
    <row r="1902" spans="54:70" x14ac:dyDescent="0.2">
      <c r="BB1902" s="94"/>
      <c r="BL1902" s="8">
        <v>1853</v>
      </c>
      <c r="BM1902" s="8">
        <v>5349643.8211577069</v>
      </c>
      <c r="BN1902" s="8">
        <v>0</v>
      </c>
      <c r="BO1902" s="8">
        <v>5349643.8211577069</v>
      </c>
      <c r="BP1902" s="8">
        <v>3544919.5075019775</v>
      </c>
      <c r="BQ1902" s="8">
        <v>-1804724.3136557294</v>
      </c>
      <c r="BR1902" s="8" t="str">
        <v>Yes</v>
      </c>
    </row>
    <row r="1903" spans="54:70" x14ac:dyDescent="0.2">
      <c r="BB1903" s="94"/>
      <c r="BL1903" s="8">
        <v>1854</v>
      </c>
      <c r="BM1903" s="8">
        <v>3034517.0747714448</v>
      </c>
      <c r="BN1903" s="8">
        <v>0</v>
      </c>
      <c r="BO1903" s="8">
        <v>3034517.0747714448</v>
      </c>
      <c r="BP1903" s="8">
        <v>3385110.8827639795</v>
      </c>
      <c r="BQ1903" s="8">
        <v>350593.80799253471</v>
      </c>
      <c r="BR1903" s="8" t="str">
        <v>No</v>
      </c>
    </row>
    <row r="1904" spans="54:70" x14ac:dyDescent="0.2">
      <c r="BB1904" s="94"/>
      <c r="BL1904" s="8">
        <v>1855</v>
      </c>
      <c r="BM1904" s="8">
        <v>6968735.1532406816</v>
      </c>
      <c r="BN1904" s="8">
        <v>0</v>
      </c>
      <c r="BO1904" s="8">
        <v>6968735.1532406816</v>
      </c>
      <c r="BP1904" s="8">
        <v>6104170.1613375703</v>
      </c>
      <c r="BQ1904" s="8">
        <v>-864564.99190311134</v>
      </c>
      <c r="BR1904" s="8" t="str">
        <v>Yes</v>
      </c>
    </row>
    <row r="1905" spans="54:70" x14ac:dyDescent="0.2">
      <c r="BB1905" s="94"/>
      <c r="BL1905" s="8">
        <v>1856</v>
      </c>
      <c r="BM1905" s="8">
        <v>2609816.1451616422</v>
      </c>
      <c r="BN1905" s="8">
        <v>1612742.732953972</v>
      </c>
      <c r="BO1905" s="8">
        <v>4222558.8781156139</v>
      </c>
      <c r="BP1905" s="8">
        <v>4648054.0759736896</v>
      </c>
      <c r="BQ1905" s="8">
        <v>425495.19785807561</v>
      </c>
      <c r="BR1905" s="8" t="str">
        <v>No</v>
      </c>
    </row>
    <row r="1906" spans="54:70" x14ac:dyDescent="0.2">
      <c r="BB1906" s="94"/>
      <c r="BL1906" s="8">
        <v>1857</v>
      </c>
      <c r="BM1906" s="8">
        <v>1851034.9374614758</v>
      </c>
      <c r="BN1906" s="8">
        <v>0</v>
      </c>
      <c r="BO1906" s="8">
        <v>1851034.9374614758</v>
      </c>
      <c r="BP1906" s="8">
        <v>3278883.4189809947</v>
      </c>
      <c r="BQ1906" s="8">
        <v>1427848.4815195189</v>
      </c>
      <c r="BR1906" s="8" t="str">
        <v>No</v>
      </c>
    </row>
    <row r="1907" spans="54:70" x14ac:dyDescent="0.2">
      <c r="BB1907" s="94"/>
      <c r="BL1907" s="8">
        <v>1858</v>
      </c>
      <c r="BM1907" s="8">
        <v>7903286.2529139817</v>
      </c>
      <c r="BN1907" s="8">
        <v>0</v>
      </c>
      <c r="BO1907" s="8">
        <v>7903286.2529139817</v>
      </c>
      <c r="BP1907" s="8">
        <v>2201422.28801734</v>
      </c>
      <c r="BQ1907" s="8">
        <v>-5701863.9648966417</v>
      </c>
      <c r="BR1907" s="8" t="str">
        <v>Yes</v>
      </c>
    </row>
    <row r="1908" spans="54:70" x14ac:dyDescent="0.2">
      <c r="BB1908" s="94"/>
      <c r="BL1908" s="8">
        <v>1859</v>
      </c>
      <c r="BM1908" s="8">
        <v>6397307.0420152573</v>
      </c>
      <c r="BN1908" s="8">
        <v>0</v>
      </c>
      <c r="BO1908" s="8">
        <v>6397307.0420152573</v>
      </c>
      <c r="BP1908" s="8">
        <v>2522416.3102884097</v>
      </c>
      <c r="BQ1908" s="8">
        <v>-3874890.7317268476</v>
      </c>
      <c r="BR1908" s="8" t="str">
        <v>Yes</v>
      </c>
    </row>
    <row r="1909" spans="54:70" x14ac:dyDescent="0.2">
      <c r="BB1909" s="94"/>
      <c r="BL1909" s="8">
        <v>1860</v>
      </c>
      <c r="BM1909" s="8">
        <v>5987769.8622153327</v>
      </c>
      <c r="BN1909" s="8">
        <v>4431727.6542395046</v>
      </c>
      <c r="BO1909" s="8">
        <v>10419497.516454838</v>
      </c>
      <c r="BP1909" s="8">
        <v>5867532.5041983537</v>
      </c>
      <c r="BQ1909" s="8">
        <v>-4551965.0122564845</v>
      </c>
      <c r="BR1909" s="8" t="str">
        <v>Yes</v>
      </c>
    </row>
    <row r="1910" spans="54:70" x14ac:dyDescent="0.2">
      <c r="BB1910" s="94"/>
      <c r="BL1910" s="8">
        <v>1861</v>
      </c>
      <c r="BM1910" s="8">
        <v>4764790.0137051493</v>
      </c>
      <c r="BN1910" s="8">
        <v>0</v>
      </c>
      <c r="BO1910" s="8">
        <v>4764790.0137051493</v>
      </c>
      <c r="BP1910" s="8">
        <v>2210195.5436935243</v>
      </c>
      <c r="BQ1910" s="8">
        <v>-2554594.470011625</v>
      </c>
      <c r="BR1910" s="8" t="str">
        <v>Yes</v>
      </c>
    </row>
    <row r="1911" spans="54:70" x14ac:dyDescent="0.2">
      <c r="BB1911" s="94"/>
      <c r="BL1911" s="8">
        <v>1862</v>
      </c>
      <c r="BM1911" s="8">
        <v>3247928.6233386379</v>
      </c>
      <c r="BN1911" s="8">
        <v>1997537.1117204013</v>
      </c>
      <c r="BO1911" s="8">
        <v>5245465.7350590397</v>
      </c>
      <c r="BP1911" s="8">
        <v>2171506.9086518567</v>
      </c>
      <c r="BQ1911" s="8">
        <v>-3073958.826407183</v>
      </c>
      <c r="BR1911" s="8" t="str">
        <v>Yes</v>
      </c>
    </row>
    <row r="1912" spans="54:70" x14ac:dyDescent="0.2">
      <c r="BB1912" s="94"/>
      <c r="BL1912" s="8">
        <v>1863</v>
      </c>
      <c r="BM1912" s="8">
        <v>1987437.7574653761</v>
      </c>
      <c r="BN1912" s="8">
        <v>0</v>
      </c>
      <c r="BO1912" s="8">
        <v>1987437.7574653761</v>
      </c>
      <c r="BP1912" s="8">
        <v>6519234.5638959249</v>
      </c>
      <c r="BQ1912" s="8">
        <v>4531796.8064305484</v>
      </c>
      <c r="BR1912" s="8" t="str">
        <v>No</v>
      </c>
    </row>
    <row r="1913" spans="54:70" x14ac:dyDescent="0.2">
      <c r="BB1913" s="94"/>
      <c r="BL1913" s="8">
        <v>1864</v>
      </c>
      <c r="BM1913" s="8">
        <v>9826553.5328405313</v>
      </c>
      <c r="BN1913" s="8">
        <v>0</v>
      </c>
      <c r="BO1913" s="8">
        <v>9826553.5328405313</v>
      </c>
      <c r="BP1913" s="8">
        <v>5815951.9239849765</v>
      </c>
      <c r="BQ1913" s="8">
        <v>-4010601.6088555548</v>
      </c>
      <c r="BR1913" s="8" t="str">
        <v>Yes</v>
      </c>
    </row>
    <row r="1914" spans="54:70" x14ac:dyDescent="0.2">
      <c r="BB1914" s="94"/>
      <c r="BL1914" s="8">
        <v>1865</v>
      </c>
      <c r="BM1914" s="8">
        <v>2151097.7039090069</v>
      </c>
      <c r="BN1914" s="8">
        <v>0</v>
      </c>
      <c r="BO1914" s="8">
        <v>2151097.7039090069</v>
      </c>
      <c r="BP1914" s="8">
        <v>4199372.9229783202</v>
      </c>
      <c r="BQ1914" s="8">
        <v>2048275.2190693133</v>
      </c>
      <c r="BR1914" s="8" t="str">
        <v>No</v>
      </c>
    </row>
    <row r="1915" spans="54:70" x14ac:dyDescent="0.2">
      <c r="BB1915" s="94"/>
      <c r="BL1915" s="8">
        <v>1866</v>
      </c>
      <c r="BM1915" s="8">
        <v>4587473.3232203415</v>
      </c>
      <c r="BN1915" s="8">
        <v>5402398.3539353888</v>
      </c>
      <c r="BO1915" s="8">
        <v>9989871.6771557294</v>
      </c>
      <c r="BP1915" s="8">
        <v>3390464.763351392</v>
      </c>
      <c r="BQ1915" s="8">
        <v>-6599406.9138043374</v>
      </c>
      <c r="BR1915" s="8" t="str">
        <v>Yes</v>
      </c>
    </row>
    <row r="1916" spans="54:70" x14ac:dyDescent="0.2">
      <c r="BB1916" s="94"/>
      <c r="BL1916" s="8">
        <v>1867</v>
      </c>
      <c r="BM1916" s="8">
        <v>6142107.0769897737</v>
      </c>
      <c r="BN1916" s="8">
        <v>1880493.0891639332</v>
      </c>
      <c r="BO1916" s="8">
        <v>8022600.1661537066</v>
      </c>
      <c r="BP1916" s="8">
        <v>6339135.5065716878</v>
      </c>
      <c r="BQ1916" s="8">
        <v>-1683464.6595820189</v>
      </c>
      <c r="BR1916" s="8" t="str">
        <v>Yes</v>
      </c>
    </row>
    <row r="1917" spans="54:70" x14ac:dyDescent="0.2">
      <c r="BB1917" s="94"/>
      <c r="BL1917" s="8">
        <v>1868</v>
      </c>
      <c r="BM1917" s="8">
        <v>4947513.9197769603</v>
      </c>
      <c r="BN1917" s="8">
        <v>0</v>
      </c>
      <c r="BO1917" s="8">
        <v>4947513.9197769603</v>
      </c>
      <c r="BP1917" s="8">
        <v>3407160.997187179</v>
      </c>
      <c r="BQ1917" s="8">
        <v>-1540352.9225897812</v>
      </c>
      <c r="BR1917" s="8" t="str">
        <v>Yes</v>
      </c>
    </row>
    <row r="1918" spans="54:70" x14ac:dyDescent="0.2">
      <c r="BB1918" s="94"/>
      <c r="BL1918" s="8">
        <v>1869</v>
      </c>
      <c r="BM1918" s="8">
        <v>3347312.3606780726</v>
      </c>
      <c r="BN1918" s="8">
        <v>1544677.5200242558</v>
      </c>
      <c r="BO1918" s="8">
        <v>4891989.8807023279</v>
      </c>
      <c r="BP1918" s="8">
        <v>3237886.1614157404</v>
      </c>
      <c r="BQ1918" s="8">
        <v>-1654103.7192865876</v>
      </c>
      <c r="BR1918" s="8" t="str">
        <v>Yes</v>
      </c>
    </row>
    <row r="1919" spans="54:70" x14ac:dyDescent="0.2">
      <c r="BB1919" s="94"/>
      <c r="BL1919" s="8">
        <v>1870</v>
      </c>
      <c r="BM1919" s="8">
        <v>3889908.0363876233</v>
      </c>
      <c r="BN1919" s="8">
        <v>5298067.2363107484</v>
      </c>
      <c r="BO1919" s="8">
        <v>9187975.2726983726</v>
      </c>
      <c r="BP1919" s="8">
        <v>2307810.6002998976</v>
      </c>
      <c r="BQ1919" s="8">
        <v>-6880164.672398475</v>
      </c>
      <c r="BR1919" s="8" t="str">
        <v>Yes</v>
      </c>
    </row>
    <row r="1920" spans="54:70" x14ac:dyDescent="0.2">
      <c r="BB1920" s="94"/>
      <c r="BL1920" s="8">
        <v>1871</v>
      </c>
      <c r="BM1920" s="8">
        <v>1771179.4065325197</v>
      </c>
      <c r="BN1920" s="8">
        <v>0</v>
      </c>
      <c r="BO1920" s="8">
        <v>1771179.4065325197</v>
      </c>
      <c r="BP1920" s="8">
        <v>2306732.0613298654</v>
      </c>
      <c r="BQ1920" s="8">
        <v>535552.65479734563</v>
      </c>
      <c r="BR1920" s="8" t="str">
        <v>No</v>
      </c>
    </row>
    <row r="1921" spans="54:70" x14ac:dyDescent="0.2">
      <c r="BB1921" s="94"/>
      <c r="BL1921" s="8">
        <v>1872</v>
      </c>
      <c r="BM1921" s="8">
        <v>4674947.4093948007</v>
      </c>
      <c r="BN1921" s="8">
        <v>3101620.1032755156</v>
      </c>
      <c r="BO1921" s="8">
        <v>7776567.5126703158</v>
      </c>
      <c r="BP1921" s="8">
        <v>3444607.6437477279</v>
      </c>
      <c r="BQ1921" s="8">
        <v>-4331959.8689225875</v>
      </c>
      <c r="BR1921" s="8" t="str">
        <v>Yes</v>
      </c>
    </row>
    <row r="1922" spans="54:70" x14ac:dyDescent="0.2">
      <c r="BB1922" s="94"/>
      <c r="BL1922" s="8">
        <v>1873</v>
      </c>
      <c r="BM1922" s="8">
        <v>4183548.1109431824</v>
      </c>
      <c r="BN1922" s="8">
        <v>0</v>
      </c>
      <c r="BO1922" s="8">
        <v>4183548.1109431824</v>
      </c>
      <c r="BP1922" s="8">
        <v>3370749.9534206707</v>
      </c>
      <c r="BQ1922" s="8">
        <v>-812798.15752251167</v>
      </c>
      <c r="BR1922" s="8" t="str">
        <v>Yes</v>
      </c>
    </row>
    <row r="1923" spans="54:70" x14ac:dyDescent="0.2">
      <c r="BB1923" s="94"/>
      <c r="BL1923" s="8">
        <v>1874</v>
      </c>
      <c r="BM1923" s="8">
        <v>3231624.5072734067</v>
      </c>
      <c r="BN1923" s="8">
        <v>0</v>
      </c>
      <c r="BO1923" s="8">
        <v>3231624.5072734067</v>
      </c>
      <c r="BP1923" s="8">
        <v>4175304.3765442758</v>
      </c>
      <c r="BQ1923" s="8">
        <v>943679.86927086907</v>
      </c>
      <c r="BR1923" s="8" t="str">
        <v>No</v>
      </c>
    </row>
    <row r="1924" spans="54:70" x14ac:dyDescent="0.2">
      <c r="BB1924" s="94"/>
      <c r="BL1924" s="8">
        <v>1875</v>
      </c>
      <c r="BM1924" s="8">
        <v>4424915.9171006065</v>
      </c>
      <c r="BN1924" s="8">
        <v>2936997.5919809327</v>
      </c>
      <c r="BO1924" s="8">
        <v>7361913.5090815388</v>
      </c>
      <c r="BP1924" s="8">
        <v>3921185.8653556597</v>
      </c>
      <c r="BQ1924" s="8">
        <v>-3440727.643725879</v>
      </c>
      <c r="BR1924" s="8" t="str">
        <v>Yes</v>
      </c>
    </row>
    <row r="1925" spans="54:70" x14ac:dyDescent="0.2">
      <c r="BB1925" s="94"/>
      <c r="BL1925" s="8">
        <v>1876</v>
      </c>
      <c r="BM1925" s="8">
        <v>4853463.3273012927</v>
      </c>
      <c r="BN1925" s="8">
        <v>3168558.0905765225</v>
      </c>
      <c r="BO1925" s="8">
        <v>8022021.4178778157</v>
      </c>
      <c r="BP1925" s="8">
        <v>6078687.4380188249</v>
      </c>
      <c r="BQ1925" s="8">
        <v>-1943333.9798589908</v>
      </c>
      <c r="BR1925" s="8" t="str">
        <v>Yes</v>
      </c>
    </row>
    <row r="1926" spans="54:70" x14ac:dyDescent="0.2">
      <c r="BB1926" s="94"/>
      <c r="BL1926" s="8">
        <v>1877</v>
      </c>
      <c r="BM1926" s="8">
        <v>2900112.5688985633</v>
      </c>
      <c r="BN1926" s="8">
        <v>0</v>
      </c>
      <c r="BO1926" s="8">
        <v>2900112.5688985633</v>
      </c>
      <c r="BP1926" s="8">
        <v>5991135.3217396177</v>
      </c>
      <c r="BQ1926" s="8">
        <v>3091022.7528410545</v>
      </c>
      <c r="BR1926" s="8" t="str">
        <v>No</v>
      </c>
    </row>
    <row r="1927" spans="54:70" x14ac:dyDescent="0.2">
      <c r="BB1927" s="94"/>
      <c r="BL1927" s="8">
        <v>1878</v>
      </c>
      <c r="BM1927" s="8">
        <v>3168707.795699806</v>
      </c>
      <c r="BN1927" s="8">
        <v>1230950.7534771091</v>
      </c>
      <c r="BO1927" s="8">
        <v>4399658.5491769146</v>
      </c>
      <c r="BP1927" s="8">
        <v>3496253.2191853626</v>
      </c>
      <c r="BQ1927" s="8">
        <v>-903405.32999155205</v>
      </c>
      <c r="BR1927" s="8" t="str">
        <v>Yes</v>
      </c>
    </row>
    <row r="1928" spans="54:70" x14ac:dyDescent="0.2">
      <c r="BB1928" s="94"/>
      <c r="BL1928" s="8">
        <v>1879</v>
      </c>
      <c r="BM1928" s="8">
        <v>3575551.9493500707</v>
      </c>
      <c r="BN1928" s="8">
        <v>4249767.630301008</v>
      </c>
      <c r="BO1928" s="8">
        <v>7825319.5796510782</v>
      </c>
      <c r="BP1928" s="8">
        <v>3247661.8322475408</v>
      </c>
      <c r="BQ1928" s="8">
        <v>-4577657.7474035379</v>
      </c>
      <c r="BR1928" s="8" t="str">
        <v>Yes</v>
      </c>
    </row>
    <row r="1929" spans="54:70" x14ac:dyDescent="0.2">
      <c r="BB1929" s="94"/>
      <c r="BL1929" s="8">
        <v>1880</v>
      </c>
      <c r="BM1929" s="8">
        <v>2662940.0354271736</v>
      </c>
      <c r="BN1929" s="8">
        <v>0</v>
      </c>
      <c r="BO1929" s="8">
        <v>2662940.0354271736</v>
      </c>
      <c r="BP1929" s="8">
        <v>3249748.8820694266</v>
      </c>
      <c r="BQ1929" s="8">
        <v>586808.84664225299</v>
      </c>
      <c r="BR1929" s="8" t="str">
        <v>No</v>
      </c>
    </row>
    <row r="1930" spans="54:70" x14ac:dyDescent="0.2">
      <c r="BB1930" s="94"/>
      <c r="BL1930" s="8">
        <v>1881</v>
      </c>
      <c r="BM1930" s="8">
        <v>7896944.4127533752</v>
      </c>
      <c r="BN1930" s="8">
        <v>4380351.2589603793</v>
      </c>
      <c r="BO1930" s="8">
        <v>12277295.671713755</v>
      </c>
      <c r="BP1930" s="8">
        <v>6009999.2540927976</v>
      </c>
      <c r="BQ1930" s="8">
        <v>-6267296.4176209569</v>
      </c>
      <c r="BR1930" s="8" t="str">
        <v>Yes</v>
      </c>
    </row>
    <row r="1931" spans="54:70" x14ac:dyDescent="0.2">
      <c r="BB1931" s="94"/>
      <c r="BL1931" s="8">
        <v>1882</v>
      </c>
      <c r="BM1931" s="8">
        <v>5265235.9037121478</v>
      </c>
      <c r="BN1931" s="8">
        <v>0</v>
      </c>
      <c r="BO1931" s="8">
        <v>5265235.9037121478</v>
      </c>
      <c r="BP1931" s="8">
        <v>2185481.9262194321</v>
      </c>
      <c r="BQ1931" s="8">
        <v>-3079753.9774927157</v>
      </c>
      <c r="BR1931" s="8" t="str">
        <v>Yes</v>
      </c>
    </row>
    <row r="1932" spans="54:70" x14ac:dyDescent="0.2">
      <c r="BB1932" s="94"/>
      <c r="BL1932" s="8">
        <v>1883</v>
      </c>
      <c r="BM1932" s="8">
        <v>4341673.9142688848</v>
      </c>
      <c r="BN1932" s="8">
        <v>1915009.755870953</v>
      </c>
      <c r="BO1932" s="8">
        <v>6256683.670139838</v>
      </c>
      <c r="BP1932" s="8">
        <v>7032968.0010264935</v>
      </c>
      <c r="BQ1932" s="8">
        <v>776284.33088665549</v>
      </c>
      <c r="BR1932" s="8" t="str">
        <v>No</v>
      </c>
    </row>
    <row r="1933" spans="54:70" x14ac:dyDescent="0.2">
      <c r="BB1933" s="94"/>
      <c r="BL1933" s="8">
        <v>1884</v>
      </c>
      <c r="BM1933" s="8">
        <v>2342848.2261266895</v>
      </c>
      <c r="BN1933" s="8">
        <v>0</v>
      </c>
      <c r="BO1933" s="8">
        <v>2342848.2261266895</v>
      </c>
      <c r="BP1933" s="8">
        <v>3382821.2811581055</v>
      </c>
      <c r="BQ1933" s="8">
        <v>1039973.055031416</v>
      </c>
      <c r="BR1933" s="8" t="str">
        <v>No</v>
      </c>
    </row>
    <row r="1934" spans="54:70" x14ac:dyDescent="0.2">
      <c r="BB1934" s="94"/>
      <c r="BL1934" s="8">
        <v>1885</v>
      </c>
      <c r="BM1934" s="8">
        <v>6524274.7140650563</v>
      </c>
      <c r="BN1934" s="8">
        <v>6336752.1321049221</v>
      </c>
      <c r="BO1934" s="8">
        <v>12861026.846169978</v>
      </c>
      <c r="BP1934" s="8">
        <v>6455826.7233119505</v>
      </c>
      <c r="BQ1934" s="8">
        <v>-6405200.1228580279</v>
      </c>
      <c r="BR1934" s="8" t="str">
        <v>Yes</v>
      </c>
    </row>
    <row r="1935" spans="54:70" x14ac:dyDescent="0.2">
      <c r="BB1935" s="94"/>
      <c r="BL1935" s="8">
        <v>1886</v>
      </c>
      <c r="BM1935" s="8">
        <v>5964113.2992741819</v>
      </c>
      <c r="BN1935" s="8">
        <v>4366184.0693641677</v>
      </c>
      <c r="BO1935" s="8">
        <v>10330297.36863835</v>
      </c>
      <c r="BP1935" s="8">
        <v>4356853.2354786033</v>
      </c>
      <c r="BQ1935" s="8">
        <v>-5973444.1331597464</v>
      </c>
      <c r="BR1935" s="8" t="str">
        <v>Yes</v>
      </c>
    </row>
    <row r="1936" spans="54:70" x14ac:dyDescent="0.2">
      <c r="BB1936" s="94"/>
      <c r="BL1936" s="8">
        <v>1887</v>
      </c>
      <c r="BM1936" s="8">
        <v>2367891.8245313885</v>
      </c>
      <c r="BN1936" s="8">
        <v>2776538.4182622707</v>
      </c>
      <c r="BO1936" s="8">
        <v>5144430.2427936587</v>
      </c>
      <c r="BP1936" s="8">
        <v>2362234.0318485992</v>
      </c>
      <c r="BQ1936" s="8">
        <v>-2782196.2109450595</v>
      </c>
      <c r="BR1936" s="8" t="str">
        <v>Yes</v>
      </c>
    </row>
    <row r="1937" spans="54:70" x14ac:dyDescent="0.2">
      <c r="BB1937" s="94"/>
      <c r="BL1937" s="8">
        <v>1888</v>
      </c>
      <c r="BM1937" s="8">
        <v>8605394.0065681934</v>
      </c>
      <c r="BN1937" s="8">
        <v>0</v>
      </c>
      <c r="BO1937" s="8">
        <v>8605394.0065681934</v>
      </c>
      <c r="BP1937" s="8">
        <v>6121680.4556324957</v>
      </c>
      <c r="BQ1937" s="8">
        <v>-2483713.5509356977</v>
      </c>
      <c r="BR1937" s="8" t="str">
        <v>Yes</v>
      </c>
    </row>
    <row r="1938" spans="54:70" x14ac:dyDescent="0.2">
      <c r="BB1938" s="94"/>
      <c r="BL1938" s="8">
        <v>1889</v>
      </c>
      <c r="BM1938" s="8">
        <v>13662529.480989793</v>
      </c>
      <c r="BN1938" s="8">
        <v>0</v>
      </c>
      <c r="BO1938" s="8">
        <v>13662529.480989793</v>
      </c>
      <c r="BP1938" s="8">
        <v>6065014.7247435404</v>
      </c>
      <c r="BQ1938" s="8">
        <v>-7597514.7562462529</v>
      </c>
      <c r="BR1938" s="8" t="str">
        <v>Yes</v>
      </c>
    </row>
    <row r="1939" spans="54:70" x14ac:dyDescent="0.2">
      <c r="BB1939" s="94"/>
      <c r="BL1939" s="8">
        <v>1890</v>
      </c>
      <c r="BM1939" s="8">
        <v>1853999.0750825966</v>
      </c>
      <c r="BN1939" s="8">
        <v>0</v>
      </c>
      <c r="BO1939" s="8">
        <v>1853999.0750825966</v>
      </c>
      <c r="BP1939" s="8">
        <v>5974670.5804208145</v>
      </c>
      <c r="BQ1939" s="8">
        <v>4120671.5053382181</v>
      </c>
      <c r="BR1939" s="8" t="str">
        <v>No</v>
      </c>
    </row>
    <row r="1940" spans="54:70" x14ac:dyDescent="0.2">
      <c r="BB1940" s="94"/>
      <c r="BL1940" s="8">
        <v>1891</v>
      </c>
      <c r="BM1940" s="8">
        <v>3932758.3426956204</v>
      </c>
      <c r="BN1940" s="8">
        <v>2863970.2354252944</v>
      </c>
      <c r="BO1940" s="8">
        <v>6796728.5781209152</v>
      </c>
      <c r="BP1940" s="8">
        <v>4473852.840859687</v>
      </c>
      <c r="BQ1940" s="8">
        <v>-2322875.7372612283</v>
      </c>
      <c r="BR1940" s="8" t="str">
        <v>Yes</v>
      </c>
    </row>
    <row r="1941" spans="54:70" x14ac:dyDescent="0.2">
      <c r="BB1941" s="94"/>
      <c r="BL1941" s="8">
        <v>1892</v>
      </c>
      <c r="BM1941" s="8">
        <v>4537587.8938199906</v>
      </c>
      <c r="BN1941" s="8">
        <v>0</v>
      </c>
      <c r="BO1941" s="8">
        <v>4537587.8938199906</v>
      </c>
      <c r="BP1941" s="8">
        <v>2312371.2379279793</v>
      </c>
      <c r="BQ1941" s="8">
        <v>-2225216.6558920112</v>
      </c>
      <c r="BR1941" s="8" t="str">
        <v>Yes</v>
      </c>
    </row>
    <row r="1942" spans="54:70" x14ac:dyDescent="0.2">
      <c r="BB1942" s="94"/>
      <c r="BL1942" s="8">
        <v>1893</v>
      </c>
      <c r="BM1942" s="8">
        <v>11529083.964527436</v>
      </c>
      <c r="BN1942" s="8">
        <v>0</v>
      </c>
      <c r="BO1942" s="8">
        <v>11529083.964527436</v>
      </c>
      <c r="BP1942" s="8">
        <v>3413300.9496722771</v>
      </c>
      <c r="BQ1942" s="8">
        <v>-8115783.0148551585</v>
      </c>
      <c r="BR1942" s="8" t="str">
        <v>Yes</v>
      </c>
    </row>
    <row r="1943" spans="54:70" x14ac:dyDescent="0.2">
      <c r="BB1943" s="94"/>
      <c r="BL1943" s="8">
        <v>1894</v>
      </c>
      <c r="BM1943" s="8">
        <v>1798040.7429819582</v>
      </c>
      <c r="BN1943" s="8">
        <v>863002.53074575588</v>
      </c>
      <c r="BO1943" s="8">
        <v>2661043.2737277141</v>
      </c>
      <c r="BP1943" s="8">
        <v>4715180.7350949515</v>
      </c>
      <c r="BQ1943" s="8">
        <v>2054137.4613672374</v>
      </c>
      <c r="BR1943" s="8" t="str">
        <v>No</v>
      </c>
    </row>
    <row r="1944" spans="54:70" x14ac:dyDescent="0.2">
      <c r="BB1944" s="94"/>
      <c r="BL1944" s="8">
        <v>1895</v>
      </c>
      <c r="BM1944" s="8">
        <v>6929457.8404790312</v>
      </c>
      <c r="BN1944" s="8">
        <v>8459886.2742338404</v>
      </c>
      <c r="BO1944" s="8">
        <v>15389344.114712872</v>
      </c>
      <c r="BP1944" s="8">
        <v>4443142.2192907007</v>
      </c>
      <c r="BQ1944" s="8">
        <v>-10946201.895422172</v>
      </c>
      <c r="BR1944" s="8" t="str">
        <v>Yes</v>
      </c>
    </row>
    <row r="1945" spans="54:70" x14ac:dyDescent="0.2">
      <c r="BB1945" s="94"/>
      <c r="BL1945" s="8">
        <v>1896</v>
      </c>
      <c r="BM1945" s="8">
        <v>8273630.5113862585</v>
      </c>
      <c r="BN1945" s="8">
        <v>0</v>
      </c>
      <c r="BO1945" s="8">
        <v>8273630.5113862585</v>
      </c>
      <c r="BP1945" s="8">
        <v>4198745.6038893433</v>
      </c>
      <c r="BQ1945" s="8">
        <v>-4074884.9074969152</v>
      </c>
      <c r="BR1945" s="8" t="str">
        <v>Yes</v>
      </c>
    </row>
    <row r="1946" spans="54:70" x14ac:dyDescent="0.2">
      <c r="BB1946" s="94"/>
      <c r="BL1946" s="8">
        <v>1897</v>
      </c>
      <c r="BM1946" s="8">
        <v>2914270.7043937929</v>
      </c>
      <c r="BN1946" s="8">
        <v>0</v>
      </c>
      <c r="BO1946" s="8">
        <v>2914270.7043937929</v>
      </c>
      <c r="BP1946" s="8">
        <v>4240179.8463643324</v>
      </c>
      <c r="BQ1946" s="8">
        <v>1325909.1419705395</v>
      </c>
      <c r="BR1946" s="8" t="str">
        <v>No</v>
      </c>
    </row>
    <row r="1947" spans="54:70" x14ac:dyDescent="0.2">
      <c r="BB1947" s="94"/>
      <c r="BL1947" s="8">
        <v>1898</v>
      </c>
      <c r="BM1947" s="8">
        <v>7065935.8344503557</v>
      </c>
      <c r="BN1947" s="8">
        <v>8526561.9194661528</v>
      </c>
      <c r="BO1947" s="8">
        <v>15592497.753916509</v>
      </c>
      <c r="BP1947" s="8">
        <v>3217836.0686180615</v>
      </c>
      <c r="BQ1947" s="8">
        <v>-12374661.685298448</v>
      </c>
      <c r="BR1947" s="8" t="str">
        <v>Yes</v>
      </c>
    </row>
    <row r="1948" spans="54:70" x14ac:dyDescent="0.2">
      <c r="BB1948" s="94"/>
      <c r="BL1948" s="8">
        <v>1899</v>
      </c>
      <c r="BM1948" s="8">
        <v>4322420.6259566061</v>
      </c>
      <c r="BN1948" s="8">
        <v>6111648.0628952794</v>
      </c>
      <c r="BO1948" s="8">
        <v>10434068.688851885</v>
      </c>
      <c r="BP1948" s="8">
        <v>2263994.7178421374</v>
      </c>
      <c r="BQ1948" s="8">
        <v>-8170073.9710097481</v>
      </c>
      <c r="BR1948" s="8" t="str">
        <v>Yes</v>
      </c>
    </row>
    <row r="1949" spans="54:70" x14ac:dyDescent="0.2">
      <c r="BB1949" s="94"/>
      <c r="BL1949" s="8">
        <v>1900</v>
      </c>
      <c r="BM1949" s="8">
        <v>2413573.9543562867</v>
      </c>
      <c r="BN1949" s="8">
        <v>0</v>
      </c>
      <c r="BO1949" s="8">
        <v>2413573.9543562867</v>
      </c>
      <c r="BP1949" s="8">
        <v>2386063.499158713</v>
      </c>
      <c r="BQ1949" s="8">
        <v>-27510.455197573639</v>
      </c>
      <c r="BR1949" s="8" t="str">
        <v>Yes</v>
      </c>
    </row>
    <row r="1950" spans="54:70" x14ac:dyDescent="0.2">
      <c r="BB1950" s="94"/>
      <c r="BL1950" s="8">
        <v>1901</v>
      </c>
      <c r="BM1950" s="8">
        <v>9096627.4784546662</v>
      </c>
      <c r="BN1950" s="8">
        <v>0</v>
      </c>
      <c r="BO1950" s="8">
        <v>9096627.4784546662</v>
      </c>
      <c r="BP1950" s="8">
        <v>4418217.8864940042</v>
      </c>
      <c r="BQ1950" s="8">
        <v>-4678409.591960662</v>
      </c>
      <c r="BR1950" s="8" t="str">
        <v>Yes</v>
      </c>
    </row>
    <row r="1951" spans="54:70" x14ac:dyDescent="0.2">
      <c r="BB1951" s="94"/>
      <c r="BL1951" s="8">
        <v>1902</v>
      </c>
      <c r="BM1951" s="8">
        <v>4657629.3743902789</v>
      </c>
      <c r="BN1951" s="8">
        <v>0</v>
      </c>
      <c r="BO1951" s="8">
        <v>4657629.3743902789</v>
      </c>
      <c r="BP1951" s="8">
        <v>6834677.6704670331</v>
      </c>
      <c r="BQ1951" s="8">
        <v>2177048.2960767541</v>
      </c>
      <c r="BR1951" s="8" t="str">
        <v>No</v>
      </c>
    </row>
    <row r="1952" spans="54:70" x14ac:dyDescent="0.2">
      <c r="BB1952" s="94"/>
      <c r="BL1952" s="8">
        <v>1903</v>
      </c>
      <c r="BM1952" s="8">
        <v>1821478.9852412306</v>
      </c>
      <c r="BN1952" s="8">
        <v>0</v>
      </c>
      <c r="BO1952" s="8">
        <v>1821478.9852412306</v>
      </c>
      <c r="BP1952" s="8">
        <v>5965608.4326554649</v>
      </c>
      <c r="BQ1952" s="8">
        <v>4144129.4474142343</v>
      </c>
      <c r="BR1952" s="8" t="str">
        <v>No</v>
      </c>
    </row>
    <row r="1953" spans="54:70" x14ac:dyDescent="0.2">
      <c r="BB1953" s="94"/>
      <c r="BL1953" s="8">
        <v>1904</v>
      </c>
      <c r="BM1953" s="8">
        <v>3684100.4815158257</v>
      </c>
      <c r="BN1953" s="8">
        <v>1670917.9855364298</v>
      </c>
      <c r="BO1953" s="8">
        <v>5355018.4670522558</v>
      </c>
      <c r="BP1953" s="8">
        <v>4551074.2569096023</v>
      </c>
      <c r="BQ1953" s="8">
        <v>-803944.21014265344</v>
      </c>
      <c r="BR1953" s="8" t="str">
        <v>Yes</v>
      </c>
    </row>
    <row r="1954" spans="54:70" x14ac:dyDescent="0.2">
      <c r="BB1954" s="94"/>
      <c r="BL1954" s="8">
        <v>1905</v>
      </c>
      <c r="BM1954" s="8">
        <v>2062867.0670736805</v>
      </c>
      <c r="BN1954" s="8">
        <v>0</v>
      </c>
      <c r="BO1954" s="8">
        <v>2062867.0670736805</v>
      </c>
      <c r="BP1954" s="8">
        <v>3505335.0115844393</v>
      </c>
      <c r="BQ1954" s="8">
        <v>1442467.9445107589</v>
      </c>
      <c r="BR1954" s="8" t="str">
        <v>No</v>
      </c>
    </row>
    <row r="1955" spans="54:70" x14ac:dyDescent="0.2">
      <c r="BB1955" s="94"/>
      <c r="BL1955" s="8">
        <v>1906</v>
      </c>
      <c r="BM1955" s="8">
        <v>3192527.1798219113</v>
      </c>
      <c r="BN1955" s="8">
        <v>0</v>
      </c>
      <c r="BO1955" s="8">
        <v>3192527.1798219113</v>
      </c>
      <c r="BP1955" s="8">
        <v>6852596.3746925835</v>
      </c>
      <c r="BQ1955" s="8">
        <v>3660069.1948706722</v>
      </c>
      <c r="BR1955" s="8" t="str">
        <v>No</v>
      </c>
    </row>
    <row r="1956" spans="54:70" x14ac:dyDescent="0.2">
      <c r="BB1956" s="94"/>
      <c r="BL1956" s="8">
        <v>1907</v>
      </c>
      <c r="BM1956" s="8">
        <v>3576320.8775163833</v>
      </c>
      <c r="BN1956" s="8">
        <v>0</v>
      </c>
      <c r="BO1956" s="8">
        <v>3576320.8775163833</v>
      </c>
      <c r="BP1956" s="8">
        <v>6605258.0291221868</v>
      </c>
      <c r="BQ1956" s="8">
        <v>3028937.1516058035</v>
      </c>
      <c r="BR1956" s="8" t="str">
        <v>No</v>
      </c>
    </row>
    <row r="1957" spans="54:70" x14ac:dyDescent="0.2">
      <c r="BB1957" s="94"/>
      <c r="BL1957" s="8">
        <v>1908</v>
      </c>
      <c r="BM1957" s="8">
        <v>3272688.0213532797</v>
      </c>
      <c r="BN1957" s="8">
        <v>0</v>
      </c>
      <c r="BO1957" s="8">
        <v>3272688.0213532797</v>
      </c>
      <c r="BP1957" s="8">
        <v>4303826.3575234301</v>
      </c>
      <c r="BQ1957" s="8">
        <v>1031138.3361701504</v>
      </c>
      <c r="BR1957" s="8" t="str">
        <v>No</v>
      </c>
    </row>
    <row r="1958" spans="54:70" x14ac:dyDescent="0.2">
      <c r="BB1958" s="94"/>
      <c r="BL1958" s="8">
        <v>1909</v>
      </c>
      <c r="BM1958" s="8">
        <v>3480755.5091661145</v>
      </c>
      <c r="BN1958" s="8">
        <v>1422588.7657774228</v>
      </c>
      <c r="BO1958" s="8">
        <v>4903344.2749435371</v>
      </c>
      <c r="BP1958" s="8">
        <v>7129961.8107238393</v>
      </c>
      <c r="BQ1958" s="8">
        <v>2226617.5357803022</v>
      </c>
      <c r="BR1958" s="8" t="str">
        <v>No</v>
      </c>
    </row>
    <row r="1959" spans="54:70" x14ac:dyDescent="0.2">
      <c r="BB1959" s="94"/>
      <c r="BL1959" s="8">
        <v>1910</v>
      </c>
      <c r="BM1959" s="8">
        <v>5649268.3553141626</v>
      </c>
      <c r="BN1959" s="8">
        <v>4832819.6376044219</v>
      </c>
      <c r="BO1959" s="8">
        <v>10482087.992918584</v>
      </c>
      <c r="BP1959" s="8">
        <v>6561304.5445442358</v>
      </c>
      <c r="BQ1959" s="8">
        <v>-3920783.4483743487</v>
      </c>
      <c r="BR1959" s="8" t="str">
        <v>Yes</v>
      </c>
    </row>
    <row r="1960" spans="54:70" x14ac:dyDescent="0.2">
      <c r="BB1960" s="94"/>
      <c r="BL1960" s="8">
        <v>1911</v>
      </c>
      <c r="BM1960" s="8">
        <v>2975237.6055348767</v>
      </c>
      <c r="BN1960" s="8">
        <v>0</v>
      </c>
      <c r="BO1960" s="8">
        <v>2975237.6055348767</v>
      </c>
      <c r="BP1960" s="8">
        <v>2367872.1121133002</v>
      </c>
      <c r="BQ1960" s="8">
        <v>-607365.49342157645</v>
      </c>
      <c r="BR1960" s="8" t="str">
        <v>Yes</v>
      </c>
    </row>
    <row r="1961" spans="54:70" x14ac:dyDescent="0.2">
      <c r="BB1961" s="94"/>
      <c r="BL1961" s="8">
        <v>1912</v>
      </c>
      <c r="BM1961" s="8">
        <v>5296941.5184193831</v>
      </c>
      <c r="BN1961" s="8">
        <v>1448424.0992735298</v>
      </c>
      <c r="BO1961" s="8">
        <v>6745365.6176929129</v>
      </c>
      <c r="BP1961" s="8">
        <v>4062697.1197310425</v>
      </c>
      <c r="BQ1961" s="8">
        <v>-2682668.4979618704</v>
      </c>
      <c r="BR1961" s="8" t="str">
        <v>Yes</v>
      </c>
    </row>
    <row r="1962" spans="54:70" x14ac:dyDescent="0.2">
      <c r="BB1962" s="94"/>
      <c r="BL1962" s="8">
        <v>1913</v>
      </c>
      <c r="BM1962" s="8">
        <v>3883259.7983233277</v>
      </c>
      <c r="BN1962" s="8">
        <v>1589515.4597638417</v>
      </c>
      <c r="BO1962" s="8">
        <v>5472775.2580871694</v>
      </c>
      <c r="BP1962" s="8">
        <v>5824066.5638785046</v>
      </c>
      <c r="BQ1962" s="8">
        <v>351291.30579133518</v>
      </c>
      <c r="BR1962" s="8" t="str">
        <v>No</v>
      </c>
    </row>
    <row r="1963" spans="54:70" x14ac:dyDescent="0.2">
      <c r="BB1963" s="94"/>
      <c r="BL1963" s="8">
        <v>1914</v>
      </c>
      <c r="BM1963" s="8">
        <v>2267987.1750409389</v>
      </c>
      <c r="BN1963" s="8">
        <v>997551.00998043979</v>
      </c>
      <c r="BO1963" s="8">
        <v>3265538.1850213786</v>
      </c>
      <c r="BP1963" s="8">
        <v>6045492.5102099925</v>
      </c>
      <c r="BQ1963" s="8">
        <v>2779954.325188614</v>
      </c>
      <c r="BR1963" s="8" t="str">
        <v>No</v>
      </c>
    </row>
    <row r="1964" spans="54:70" x14ac:dyDescent="0.2">
      <c r="BB1964" s="94"/>
      <c r="BL1964" s="8">
        <v>1915</v>
      </c>
      <c r="BM1964" s="8">
        <v>3606701.7380956355</v>
      </c>
      <c r="BN1964" s="8">
        <v>827079.30592839152</v>
      </c>
      <c r="BO1964" s="8">
        <v>4433781.044024027</v>
      </c>
      <c r="BP1964" s="8">
        <v>2071146.7054260413</v>
      </c>
      <c r="BQ1964" s="8">
        <v>-2362634.3385979859</v>
      </c>
      <c r="BR1964" s="8" t="str">
        <v>Yes</v>
      </c>
    </row>
    <row r="1965" spans="54:70" x14ac:dyDescent="0.2">
      <c r="BB1965" s="94"/>
      <c r="BL1965" s="8">
        <v>1916</v>
      </c>
      <c r="BM1965" s="8">
        <v>3474666.6178983795</v>
      </c>
      <c r="BN1965" s="8">
        <v>0</v>
      </c>
      <c r="BO1965" s="8">
        <v>3474666.6178983795</v>
      </c>
      <c r="BP1965" s="8">
        <v>6594060.9111879244</v>
      </c>
      <c r="BQ1965" s="8">
        <v>3119394.293289545</v>
      </c>
      <c r="BR1965" s="8" t="str">
        <v>No</v>
      </c>
    </row>
    <row r="1966" spans="54:70" x14ac:dyDescent="0.2">
      <c r="BB1966" s="94"/>
      <c r="BL1966" s="8">
        <v>1917</v>
      </c>
      <c r="BM1966" s="8">
        <v>3274586.6229918576</v>
      </c>
      <c r="BN1966" s="8">
        <v>0</v>
      </c>
      <c r="BO1966" s="8">
        <v>3274586.6229918576</v>
      </c>
      <c r="BP1966" s="8">
        <v>2525496.0637544831</v>
      </c>
      <c r="BQ1966" s="8">
        <v>-749090.55923737446</v>
      </c>
      <c r="BR1966" s="8" t="str">
        <v>Yes</v>
      </c>
    </row>
    <row r="1967" spans="54:70" x14ac:dyDescent="0.2">
      <c r="BB1967" s="94"/>
      <c r="BL1967" s="8">
        <v>1918</v>
      </c>
      <c r="BM1967" s="8">
        <v>5512813.6631083786</v>
      </c>
      <c r="BN1967" s="8">
        <v>4385238.811040231</v>
      </c>
      <c r="BO1967" s="8">
        <v>9898052.4741486087</v>
      </c>
      <c r="BP1967" s="8">
        <v>5768413.0488864016</v>
      </c>
      <c r="BQ1967" s="8">
        <v>-4129639.4252622072</v>
      </c>
      <c r="BR1967" s="8" t="str">
        <v>Yes</v>
      </c>
    </row>
    <row r="1968" spans="54:70" x14ac:dyDescent="0.2">
      <c r="BB1968" s="94"/>
      <c r="BL1968" s="8">
        <v>1919</v>
      </c>
      <c r="BM1968" s="8">
        <v>3704809.4032341214</v>
      </c>
      <c r="BN1968" s="8">
        <v>2522251.0711053917</v>
      </c>
      <c r="BO1968" s="8">
        <v>6227060.4743395131</v>
      </c>
      <c r="BP1968" s="8">
        <v>4554456.9013176123</v>
      </c>
      <c r="BQ1968" s="8">
        <v>-1672603.5730219008</v>
      </c>
      <c r="BR1968" s="8" t="str">
        <v>Yes</v>
      </c>
    </row>
    <row r="1969" spans="54:70" x14ac:dyDescent="0.2">
      <c r="BB1969" s="94"/>
      <c r="BL1969" s="8">
        <v>1920</v>
      </c>
      <c r="BM1969" s="8">
        <v>3495903.3473415519</v>
      </c>
      <c r="BN1969" s="8">
        <v>0</v>
      </c>
      <c r="BO1969" s="8">
        <v>3495903.3473415519</v>
      </c>
      <c r="BP1969" s="8">
        <v>3284392.2305561681</v>
      </c>
      <c r="BQ1969" s="8">
        <v>-211511.11678538378</v>
      </c>
      <c r="BR1969" s="8" t="str">
        <v>Yes</v>
      </c>
    </row>
    <row r="1970" spans="54:70" x14ac:dyDescent="0.2">
      <c r="BB1970" s="94"/>
      <c r="BL1970" s="8">
        <v>1921</v>
      </c>
      <c r="BM1970" s="8">
        <v>9600438.9792689681</v>
      </c>
      <c r="BN1970" s="8">
        <v>0</v>
      </c>
      <c r="BO1970" s="8">
        <v>9600438.9792689681</v>
      </c>
      <c r="BP1970" s="8">
        <v>4480926.3181138756</v>
      </c>
      <c r="BQ1970" s="8">
        <v>-5119512.6611550925</v>
      </c>
      <c r="BR1970" s="8" t="str">
        <v>Yes</v>
      </c>
    </row>
    <row r="1971" spans="54:70" x14ac:dyDescent="0.2">
      <c r="BB1971" s="94"/>
      <c r="BL1971" s="8">
        <v>1922</v>
      </c>
      <c r="BM1971" s="8">
        <v>6846709.9611425418</v>
      </c>
      <c r="BN1971" s="8">
        <v>3100611.3934729621</v>
      </c>
      <c r="BO1971" s="8">
        <v>9947321.3546155039</v>
      </c>
      <c r="BP1971" s="8">
        <v>6684838.4072595388</v>
      </c>
      <c r="BQ1971" s="8">
        <v>-3262482.9473559652</v>
      </c>
      <c r="BR1971" s="8" t="str">
        <v>Yes</v>
      </c>
    </row>
    <row r="1972" spans="54:70" x14ac:dyDescent="0.2">
      <c r="BB1972" s="94"/>
      <c r="BL1972" s="8">
        <v>1923</v>
      </c>
      <c r="BM1972" s="8">
        <v>7081201.1643911507</v>
      </c>
      <c r="BN1972" s="8">
        <v>5041089.2550949119</v>
      </c>
      <c r="BO1972" s="8">
        <v>12122290.419486063</v>
      </c>
      <c r="BP1972" s="8">
        <v>4510309.5319886021</v>
      </c>
      <c r="BQ1972" s="8">
        <v>-7611980.8874974605</v>
      </c>
      <c r="BR1972" s="8" t="str">
        <v>Yes</v>
      </c>
    </row>
    <row r="1973" spans="54:70" x14ac:dyDescent="0.2">
      <c r="BB1973" s="94"/>
      <c r="BL1973" s="8">
        <v>1924</v>
      </c>
      <c r="BM1973" s="8">
        <v>3497353.6932710921</v>
      </c>
      <c r="BN1973" s="8">
        <v>6053204.4832171276</v>
      </c>
      <c r="BO1973" s="8">
        <v>9550558.1764882207</v>
      </c>
      <c r="BP1973" s="8">
        <v>2165361.1223987648</v>
      </c>
      <c r="BQ1973" s="8">
        <v>-7385197.0540894559</v>
      </c>
      <c r="BR1973" s="8" t="str">
        <v>Yes</v>
      </c>
    </row>
    <row r="1974" spans="54:70" x14ac:dyDescent="0.2">
      <c r="BB1974" s="94"/>
      <c r="BL1974" s="8">
        <v>1925</v>
      </c>
      <c r="BM1974" s="8">
        <v>3113532.8238709904</v>
      </c>
      <c r="BN1974" s="8">
        <v>0</v>
      </c>
      <c r="BO1974" s="8">
        <v>3113532.8238709904</v>
      </c>
      <c r="BP1974" s="8">
        <v>3435554.9143709396</v>
      </c>
      <c r="BQ1974" s="8">
        <v>322022.09049994918</v>
      </c>
      <c r="BR1974" s="8" t="str">
        <v>No</v>
      </c>
    </row>
    <row r="1975" spans="54:70" x14ac:dyDescent="0.2">
      <c r="BB1975" s="94"/>
      <c r="BL1975" s="8">
        <v>1926</v>
      </c>
      <c r="BM1975" s="8">
        <v>5197868.7147120219</v>
      </c>
      <c r="BN1975" s="8">
        <v>0</v>
      </c>
      <c r="BO1975" s="8">
        <v>5197868.7147120219</v>
      </c>
      <c r="BP1975" s="8">
        <v>3260707.8062620647</v>
      </c>
      <c r="BQ1975" s="8">
        <v>-1937160.9084499571</v>
      </c>
      <c r="BR1975" s="8" t="str">
        <v>Yes</v>
      </c>
    </row>
    <row r="1976" spans="54:70" x14ac:dyDescent="0.2">
      <c r="BB1976" s="94"/>
      <c r="BL1976" s="8">
        <v>1927</v>
      </c>
      <c r="BM1976" s="8">
        <v>9542943.9512804784</v>
      </c>
      <c r="BN1976" s="8">
        <v>10412807.060095677</v>
      </c>
      <c r="BO1976" s="8">
        <v>19955751.011376157</v>
      </c>
      <c r="BP1976" s="8">
        <v>3346348.1038622279</v>
      </c>
      <c r="BQ1976" s="8">
        <v>-16609402.90751393</v>
      </c>
      <c r="BR1976" s="8" t="str">
        <v>Yes</v>
      </c>
    </row>
    <row r="1977" spans="54:70" x14ac:dyDescent="0.2">
      <c r="BB1977" s="94"/>
      <c r="BL1977" s="8">
        <v>1928</v>
      </c>
      <c r="BM1977" s="8">
        <v>7482007.9718671888</v>
      </c>
      <c r="BN1977" s="8">
        <v>0</v>
      </c>
      <c r="BO1977" s="8">
        <v>7482007.9718671888</v>
      </c>
      <c r="BP1977" s="8">
        <v>4131315.6149920095</v>
      </c>
      <c r="BQ1977" s="8">
        <v>-3350692.3568751793</v>
      </c>
      <c r="BR1977" s="8" t="str">
        <v>Yes</v>
      </c>
    </row>
    <row r="1978" spans="54:70" x14ac:dyDescent="0.2">
      <c r="BB1978" s="94"/>
      <c r="BL1978" s="8">
        <v>1929</v>
      </c>
      <c r="BM1978" s="8">
        <v>2112360.1338443733</v>
      </c>
      <c r="BN1978" s="8">
        <v>4069737.6948139812</v>
      </c>
      <c r="BO1978" s="8">
        <v>6182097.8286583545</v>
      </c>
      <c r="BP1978" s="8">
        <v>2201755.2523473315</v>
      </c>
      <c r="BQ1978" s="8">
        <v>-3980342.576311023</v>
      </c>
      <c r="BR1978" s="8" t="str">
        <v>Yes</v>
      </c>
    </row>
    <row r="1979" spans="54:70" x14ac:dyDescent="0.2">
      <c r="BB1979" s="94"/>
      <c r="BL1979" s="8">
        <v>1930</v>
      </c>
      <c r="BM1979" s="8">
        <v>2412585.7929063402</v>
      </c>
      <c r="BN1979" s="8">
        <v>0</v>
      </c>
      <c r="BO1979" s="8">
        <v>2412585.7929063402</v>
      </c>
      <c r="BP1979" s="8">
        <v>4238524.2737882081</v>
      </c>
      <c r="BQ1979" s="8">
        <v>1825938.4808818679</v>
      </c>
      <c r="BR1979" s="8" t="str">
        <v>No</v>
      </c>
    </row>
    <row r="1980" spans="54:70" x14ac:dyDescent="0.2">
      <c r="BB1980" s="94"/>
      <c r="BL1980" s="8">
        <v>1931</v>
      </c>
      <c r="BM1980" s="8">
        <v>10011364.777636534</v>
      </c>
      <c r="BN1980" s="8">
        <v>8052914.2021463858</v>
      </c>
      <c r="BO1980" s="8">
        <v>18064278.97978292</v>
      </c>
      <c r="BP1980" s="8">
        <v>4498225.1383821769</v>
      </c>
      <c r="BQ1980" s="8">
        <v>-13566053.841400743</v>
      </c>
      <c r="BR1980" s="8" t="str">
        <v>Yes</v>
      </c>
    </row>
    <row r="1981" spans="54:70" x14ac:dyDescent="0.2">
      <c r="BB1981" s="94"/>
      <c r="BL1981" s="8">
        <v>1932</v>
      </c>
      <c r="BM1981" s="8">
        <v>4903230.7098896317</v>
      </c>
      <c r="BN1981" s="8">
        <v>0</v>
      </c>
      <c r="BO1981" s="8">
        <v>4903230.7098896317</v>
      </c>
      <c r="BP1981" s="8">
        <v>3647196.6008874341</v>
      </c>
      <c r="BQ1981" s="8">
        <v>-1256034.1090021976</v>
      </c>
      <c r="BR1981" s="8" t="str">
        <v>Yes</v>
      </c>
    </row>
    <row r="1982" spans="54:70" x14ac:dyDescent="0.2">
      <c r="BB1982" s="94"/>
      <c r="BL1982" s="8">
        <v>1933</v>
      </c>
      <c r="BM1982" s="8">
        <v>4337688.0711650699</v>
      </c>
      <c r="BN1982" s="8">
        <v>2039242.7159823629</v>
      </c>
      <c r="BO1982" s="8">
        <v>6376930.7871474326</v>
      </c>
      <c r="BP1982" s="8">
        <v>6764776.9498348879</v>
      </c>
      <c r="BQ1982" s="8">
        <v>387846.1626874553</v>
      </c>
      <c r="BR1982" s="8" t="str">
        <v>No</v>
      </c>
    </row>
    <row r="1983" spans="54:70" x14ac:dyDescent="0.2">
      <c r="BB1983" s="94"/>
      <c r="BL1983" s="8">
        <v>1934</v>
      </c>
      <c r="BM1983" s="8">
        <v>4488106.255969597</v>
      </c>
      <c r="BN1983" s="8">
        <v>0</v>
      </c>
      <c r="BO1983" s="8">
        <v>4488106.255969597</v>
      </c>
      <c r="BP1983" s="8">
        <v>2033449.2148524083</v>
      </c>
      <c r="BQ1983" s="8">
        <v>-2454657.0411171885</v>
      </c>
      <c r="BR1983" s="8" t="str">
        <v>Yes</v>
      </c>
    </row>
    <row r="1984" spans="54:70" x14ac:dyDescent="0.2">
      <c r="BB1984" s="94"/>
      <c r="BL1984" s="8">
        <v>1935</v>
      </c>
      <c r="BM1984" s="8">
        <v>3619465.1478347355</v>
      </c>
      <c r="BN1984" s="8">
        <v>0</v>
      </c>
      <c r="BO1984" s="8">
        <v>3619465.1478347355</v>
      </c>
      <c r="BP1984" s="8">
        <v>2393485.0034785932</v>
      </c>
      <c r="BQ1984" s="8">
        <v>-1225980.1443561423</v>
      </c>
      <c r="BR1984" s="8" t="str">
        <v>Yes</v>
      </c>
    </row>
    <row r="1985" spans="54:70" x14ac:dyDescent="0.2">
      <c r="BB1985" s="94"/>
      <c r="BL1985" s="8">
        <v>1936</v>
      </c>
      <c r="BM1985" s="8">
        <v>3363355.9259277396</v>
      </c>
      <c r="BN1985" s="8">
        <v>0</v>
      </c>
      <c r="BO1985" s="8">
        <v>3363355.9259277396</v>
      </c>
      <c r="BP1985" s="8">
        <v>3385084.4960282058</v>
      </c>
      <c r="BQ1985" s="8">
        <v>21728.570100466255</v>
      </c>
      <c r="BR1985" s="8" t="str">
        <v>No</v>
      </c>
    </row>
    <row r="1986" spans="54:70" x14ac:dyDescent="0.2">
      <c r="BB1986" s="94"/>
      <c r="BL1986" s="8">
        <v>1937</v>
      </c>
      <c r="BM1986" s="8">
        <v>3083614.9267404741</v>
      </c>
      <c r="BN1986" s="8">
        <v>0</v>
      </c>
      <c r="BO1986" s="8">
        <v>3083614.9267404741</v>
      </c>
      <c r="BP1986" s="8">
        <v>3544120.7680605687</v>
      </c>
      <c r="BQ1986" s="8">
        <v>460505.84132009465</v>
      </c>
      <c r="BR1986" s="8" t="str">
        <v>No</v>
      </c>
    </row>
    <row r="1987" spans="54:70" x14ac:dyDescent="0.2">
      <c r="BB1987" s="94"/>
      <c r="BL1987" s="8">
        <v>1938</v>
      </c>
      <c r="BM1987" s="8">
        <v>2992260.8942170823</v>
      </c>
      <c r="BN1987" s="8">
        <v>0</v>
      </c>
      <c r="BO1987" s="8">
        <v>2992260.8942170823</v>
      </c>
      <c r="BP1987" s="8">
        <v>2354634.5060616983</v>
      </c>
      <c r="BQ1987" s="8">
        <v>-637626.38815538399</v>
      </c>
      <c r="BR1987" s="8" t="str">
        <v>Yes</v>
      </c>
    </row>
    <row r="1988" spans="54:70" x14ac:dyDescent="0.2">
      <c r="BB1988" s="94"/>
      <c r="BL1988" s="8">
        <v>1939</v>
      </c>
      <c r="BM1988" s="8">
        <v>2778761.6979604219</v>
      </c>
      <c r="BN1988" s="8">
        <v>0</v>
      </c>
      <c r="BO1988" s="8">
        <v>2778761.6979604219</v>
      </c>
      <c r="BP1988" s="8">
        <v>3462065.739281334</v>
      </c>
      <c r="BQ1988" s="8">
        <v>683304.04132091207</v>
      </c>
      <c r="BR1988" s="8" t="str">
        <v>No</v>
      </c>
    </row>
    <row r="1989" spans="54:70" x14ac:dyDescent="0.2">
      <c r="BB1989" s="94"/>
      <c r="BL1989" s="8">
        <v>1940</v>
      </c>
      <c r="BM1989" s="8">
        <v>3236802.8139605308</v>
      </c>
      <c r="BN1989" s="8">
        <v>0</v>
      </c>
      <c r="BO1989" s="8">
        <v>3236802.8139605308</v>
      </c>
      <c r="BP1989" s="8">
        <v>6400964.1533355992</v>
      </c>
      <c r="BQ1989" s="8">
        <v>3164161.3393750684</v>
      </c>
      <c r="BR1989" s="8" t="str">
        <v>No</v>
      </c>
    </row>
    <row r="1990" spans="54:70" x14ac:dyDescent="0.2">
      <c r="BB1990" s="94"/>
      <c r="BL1990" s="8">
        <v>1941</v>
      </c>
      <c r="BM1990" s="8">
        <v>9487391.6636496428</v>
      </c>
      <c r="BN1990" s="8">
        <v>8743018.7046811469</v>
      </c>
      <c r="BO1990" s="8">
        <v>18230410.368330792</v>
      </c>
      <c r="BP1990" s="8">
        <v>6602404.481078363</v>
      </c>
      <c r="BQ1990" s="8">
        <v>-11628005.887252428</v>
      </c>
      <c r="BR1990" s="8" t="str">
        <v>Yes</v>
      </c>
    </row>
    <row r="1991" spans="54:70" x14ac:dyDescent="0.2">
      <c r="BB1991" s="94"/>
      <c r="BL1991" s="8">
        <v>1942</v>
      </c>
      <c r="BM1991" s="8">
        <v>19467633.147857882</v>
      </c>
      <c r="BN1991" s="8">
        <v>30929467.347143661</v>
      </c>
      <c r="BO1991" s="8">
        <v>50397100.49500154</v>
      </c>
      <c r="BP1991" s="8">
        <v>2266569.4323119377</v>
      </c>
      <c r="BQ1991" s="8">
        <v>-48130531.062689602</v>
      </c>
      <c r="BR1991" s="8" t="str">
        <v>Yes</v>
      </c>
    </row>
    <row r="1992" spans="54:70" x14ac:dyDescent="0.2">
      <c r="BB1992" s="94"/>
      <c r="BL1992" s="8">
        <v>1943</v>
      </c>
      <c r="BM1992" s="8">
        <v>3446414.6658029309</v>
      </c>
      <c r="BN1992" s="8">
        <v>3648372.792959569</v>
      </c>
      <c r="BO1992" s="8">
        <v>7094787.4587625004</v>
      </c>
      <c r="BP1992" s="8">
        <v>2289687.1350644422</v>
      </c>
      <c r="BQ1992" s="8">
        <v>-4805100.3236980587</v>
      </c>
      <c r="BR1992" s="8" t="str">
        <v>Yes</v>
      </c>
    </row>
    <row r="1993" spans="54:70" x14ac:dyDescent="0.2">
      <c r="BB1993" s="94"/>
      <c r="BL1993" s="8">
        <v>1944</v>
      </c>
      <c r="BM1993" s="8">
        <v>3073672.1788444296</v>
      </c>
      <c r="BN1993" s="8">
        <v>0</v>
      </c>
      <c r="BO1993" s="8">
        <v>3073672.1788444296</v>
      </c>
      <c r="BP1993" s="8">
        <v>2205063.7626073034</v>
      </c>
      <c r="BQ1993" s="8">
        <v>-868608.4162371261</v>
      </c>
      <c r="BR1993" s="8" t="str">
        <v>Yes</v>
      </c>
    </row>
    <row r="1994" spans="54:70" x14ac:dyDescent="0.2">
      <c r="BB1994" s="94"/>
      <c r="BL1994" s="8">
        <v>1945</v>
      </c>
      <c r="BM1994" s="8">
        <v>5299559.1311870767</v>
      </c>
      <c r="BN1994" s="8">
        <v>3216196.1590011702</v>
      </c>
      <c r="BO1994" s="8">
        <v>8515755.2901882473</v>
      </c>
      <c r="BP1994" s="8">
        <v>3125964.1654709438</v>
      </c>
      <c r="BQ1994" s="8">
        <v>-5389791.1247173036</v>
      </c>
      <c r="BR1994" s="8" t="str">
        <v>Yes</v>
      </c>
    </row>
    <row r="1995" spans="54:70" x14ac:dyDescent="0.2">
      <c r="BB1995" s="94"/>
      <c r="BL1995" s="8">
        <v>1946</v>
      </c>
      <c r="BM1995" s="8">
        <v>2195212.3877552766</v>
      </c>
      <c r="BN1995" s="8">
        <v>1320423.4334378198</v>
      </c>
      <c r="BO1995" s="8">
        <v>3515635.8211930962</v>
      </c>
      <c r="BP1995" s="8">
        <v>3133696.8430818496</v>
      </c>
      <c r="BQ1995" s="8">
        <v>-381938.9781112466</v>
      </c>
      <c r="BR1995" s="8" t="str">
        <v>Yes</v>
      </c>
    </row>
    <row r="1996" spans="54:70" x14ac:dyDescent="0.2">
      <c r="BB1996" s="94"/>
      <c r="BL1996" s="8">
        <v>1947</v>
      </c>
      <c r="BM1996" s="8">
        <v>4613153.9153392613</v>
      </c>
      <c r="BN1996" s="8">
        <v>3877485.7229353599</v>
      </c>
      <c r="BO1996" s="8">
        <v>8490639.6382746212</v>
      </c>
      <c r="BP1996" s="8">
        <v>2399013.8093830785</v>
      </c>
      <c r="BQ1996" s="8">
        <v>-6091625.8288915427</v>
      </c>
      <c r="BR1996" s="8" t="str">
        <v>Yes</v>
      </c>
    </row>
    <row r="1997" spans="54:70" x14ac:dyDescent="0.2">
      <c r="BB1997" s="94"/>
      <c r="BL1997" s="8">
        <v>1948</v>
      </c>
      <c r="BM1997" s="8">
        <v>1626069.4201853978</v>
      </c>
      <c r="BN1997" s="8">
        <v>0</v>
      </c>
      <c r="BO1997" s="8">
        <v>1626069.4201853978</v>
      </c>
      <c r="BP1997" s="8">
        <v>3963204.7880787477</v>
      </c>
      <c r="BQ1997" s="8">
        <v>2337135.3678933498</v>
      </c>
      <c r="BR1997" s="8" t="str">
        <v>No</v>
      </c>
    </row>
    <row r="1998" spans="54:70" x14ac:dyDescent="0.2">
      <c r="BB1998" s="94"/>
      <c r="BL1998" s="8">
        <v>1949</v>
      </c>
      <c r="BM1998" s="8">
        <v>1972958.432672231</v>
      </c>
      <c r="BN1998" s="8">
        <v>0</v>
      </c>
      <c r="BO1998" s="8">
        <v>1972958.432672231</v>
      </c>
      <c r="BP1998" s="8">
        <v>6382666.2266643485</v>
      </c>
      <c r="BQ1998" s="8">
        <v>4409707.793992117</v>
      </c>
      <c r="BR1998" s="8" t="str">
        <v>No</v>
      </c>
    </row>
    <row r="1999" spans="54:70" x14ac:dyDescent="0.2">
      <c r="BB1999" s="94"/>
      <c r="BL1999" s="8">
        <v>1950</v>
      </c>
      <c r="BM1999" s="8">
        <v>5923295.9096109588</v>
      </c>
      <c r="BN1999" s="8">
        <v>0</v>
      </c>
      <c r="BO1999" s="8">
        <v>5923295.9096109588</v>
      </c>
      <c r="BP1999" s="8">
        <v>2161567.9216238954</v>
      </c>
      <c r="BQ1999" s="8">
        <v>-3761727.9879870634</v>
      </c>
      <c r="BR1999" s="8" t="str">
        <v>Yes</v>
      </c>
    </row>
    <row r="2000" spans="54:70" x14ac:dyDescent="0.2">
      <c r="BB2000" s="94"/>
      <c r="BL2000" s="8">
        <v>1951</v>
      </c>
      <c r="BM2000" s="8">
        <v>4139606.1750831809</v>
      </c>
      <c r="BN2000" s="8">
        <v>0</v>
      </c>
      <c r="BO2000" s="8">
        <v>4139606.1750831809</v>
      </c>
      <c r="BP2000" s="8">
        <v>4233792.3954637479</v>
      </c>
      <c r="BQ2000" s="8">
        <v>94186.220380567014</v>
      </c>
      <c r="BR2000" s="8" t="str">
        <v>No</v>
      </c>
    </row>
    <row r="2001" spans="54:70" x14ac:dyDescent="0.2">
      <c r="BB2001" s="94"/>
      <c r="BL2001" s="8">
        <v>1952</v>
      </c>
      <c r="BM2001" s="8">
        <v>4470019.6919444334</v>
      </c>
      <c r="BN2001" s="8">
        <v>0</v>
      </c>
      <c r="BO2001" s="8">
        <v>4470019.6919444334</v>
      </c>
      <c r="BP2001" s="8">
        <v>3827845.5068521537</v>
      </c>
      <c r="BQ2001" s="8">
        <v>-642174.18509227969</v>
      </c>
      <c r="BR2001" s="8" t="str">
        <v>Yes</v>
      </c>
    </row>
    <row r="2002" spans="54:70" x14ac:dyDescent="0.2">
      <c r="BB2002" s="94"/>
      <c r="BL2002" s="8">
        <v>1953</v>
      </c>
      <c r="BM2002" s="8">
        <v>6910274.217607772</v>
      </c>
      <c r="BN2002" s="8">
        <v>4669630.2259561801</v>
      </c>
      <c r="BO2002" s="8">
        <v>11579904.443563953</v>
      </c>
      <c r="BP2002" s="8">
        <v>6436288.759391617</v>
      </c>
      <c r="BQ2002" s="8">
        <v>-5143615.684172336</v>
      </c>
      <c r="BR2002" s="8" t="str">
        <v>Yes</v>
      </c>
    </row>
    <row r="2003" spans="54:70" x14ac:dyDescent="0.2">
      <c r="BB2003" s="94"/>
      <c r="BL2003" s="8">
        <v>1954</v>
      </c>
      <c r="BM2003" s="8">
        <v>6135510.1254332177</v>
      </c>
      <c r="BN2003" s="8">
        <v>0</v>
      </c>
      <c r="BO2003" s="8">
        <v>6135510.1254332177</v>
      </c>
      <c r="BP2003" s="8">
        <v>3606645.3950818405</v>
      </c>
      <c r="BQ2003" s="8">
        <v>-2528864.7303513773</v>
      </c>
      <c r="BR2003" s="8" t="str">
        <v>Yes</v>
      </c>
    </row>
    <row r="2004" spans="54:70" x14ac:dyDescent="0.2">
      <c r="BB2004" s="94"/>
      <c r="BL2004" s="8">
        <v>1955</v>
      </c>
      <c r="BM2004" s="8">
        <v>5377568.3535286579</v>
      </c>
      <c r="BN2004" s="8">
        <v>4543573.6840008004</v>
      </c>
      <c r="BO2004" s="8">
        <v>9921142.0375294574</v>
      </c>
      <c r="BP2004" s="8">
        <v>5888485.2677891152</v>
      </c>
      <c r="BQ2004" s="8">
        <v>-4032656.7697403422</v>
      </c>
      <c r="BR2004" s="8" t="str">
        <v>Yes</v>
      </c>
    </row>
    <row r="2005" spans="54:70" x14ac:dyDescent="0.2">
      <c r="BB2005" s="94"/>
      <c r="BL2005" s="8">
        <v>1956</v>
      </c>
      <c r="BM2005" s="8">
        <v>8127688.099310739</v>
      </c>
      <c r="BN2005" s="8">
        <v>0</v>
      </c>
      <c r="BO2005" s="8">
        <v>8127688.099310739</v>
      </c>
      <c r="BP2005" s="8">
        <v>6161521.9734866582</v>
      </c>
      <c r="BQ2005" s="8">
        <v>-1966166.1258240808</v>
      </c>
      <c r="BR2005" s="8" t="str">
        <v>Yes</v>
      </c>
    </row>
    <row r="2006" spans="54:70" x14ac:dyDescent="0.2">
      <c r="BB2006" s="94"/>
      <c r="BL2006" s="8">
        <v>1957</v>
      </c>
      <c r="BM2006" s="8">
        <v>7084637.3716223752</v>
      </c>
      <c r="BN2006" s="8">
        <v>0</v>
      </c>
      <c r="BO2006" s="8">
        <v>7084637.3716223752</v>
      </c>
      <c r="BP2006" s="8">
        <v>2291930.6108296225</v>
      </c>
      <c r="BQ2006" s="8">
        <v>-4792706.7607927527</v>
      </c>
      <c r="BR2006" s="8" t="str">
        <v>Yes</v>
      </c>
    </row>
    <row r="2007" spans="54:70" x14ac:dyDescent="0.2">
      <c r="BB2007" s="94"/>
      <c r="BL2007" s="8">
        <v>1958</v>
      </c>
      <c r="BM2007" s="8">
        <v>4524982.4740974782</v>
      </c>
      <c r="BN2007" s="8">
        <v>0</v>
      </c>
      <c r="BO2007" s="8">
        <v>4524982.4740974782</v>
      </c>
      <c r="BP2007" s="8">
        <v>3203146.8082250603</v>
      </c>
      <c r="BQ2007" s="8">
        <v>-1321835.6658724179</v>
      </c>
      <c r="BR2007" s="8" t="str">
        <v>Yes</v>
      </c>
    </row>
    <row r="2008" spans="54:70" x14ac:dyDescent="0.2">
      <c r="BB2008" s="94"/>
      <c r="BL2008" s="8">
        <v>1959</v>
      </c>
      <c r="BM2008" s="8">
        <v>5562542.3172415793</v>
      </c>
      <c r="BN2008" s="8">
        <v>10828837.697571436</v>
      </c>
      <c r="BO2008" s="8">
        <v>16391380.014813015</v>
      </c>
      <c r="BP2008" s="8">
        <v>2289528.4413468521</v>
      </c>
      <c r="BQ2008" s="8">
        <v>-14101851.573466163</v>
      </c>
      <c r="BR2008" s="8" t="str">
        <v>Yes</v>
      </c>
    </row>
    <row r="2009" spans="54:70" x14ac:dyDescent="0.2">
      <c r="BB2009" s="94"/>
      <c r="BL2009" s="8">
        <v>1960</v>
      </c>
      <c r="BM2009" s="8">
        <v>4019540.6698186332</v>
      </c>
      <c r="BN2009" s="8">
        <v>0</v>
      </c>
      <c r="BO2009" s="8">
        <v>4019540.6698186332</v>
      </c>
      <c r="BP2009" s="8">
        <v>4406652.1006595995</v>
      </c>
      <c r="BQ2009" s="8">
        <v>387111.43084096629</v>
      </c>
      <c r="BR2009" s="8" t="str">
        <v>No</v>
      </c>
    </row>
    <row r="2010" spans="54:70" x14ac:dyDescent="0.2">
      <c r="BB2010" s="94"/>
      <c r="BL2010" s="8">
        <v>1961</v>
      </c>
      <c r="BM2010" s="8">
        <v>5929152.0961308181</v>
      </c>
      <c r="BN2010" s="8">
        <v>2851869.8287242651</v>
      </c>
      <c r="BO2010" s="8">
        <v>8781021.9248550832</v>
      </c>
      <c r="BP2010" s="8">
        <v>6100866.6451005256</v>
      </c>
      <c r="BQ2010" s="8">
        <v>-2680155.2797545576</v>
      </c>
      <c r="BR2010" s="8" t="str">
        <v>Yes</v>
      </c>
    </row>
    <row r="2011" spans="54:70" x14ac:dyDescent="0.2">
      <c r="BB2011" s="94"/>
      <c r="BL2011" s="8">
        <v>1962</v>
      </c>
      <c r="BM2011" s="8">
        <v>3198649.4247415587</v>
      </c>
      <c r="BN2011" s="8">
        <v>0</v>
      </c>
      <c r="BO2011" s="8">
        <v>3198649.4247415587</v>
      </c>
      <c r="BP2011" s="8">
        <v>2250184.3198157358</v>
      </c>
      <c r="BQ2011" s="8">
        <v>-948465.10492582293</v>
      </c>
      <c r="BR2011" s="8" t="str">
        <v>Yes</v>
      </c>
    </row>
    <row r="2012" spans="54:70" x14ac:dyDescent="0.2">
      <c r="BB2012" s="94"/>
      <c r="BL2012" s="8">
        <v>1963</v>
      </c>
      <c r="BM2012" s="8">
        <v>4346033.6213590624</v>
      </c>
      <c r="BN2012" s="8">
        <v>4902753.5268203001</v>
      </c>
      <c r="BO2012" s="8">
        <v>9248787.1481793635</v>
      </c>
      <c r="BP2012" s="8">
        <v>3222672.5650844816</v>
      </c>
      <c r="BQ2012" s="8">
        <v>-6026114.5830948818</v>
      </c>
      <c r="BR2012" s="8" t="str">
        <v>Yes</v>
      </c>
    </row>
    <row r="2013" spans="54:70" x14ac:dyDescent="0.2">
      <c r="BB2013" s="94"/>
      <c r="BL2013" s="8">
        <v>1964</v>
      </c>
      <c r="BM2013" s="8">
        <v>3030151.5180344582</v>
      </c>
      <c r="BN2013" s="8">
        <v>3375768.32409698</v>
      </c>
      <c r="BO2013" s="8">
        <v>6405919.8421314377</v>
      </c>
      <c r="BP2013" s="8">
        <v>2405211.3609690377</v>
      </c>
      <c r="BQ2013" s="8">
        <v>-4000708.4811624</v>
      </c>
      <c r="BR2013" s="8" t="str">
        <v>Yes</v>
      </c>
    </row>
    <row r="2014" spans="54:70" x14ac:dyDescent="0.2">
      <c r="BB2014" s="94"/>
      <c r="BL2014" s="8">
        <v>1965</v>
      </c>
      <c r="BM2014" s="8">
        <v>2341275.0722171213</v>
      </c>
      <c r="BN2014" s="8">
        <v>475370.93340108282</v>
      </c>
      <c r="BO2014" s="8">
        <v>2816646.0056182039</v>
      </c>
      <c r="BP2014" s="8">
        <v>6118180.4863848854</v>
      </c>
      <c r="BQ2014" s="8">
        <v>3301534.4807666815</v>
      </c>
      <c r="BR2014" s="8" t="str">
        <v>No</v>
      </c>
    </row>
    <row r="2015" spans="54:70" x14ac:dyDescent="0.2">
      <c r="BB2015" s="94"/>
      <c r="BL2015" s="8">
        <v>1966</v>
      </c>
      <c r="BM2015" s="8">
        <v>2177002.3843715666</v>
      </c>
      <c r="BN2015" s="8">
        <v>1975455.377744358</v>
      </c>
      <c r="BO2015" s="8">
        <v>4152457.7621159246</v>
      </c>
      <c r="BP2015" s="8">
        <v>3323687.2568239518</v>
      </c>
      <c r="BQ2015" s="8">
        <v>-828770.50529197278</v>
      </c>
      <c r="BR2015" s="8" t="str">
        <v>Yes</v>
      </c>
    </row>
    <row r="2016" spans="54:70" x14ac:dyDescent="0.2">
      <c r="BB2016" s="94"/>
      <c r="BL2016" s="8">
        <v>1967</v>
      </c>
      <c r="BM2016" s="8">
        <v>7669490.1754205236</v>
      </c>
      <c r="BN2016" s="8">
        <v>0</v>
      </c>
      <c r="BO2016" s="8">
        <v>7669490.1754205236</v>
      </c>
      <c r="BP2016" s="8">
        <v>4560367.6800615462</v>
      </c>
      <c r="BQ2016" s="8">
        <v>-3109122.4953589775</v>
      </c>
      <c r="BR2016" s="8" t="str">
        <v>Yes</v>
      </c>
    </row>
    <row r="2017" spans="54:70" x14ac:dyDescent="0.2">
      <c r="BB2017" s="94"/>
      <c r="BL2017" s="8">
        <v>1968</v>
      </c>
      <c r="BM2017" s="8">
        <v>4422972.9666739702</v>
      </c>
      <c r="BN2017" s="8">
        <v>0</v>
      </c>
      <c r="BO2017" s="8">
        <v>4422972.9666739702</v>
      </c>
      <c r="BP2017" s="8">
        <v>3224719.0685093547</v>
      </c>
      <c r="BQ2017" s="8">
        <v>-1198253.8981646155</v>
      </c>
      <c r="BR2017" s="8" t="str">
        <v>Yes</v>
      </c>
    </row>
    <row r="2018" spans="54:70" x14ac:dyDescent="0.2">
      <c r="BB2018" s="94"/>
      <c r="BL2018" s="8">
        <v>1969</v>
      </c>
      <c r="BM2018" s="8">
        <v>5245106.1935664304</v>
      </c>
      <c r="BN2018" s="8">
        <v>3056423.3762334711</v>
      </c>
      <c r="BO2018" s="8">
        <v>8301529.5697999019</v>
      </c>
      <c r="BP2018" s="8">
        <v>6105202.510866411</v>
      </c>
      <c r="BQ2018" s="8">
        <v>-2196327.0589334909</v>
      </c>
      <c r="BR2018" s="8" t="str">
        <v>Yes</v>
      </c>
    </row>
    <row r="2019" spans="54:70" x14ac:dyDescent="0.2">
      <c r="BB2019" s="94"/>
      <c r="BL2019" s="8">
        <v>1970</v>
      </c>
      <c r="BM2019" s="8">
        <v>3308671.9464445943</v>
      </c>
      <c r="BN2019" s="8">
        <v>0</v>
      </c>
      <c r="BO2019" s="8">
        <v>3308671.9464445943</v>
      </c>
      <c r="BP2019" s="8">
        <v>3472973.3723799018</v>
      </c>
      <c r="BQ2019" s="8">
        <v>164301.42593530752</v>
      </c>
      <c r="BR2019" s="8" t="str">
        <v>No</v>
      </c>
    </row>
    <row r="2020" spans="54:70" x14ac:dyDescent="0.2">
      <c r="BB2020" s="94"/>
      <c r="BL2020" s="8">
        <v>1971</v>
      </c>
      <c r="BM2020" s="8">
        <v>4068643.3311617011</v>
      </c>
      <c r="BN2020" s="8">
        <v>491167.33299746865</v>
      </c>
      <c r="BO2020" s="8">
        <v>4559810.6641591694</v>
      </c>
      <c r="BP2020" s="8">
        <v>4314192.4601657083</v>
      </c>
      <c r="BQ2020" s="8">
        <v>-245618.20399346109</v>
      </c>
      <c r="BR2020" s="8" t="str">
        <v>Yes</v>
      </c>
    </row>
    <row r="2021" spans="54:70" x14ac:dyDescent="0.2">
      <c r="BB2021" s="94"/>
      <c r="BL2021" s="8">
        <v>1972</v>
      </c>
      <c r="BM2021" s="8">
        <v>4085110.2728688736</v>
      </c>
      <c r="BN2021" s="8">
        <v>0</v>
      </c>
      <c r="BO2021" s="8">
        <v>4085110.2728688736</v>
      </c>
      <c r="BP2021" s="8">
        <v>3399520.4358075568</v>
      </c>
      <c r="BQ2021" s="8">
        <v>-685589.83706131671</v>
      </c>
      <c r="BR2021" s="8" t="str">
        <v>Yes</v>
      </c>
    </row>
    <row r="2022" spans="54:70" x14ac:dyDescent="0.2">
      <c r="BB2022" s="94"/>
      <c r="BL2022" s="8">
        <v>1973</v>
      </c>
      <c r="BM2022" s="8">
        <v>5055403.0491467956</v>
      </c>
      <c r="BN2022" s="8">
        <v>0</v>
      </c>
      <c r="BO2022" s="8">
        <v>5055403.0491467956</v>
      </c>
      <c r="BP2022" s="8">
        <v>5871937.9344035666</v>
      </c>
      <c r="BQ2022" s="8">
        <v>816534.885256771</v>
      </c>
      <c r="BR2022" s="8" t="str">
        <v>No</v>
      </c>
    </row>
    <row r="2023" spans="54:70" x14ac:dyDescent="0.2">
      <c r="BB2023" s="94"/>
      <c r="BL2023" s="8">
        <v>1974</v>
      </c>
      <c r="BM2023" s="8">
        <v>4053410.70124825</v>
      </c>
      <c r="BN2023" s="8">
        <v>6838902.2681923248</v>
      </c>
      <c r="BO2023" s="8">
        <v>10892312.969440576</v>
      </c>
      <c r="BP2023" s="8">
        <v>2309321.7218100922</v>
      </c>
      <c r="BQ2023" s="8">
        <v>-8582991.2476304844</v>
      </c>
      <c r="BR2023" s="8" t="str">
        <v>Yes</v>
      </c>
    </row>
    <row r="2024" spans="54:70" x14ac:dyDescent="0.2">
      <c r="BB2024" s="94"/>
      <c r="BL2024" s="8">
        <v>1975</v>
      </c>
      <c r="BM2024" s="8">
        <v>7563033.9893243182</v>
      </c>
      <c r="BN2024" s="8">
        <v>3563335.342462101</v>
      </c>
      <c r="BO2024" s="8">
        <v>11126369.33178642</v>
      </c>
      <c r="BP2024" s="8">
        <v>3630948.3795548053</v>
      </c>
      <c r="BQ2024" s="8">
        <v>-7495420.9522316149</v>
      </c>
      <c r="BR2024" s="8" t="str">
        <v>Yes</v>
      </c>
    </row>
    <row r="2025" spans="54:70" x14ac:dyDescent="0.2">
      <c r="BB2025" s="94"/>
      <c r="BL2025" s="8">
        <v>1976</v>
      </c>
      <c r="BM2025" s="8">
        <v>4872265.296592148</v>
      </c>
      <c r="BN2025" s="8">
        <v>1827319.2369848525</v>
      </c>
      <c r="BO2025" s="8">
        <v>6699584.5335770007</v>
      </c>
      <c r="BP2025" s="8">
        <v>5908234.0820285063</v>
      </c>
      <c r="BQ2025" s="8">
        <v>-791350.4515484944</v>
      </c>
      <c r="BR2025" s="8" t="str">
        <v>Yes</v>
      </c>
    </row>
    <row r="2026" spans="54:70" x14ac:dyDescent="0.2">
      <c r="BB2026" s="94"/>
      <c r="BL2026" s="8">
        <v>1977</v>
      </c>
      <c r="BM2026" s="8">
        <v>3681732.1092401026</v>
      </c>
      <c r="BN2026" s="8">
        <v>0</v>
      </c>
      <c r="BO2026" s="8">
        <v>3681732.1092401026</v>
      </c>
      <c r="BP2026" s="8">
        <v>5967577.4358879188</v>
      </c>
      <c r="BQ2026" s="8">
        <v>2285845.3266478162</v>
      </c>
      <c r="BR2026" s="8" t="str">
        <v>No</v>
      </c>
    </row>
    <row r="2027" spans="54:70" x14ac:dyDescent="0.2">
      <c r="BB2027" s="94"/>
      <c r="BL2027" s="8">
        <v>1978</v>
      </c>
      <c r="BM2027" s="8">
        <v>4702535.5331757087</v>
      </c>
      <c r="BN2027" s="8">
        <v>0</v>
      </c>
      <c r="BO2027" s="8">
        <v>4702535.5331757087</v>
      </c>
      <c r="BP2027" s="8">
        <v>2214197.166368844</v>
      </c>
      <c r="BQ2027" s="8">
        <v>-2488338.3668068647</v>
      </c>
      <c r="BR2027" s="8" t="str">
        <v>Yes</v>
      </c>
    </row>
    <row r="2028" spans="54:70" x14ac:dyDescent="0.2">
      <c r="BB2028" s="94"/>
      <c r="BL2028" s="8">
        <v>1979</v>
      </c>
      <c r="BM2028" s="8">
        <v>1535535.9974406264</v>
      </c>
      <c r="BN2028" s="8">
        <v>0</v>
      </c>
      <c r="BO2028" s="8">
        <v>1535535.9974406264</v>
      </c>
      <c r="BP2028" s="8">
        <v>2398349.5092501896</v>
      </c>
      <c r="BQ2028" s="8">
        <v>862813.51180956326</v>
      </c>
      <c r="BR2028" s="8" t="str">
        <v>No</v>
      </c>
    </row>
    <row r="2029" spans="54:70" x14ac:dyDescent="0.2">
      <c r="BB2029" s="94"/>
      <c r="BL2029" s="8">
        <v>1980</v>
      </c>
      <c r="BM2029" s="8">
        <v>2992415.8433106062</v>
      </c>
      <c r="BN2029" s="8">
        <v>0</v>
      </c>
      <c r="BO2029" s="8">
        <v>2992415.8433106062</v>
      </c>
      <c r="BP2029" s="8">
        <v>2185186.7346663261</v>
      </c>
      <c r="BQ2029" s="8">
        <v>-807229.10864428012</v>
      </c>
      <c r="BR2029" s="8" t="str">
        <v>Yes</v>
      </c>
    </row>
    <row r="2030" spans="54:70" x14ac:dyDescent="0.2">
      <c r="BB2030" s="94"/>
      <c r="BL2030" s="8">
        <v>1981</v>
      </c>
      <c r="BM2030" s="8">
        <v>5881171.8173263669</v>
      </c>
      <c r="BN2030" s="8">
        <v>0</v>
      </c>
      <c r="BO2030" s="8">
        <v>5881171.8173263669</v>
      </c>
      <c r="BP2030" s="8">
        <v>3406476.6346850954</v>
      </c>
      <c r="BQ2030" s="8">
        <v>-2474695.1826412715</v>
      </c>
      <c r="BR2030" s="8" t="str">
        <v>Yes</v>
      </c>
    </row>
    <row r="2031" spans="54:70" x14ac:dyDescent="0.2">
      <c r="BB2031" s="94"/>
      <c r="BL2031" s="8">
        <v>1982</v>
      </c>
      <c r="BM2031" s="8">
        <v>5580027.2954722894</v>
      </c>
      <c r="BN2031" s="8">
        <v>0</v>
      </c>
      <c r="BO2031" s="8">
        <v>5580027.2954722894</v>
      </c>
      <c r="BP2031" s="8">
        <v>3069332.8470837772</v>
      </c>
      <c r="BQ2031" s="8">
        <v>-2510694.4483885122</v>
      </c>
      <c r="BR2031" s="8" t="str">
        <v>Yes</v>
      </c>
    </row>
    <row r="2032" spans="54:70" x14ac:dyDescent="0.2">
      <c r="BB2032" s="94"/>
      <c r="BL2032" s="8">
        <v>1983</v>
      </c>
      <c r="BM2032" s="8">
        <v>2995221.791730586</v>
      </c>
      <c r="BN2032" s="8">
        <v>2126434.7491215444</v>
      </c>
      <c r="BO2032" s="8">
        <v>5121656.5408521304</v>
      </c>
      <c r="BP2032" s="8">
        <v>6620129.1031324202</v>
      </c>
      <c r="BQ2032" s="8">
        <v>1498472.5622802898</v>
      </c>
      <c r="BR2032" s="8" t="str">
        <v>No</v>
      </c>
    </row>
    <row r="2033" spans="54:70" x14ac:dyDescent="0.2">
      <c r="BB2033" s="94"/>
      <c r="BL2033" s="8">
        <v>1984</v>
      </c>
      <c r="BM2033" s="8">
        <v>5211078.2882131832</v>
      </c>
      <c r="BN2033" s="8">
        <v>0</v>
      </c>
      <c r="BO2033" s="8">
        <v>5211078.2882131832</v>
      </c>
      <c r="BP2033" s="8">
        <v>4066771.4809026695</v>
      </c>
      <c r="BQ2033" s="8">
        <v>-1144306.8073105137</v>
      </c>
      <c r="BR2033" s="8" t="str">
        <v>Yes</v>
      </c>
    </row>
    <row r="2034" spans="54:70" x14ac:dyDescent="0.2">
      <c r="BB2034" s="94"/>
      <c r="BL2034" s="8">
        <v>1985</v>
      </c>
      <c r="BM2034" s="8">
        <v>2141059.7831877009</v>
      </c>
      <c r="BN2034" s="8">
        <v>-284057.73790263652</v>
      </c>
      <c r="BO2034" s="8">
        <v>1857002.0452850643</v>
      </c>
      <c r="BP2034" s="8">
        <v>7007702.2236328358</v>
      </c>
      <c r="BQ2034" s="8">
        <v>5150700.178347772</v>
      </c>
      <c r="BR2034" s="8" t="str">
        <v>No</v>
      </c>
    </row>
    <row r="2035" spans="54:70" x14ac:dyDescent="0.2">
      <c r="BB2035" s="94"/>
      <c r="BL2035" s="8">
        <v>1986</v>
      </c>
      <c r="BM2035" s="8">
        <v>6269098.3777608182</v>
      </c>
      <c r="BN2035" s="8">
        <v>0</v>
      </c>
      <c r="BO2035" s="8">
        <v>6269098.3777608182</v>
      </c>
      <c r="BP2035" s="8">
        <v>4542084.2634395231</v>
      </c>
      <c r="BQ2035" s="8">
        <v>-1727014.1143212952</v>
      </c>
      <c r="BR2035" s="8" t="str">
        <v>Yes</v>
      </c>
    </row>
    <row r="2036" spans="54:70" x14ac:dyDescent="0.2">
      <c r="BB2036" s="94"/>
      <c r="BL2036" s="8">
        <v>1987</v>
      </c>
      <c r="BM2036" s="8">
        <v>5726262.3518884853</v>
      </c>
      <c r="BN2036" s="8">
        <v>0</v>
      </c>
      <c r="BO2036" s="8">
        <v>5726262.3518884853</v>
      </c>
      <c r="BP2036" s="8">
        <v>6209236.2891841615</v>
      </c>
      <c r="BQ2036" s="8">
        <v>482973.93729567621</v>
      </c>
      <c r="BR2036" s="8" t="str">
        <v>No</v>
      </c>
    </row>
    <row r="2037" spans="54:70" x14ac:dyDescent="0.2">
      <c r="BB2037" s="94"/>
      <c r="BL2037" s="8">
        <v>1988</v>
      </c>
      <c r="BM2037" s="8">
        <v>5210078.356129921</v>
      </c>
      <c r="BN2037" s="8">
        <v>3027305.7900150791</v>
      </c>
      <c r="BO2037" s="8">
        <v>8237384.1461450001</v>
      </c>
      <c r="BP2037" s="8">
        <v>4548172.1512795594</v>
      </c>
      <c r="BQ2037" s="8">
        <v>-3689211.9948654408</v>
      </c>
      <c r="BR2037" s="8" t="str">
        <v>Yes</v>
      </c>
    </row>
    <row r="2038" spans="54:70" x14ac:dyDescent="0.2">
      <c r="BB2038" s="94"/>
      <c r="BL2038" s="8">
        <v>1989</v>
      </c>
      <c r="BM2038" s="8">
        <v>3736999.3745703408</v>
      </c>
      <c r="BN2038" s="8">
        <v>0</v>
      </c>
      <c r="BO2038" s="8">
        <v>3736999.3745703408</v>
      </c>
      <c r="BP2038" s="8">
        <v>3361518.7479920927</v>
      </c>
      <c r="BQ2038" s="8">
        <v>-375480.62657824811</v>
      </c>
      <c r="BR2038" s="8" t="str">
        <v>Yes</v>
      </c>
    </row>
    <row r="2039" spans="54:70" x14ac:dyDescent="0.2">
      <c r="BB2039" s="94"/>
      <c r="BL2039" s="8">
        <v>1990</v>
      </c>
      <c r="BM2039" s="8">
        <v>3242343.4804366305</v>
      </c>
      <c r="BN2039" s="8">
        <v>2164789.0480347523</v>
      </c>
      <c r="BO2039" s="8">
        <v>5407132.5284713823</v>
      </c>
      <c r="BP2039" s="8">
        <v>2170068.2649558978</v>
      </c>
      <c r="BQ2039" s="8">
        <v>-3237064.2635154845</v>
      </c>
      <c r="BR2039" s="8" t="str">
        <v>Yes</v>
      </c>
    </row>
    <row r="2040" spans="54:70" x14ac:dyDescent="0.2">
      <c r="BB2040" s="94"/>
      <c r="BL2040" s="8">
        <v>1991</v>
      </c>
      <c r="BM2040" s="8">
        <v>2243388.9919347921</v>
      </c>
      <c r="BN2040" s="8">
        <v>373743.14905041485</v>
      </c>
      <c r="BO2040" s="8">
        <v>2617132.1409852072</v>
      </c>
      <c r="BP2040" s="8">
        <v>3366825.6845453526</v>
      </c>
      <c r="BQ2040" s="8">
        <v>749693.54356014542</v>
      </c>
      <c r="BR2040" s="8" t="str">
        <v>No</v>
      </c>
    </row>
    <row r="2041" spans="54:70" x14ac:dyDescent="0.2">
      <c r="BB2041" s="94"/>
      <c r="BL2041" s="8">
        <v>1992</v>
      </c>
      <c r="BM2041" s="8">
        <v>4775214.7352799298</v>
      </c>
      <c r="BN2041" s="8">
        <v>0</v>
      </c>
      <c r="BO2041" s="8">
        <v>4775214.7352799298</v>
      </c>
      <c r="BP2041" s="8">
        <v>2313943.9780664179</v>
      </c>
      <c r="BQ2041" s="8">
        <v>-2461270.757213512</v>
      </c>
      <c r="BR2041" s="8" t="str">
        <v>Yes</v>
      </c>
    </row>
    <row r="2042" spans="54:70" x14ac:dyDescent="0.2">
      <c r="BB2042" s="94"/>
      <c r="BL2042" s="8">
        <v>1993</v>
      </c>
      <c r="BM2042" s="8">
        <v>4897786.1382048577</v>
      </c>
      <c r="BN2042" s="8">
        <v>0</v>
      </c>
      <c r="BO2042" s="8">
        <v>4897786.1382048577</v>
      </c>
      <c r="BP2042" s="8">
        <v>4256347.8283290537</v>
      </c>
      <c r="BQ2042" s="8">
        <v>-641438.309875804</v>
      </c>
      <c r="BR2042" s="8" t="str">
        <v>Yes</v>
      </c>
    </row>
    <row r="2043" spans="54:70" x14ac:dyDescent="0.2">
      <c r="BB2043" s="94"/>
      <c r="BL2043" s="8">
        <v>1994</v>
      </c>
      <c r="BM2043" s="8">
        <v>11475412.485705331</v>
      </c>
      <c r="BN2043" s="8">
        <v>0</v>
      </c>
      <c r="BO2043" s="8">
        <v>11475412.485705331</v>
      </c>
      <c r="BP2043" s="8">
        <v>4161242.1501333369</v>
      </c>
      <c r="BQ2043" s="8">
        <v>-7314170.3355719941</v>
      </c>
      <c r="BR2043" s="8" t="str">
        <v>Yes</v>
      </c>
    </row>
    <row r="2044" spans="54:70" x14ac:dyDescent="0.2">
      <c r="BB2044" s="94"/>
      <c r="BL2044" s="8">
        <v>1995</v>
      </c>
      <c r="BM2044" s="8">
        <v>4374212.7710136967</v>
      </c>
      <c r="BN2044" s="8">
        <v>0</v>
      </c>
      <c r="BO2044" s="8">
        <v>4374212.7710136967</v>
      </c>
      <c r="BP2044" s="8">
        <v>6455250.7642029729</v>
      </c>
      <c r="BQ2044" s="8">
        <v>2081037.9931892762</v>
      </c>
      <c r="BR2044" s="8" t="str">
        <v>No</v>
      </c>
    </row>
    <row r="2045" spans="54:70" x14ac:dyDescent="0.2">
      <c r="BB2045" s="94"/>
      <c r="BL2045" s="8">
        <v>1996</v>
      </c>
      <c r="BM2045" s="8">
        <v>3674565.7449422213</v>
      </c>
      <c r="BN2045" s="8">
        <v>3199875.980634104</v>
      </c>
      <c r="BO2045" s="8">
        <v>6874441.7255763253</v>
      </c>
      <c r="BP2045" s="8">
        <v>3187928.8585712183</v>
      </c>
      <c r="BQ2045" s="8">
        <v>-3686512.867005107</v>
      </c>
      <c r="BR2045" s="8" t="str">
        <v>Yes</v>
      </c>
    </row>
    <row r="2046" spans="54:70" x14ac:dyDescent="0.2">
      <c r="BB2046" s="94"/>
      <c r="BL2046" s="8">
        <v>1997</v>
      </c>
      <c r="BM2046" s="8">
        <v>3683394.5254410175</v>
      </c>
      <c r="BN2046" s="8">
        <v>3514482.4449734865</v>
      </c>
      <c r="BO2046" s="8">
        <v>7197876.9704145044</v>
      </c>
      <c r="BP2046" s="8">
        <v>3500243.9884885354</v>
      </c>
      <c r="BQ2046" s="8">
        <v>-3697632.981925969</v>
      </c>
      <c r="BR2046" s="8" t="str">
        <v>Yes</v>
      </c>
    </row>
    <row r="2047" spans="54:70" x14ac:dyDescent="0.2">
      <c r="BB2047" s="94"/>
      <c r="BL2047" s="8">
        <v>1998</v>
      </c>
      <c r="BM2047" s="8">
        <v>2674422.5844082991</v>
      </c>
      <c r="BN2047" s="8">
        <v>3147107.0432199799</v>
      </c>
      <c r="BO2047" s="8">
        <v>5821529.6276282789</v>
      </c>
      <c r="BP2047" s="8">
        <v>3897300.4721047101</v>
      </c>
      <c r="BQ2047" s="8">
        <v>-1924229.1555235689</v>
      </c>
      <c r="BR2047" s="8" t="str">
        <v>Yes</v>
      </c>
    </row>
    <row r="2048" spans="54:70" x14ac:dyDescent="0.2">
      <c r="BB2048" s="94"/>
      <c r="BL2048" s="8">
        <v>1999</v>
      </c>
      <c r="BM2048" s="8">
        <v>1952749.2584727313</v>
      </c>
      <c r="BN2048" s="8">
        <v>0</v>
      </c>
      <c r="BO2048" s="8">
        <v>1952749.2584727313</v>
      </c>
      <c r="BP2048" s="8">
        <v>2211472.3175689732</v>
      </c>
      <c r="BQ2048" s="8">
        <v>258723.05909624184</v>
      </c>
      <c r="BR2048" s="8" t="str">
        <v>No</v>
      </c>
    </row>
    <row r="2049" spans="54:70" x14ac:dyDescent="0.2">
      <c r="BB2049" s="94"/>
      <c r="BL2049" s="8">
        <v>2000</v>
      </c>
      <c r="BM2049" s="8">
        <v>2892947.2717302148</v>
      </c>
      <c r="BN2049" s="8">
        <v>0</v>
      </c>
      <c r="BO2049" s="8">
        <v>2892947.2717302148</v>
      </c>
      <c r="BP2049" s="8">
        <v>3479511.8571476382</v>
      </c>
      <c r="BQ2049" s="8">
        <v>586564.5854174234</v>
      </c>
      <c r="BR2049" s="8" t="str">
        <v>No</v>
      </c>
    </row>
    <row r="2050" spans="54:70" x14ac:dyDescent="0.2">
      <c r="BB2050" s="94"/>
      <c r="BL2050" s="8">
        <v>2001</v>
      </c>
      <c r="BM2050" s="8">
        <v>14583420.54795759</v>
      </c>
      <c r="BN2050" s="8">
        <v>36244118.492962338</v>
      </c>
      <c r="BO2050" s="8">
        <v>50827539.04091993</v>
      </c>
      <c r="BP2050" s="8">
        <v>2190686.2577266959</v>
      </c>
      <c r="BQ2050" s="8">
        <v>-48636852.783193231</v>
      </c>
      <c r="BR2050" s="8" t="str">
        <v>Yes</v>
      </c>
    </row>
    <row r="2051" spans="54:70" x14ac:dyDescent="0.2">
      <c r="BB2051" s="94"/>
      <c r="BL2051" s="8">
        <v>2002</v>
      </c>
      <c r="BM2051" s="8">
        <v>4578799.1701251706</v>
      </c>
      <c r="BN2051" s="8">
        <v>4087950.3445539679</v>
      </c>
      <c r="BO2051" s="8">
        <v>8666749.5146791376</v>
      </c>
      <c r="BP2051" s="8">
        <v>3182135.5090008434</v>
      </c>
      <c r="BQ2051" s="8">
        <v>-5484614.0056782942</v>
      </c>
      <c r="BR2051" s="8" t="str">
        <v>Yes</v>
      </c>
    </row>
    <row r="2052" spans="54:70" x14ac:dyDescent="0.2">
      <c r="BB2052" s="94"/>
      <c r="BL2052" s="8">
        <v>2003</v>
      </c>
      <c r="BM2052" s="8">
        <v>4175890.3332245667</v>
      </c>
      <c r="BN2052" s="8">
        <v>1173200.4603108324</v>
      </c>
      <c r="BO2052" s="8">
        <v>5349090.7935353993</v>
      </c>
      <c r="BP2052" s="8">
        <v>4449504.4729162911</v>
      </c>
      <c r="BQ2052" s="8">
        <v>-899586.32061910816</v>
      </c>
      <c r="BR2052" s="8" t="str">
        <v>Yes</v>
      </c>
    </row>
    <row r="2053" spans="54:70" x14ac:dyDescent="0.2">
      <c r="BB2053" s="94"/>
      <c r="BL2053" s="8">
        <v>2004</v>
      </c>
      <c r="BM2053" s="8">
        <v>5920059.2833978832</v>
      </c>
      <c r="BN2053" s="8">
        <v>0</v>
      </c>
      <c r="BO2053" s="8">
        <v>5920059.2833978832</v>
      </c>
      <c r="BP2053" s="8">
        <v>6523360.4599553412</v>
      </c>
      <c r="BQ2053" s="8">
        <v>603301.17655745801</v>
      </c>
      <c r="BR2053" s="8" t="str">
        <v>No</v>
      </c>
    </row>
    <row r="2054" spans="54:70" x14ac:dyDescent="0.2">
      <c r="BB2054" s="94"/>
      <c r="BL2054" s="8">
        <v>2005</v>
      </c>
      <c r="BM2054" s="8">
        <v>4388892.796758703</v>
      </c>
      <c r="BN2054" s="8">
        <v>3562809.7080061277</v>
      </c>
      <c r="BO2054" s="8">
        <v>7951702.5047648307</v>
      </c>
      <c r="BP2054" s="8">
        <v>4245648.9248329401</v>
      </c>
      <c r="BQ2054" s="8">
        <v>-3706053.5799318906</v>
      </c>
      <c r="BR2054" s="8" t="str">
        <v>Yes</v>
      </c>
    </row>
    <row r="2055" spans="54:70" x14ac:dyDescent="0.2">
      <c r="BB2055" s="94"/>
      <c r="BL2055" s="8">
        <v>2006</v>
      </c>
      <c r="BM2055" s="8">
        <v>10110974.140225235</v>
      </c>
      <c r="BN2055" s="8">
        <v>0</v>
      </c>
      <c r="BO2055" s="8">
        <v>10110974.140225235</v>
      </c>
      <c r="BP2055" s="8">
        <v>5719889.8228693558</v>
      </c>
      <c r="BQ2055" s="8">
        <v>-4391084.3173558796</v>
      </c>
      <c r="BR2055" s="8" t="str">
        <v>Yes</v>
      </c>
    </row>
    <row r="2056" spans="54:70" x14ac:dyDescent="0.2">
      <c r="BB2056" s="94"/>
      <c r="BL2056" s="8">
        <v>2007</v>
      </c>
      <c r="BM2056" s="8">
        <v>3803259.0855553187</v>
      </c>
      <c r="BN2056" s="8">
        <v>1305312.8087220124</v>
      </c>
      <c r="BO2056" s="8">
        <v>5108571.8942773314</v>
      </c>
      <c r="BP2056" s="8">
        <v>4197805.2672239775</v>
      </c>
      <c r="BQ2056" s="8">
        <v>-910766.62705335394</v>
      </c>
      <c r="BR2056" s="8" t="str">
        <v>Yes</v>
      </c>
    </row>
    <row r="2057" spans="54:70" x14ac:dyDescent="0.2">
      <c r="BB2057" s="94"/>
      <c r="BL2057" s="8">
        <v>2008</v>
      </c>
      <c r="BM2057" s="8">
        <v>3808742.862261808</v>
      </c>
      <c r="BN2057" s="8">
        <v>3677078.4185342379</v>
      </c>
      <c r="BO2057" s="8">
        <v>7485821.2807960454</v>
      </c>
      <c r="BP2057" s="8">
        <v>3401171.6460298588</v>
      </c>
      <c r="BQ2057" s="8">
        <v>-4084649.6347661866</v>
      </c>
      <c r="BR2057" s="8" t="str">
        <v>Yes</v>
      </c>
    </row>
    <row r="2058" spans="54:70" x14ac:dyDescent="0.2">
      <c r="BB2058" s="94"/>
      <c r="BL2058" s="8">
        <v>2009</v>
      </c>
      <c r="BM2058" s="8">
        <v>3118506.7715120031</v>
      </c>
      <c r="BN2058" s="8">
        <v>2564283.9339637286</v>
      </c>
      <c r="BO2058" s="8">
        <v>5682790.7054757318</v>
      </c>
      <c r="BP2058" s="8">
        <v>3332416.7218561154</v>
      </c>
      <c r="BQ2058" s="8">
        <v>-2350373.9836196164</v>
      </c>
      <c r="BR2058" s="8" t="str">
        <v>Yes</v>
      </c>
    </row>
    <row r="2059" spans="54:70" x14ac:dyDescent="0.2">
      <c r="BB2059" s="94"/>
      <c r="BL2059" s="8">
        <v>2010</v>
      </c>
      <c r="BM2059" s="8">
        <v>6116116.6079680398</v>
      </c>
      <c r="BN2059" s="8">
        <v>3921361.3290648917</v>
      </c>
      <c r="BO2059" s="8">
        <v>10037477.937032931</v>
      </c>
      <c r="BP2059" s="8">
        <v>3258511.1355362507</v>
      </c>
      <c r="BQ2059" s="8">
        <v>-6778966.8014966799</v>
      </c>
      <c r="BR2059" s="8" t="str">
        <v>Yes</v>
      </c>
    </row>
    <row r="2060" spans="54:70" x14ac:dyDescent="0.2">
      <c r="BB2060" s="94"/>
      <c r="BL2060" s="8">
        <v>2011</v>
      </c>
      <c r="BM2060" s="8">
        <v>4885019.652069632</v>
      </c>
      <c r="BN2060" s="8">
        <v>0</v>
      </c>
      <c r="BO2060" s="8">
        <v>4885019.652069632</v>
      </c>
      <c r="BP2060" s="8">
        <v>2467917.5159079242</v>
      </c>
      <c r="BQ2060" s="8">
        <v>-2417102.1361617078</v>
      </c>
      <c r="BR2060" s="8" t="str">
        <v>Yes</v>
      </c>
    </row>
    <row r="2061" spans="54:70" x14ac:dyDescent="0.2">
      <c r="BB2061" s="94"/>
      <c r="BL2061" s="8">
        <v>2012</v>
      </c>
      <c r="BM2061" s="8">
        <v>3312079.1759277871</v>
      </c>
      <c r="BN2061" s="8">
        <v>1737517.907606533</v>
      </c>
      <c r="BO2061" s="8">
        <v>5049597.0835343199</v>
      </c>
      <c r="BP2061" s="8">
        <v>5798404.6232972387</v>
      </c>
      <c r="BQ2061" s="8">
        <v>748807.53976291884</v>
      </c>
      <c r="BR2061" s="8" t="str">
        <v>No</v>
      </c>
    </row>
    <row r="2062" spans="54:70" x14ac:dyDescent="0.2">
      <c r="BB2062" s="94"/>
      <c r="BL2062" s="8">
        <v>2013</v>
      </c>
      <c r="BM2062" s="8">
        <v>2836911.4888032163</v>
      </c>
      <c r="BN2062" s="8">
        <v>1878113.5417895254</v>
      </c>
      <c r="BO2062" s="8">
        <v>4715025.0305927414</v>
      </c>
      <c r="BP2062" s="8">
        <v>6083705.6951410733</v>
      </c>
      <c r="BQ2062" s="8">
        <v>1368680.6645483319</v>
      </c>
      <c r="BR2062" s="8" t="str">
        <v>No</v>
      </c>
    </row>
    <row r="2063" spans="54:70" x14ac:dyDescent="0.2">
      <c r="BB2063" s="94"/>
      <c r="BL2063" s="8">
        <v>2014</v>
      </c>
      <c r="BM2063" s="8">
        <v>2818884.0132493726</v>
      </c>
      <c r="BN2063" s="8">
        <v>844831.85347249638</v>
      </c>
      <c r="BO2063" s="8">
        <v>3663715.866721869</v>
      </c>
      <c r="BP2063" s="8">
        <v>5138939.5594021045</v>
      </c>
      <c r="BQ2063" s="8">
        <v>1475223.6926802355</v>
      </c>
      <c r="BR2063" s="8" t="str">
        <v>No</v>
      </c>
    </row>
    <row r="2064" spans="54:70" x14ac:dyDescent="0.2">
      <c r="BB2064" s="94"/>
      <c r="BL2064" s="8">
        <v>2015</v>
      </c>
      <c r="BM2064" s="8">
        <v>5513128.0638490431</v>
      </c>
      <c r="BN2064" s="8">
        <v>4889081.1783244684</v>
      </c>
      <c r="BO2064" s="8">
        <v>10402209.242173512</v>
      </c>
      <c r="BP2064" s="8">
        <v>6551454.6197892418</v>
      </c>
      <c r="BQ2064" s="8">
        <v>-3850754.6223842697</v>
      </c>
      <c r="BR2064" s="8" t="str">
        <v>Yes</v>
      </c>
    </row>
    <row r="2065" spans="54:70" x14ac:dyDescent="0.2">
      <c r="BB2065" s="94"/>
      <c r="BL2065" s="8">
        <v>2016</v>
      </c>
      <c r="BM2065" s="8">
        <v>4234088.076955352</v>
      </c>
      <c r="BN2065" s="8">
        <v>0</v>
      </c>
      <c r="BO2065" s="8">
        <v>4234088.076955352</v>
      </c>
      <c r="BP2065" s="8">
        <v>3297965.7508040178</v>
      </c>
      <c r="BQ2065" s="8">
        <v>-936122.32615133421</v>
      </c>
      <c r="BR2065" s="8" t="str">
        <v>Yes</v>
      </c>
    </row>
    <row r="2066" spans="54:70" x14ac:dyDescent="0.2">
      <c r="BB2066" s="94"/>
      <c r="BL2066" s="8">
        <v>2017</v>
      </c>
      <c r="BM2066" s="8">
        <v>6063805.8479427435</v>
      </c>
      <c r="BN2066" s="8">
        <v>0</v>
      </c>
      <c r="BO2066" s="8">
        <v>6063805.8479427435</v>
      </c>
      <c r="BP2066" s="8">
        <v>4805622.9472262654</v>
      </c>
      <c r="BQ2066" s="8">
        <v>-1258182.900716478</v>
      </c>
      <c r="BR2066" s="8" t="str">
        <v>Yes</v>
      </c>
    </row>
    <row r="2067" spans="54:70" x14ac:dyDescent="0.2">
      <c r="BB2067" s="94"/>
      <c r="BL2067" s="8">
        <v>2018</v>
      </c>
      <c r="BM2067" s="8">
        <v>3254301.7328795735</v>
      </c>
      <c r="BN2067" s="8">
        <v>2358628.8591996618</v>
      </c>
      <c r="BO2067" s="8">
        <v>5612930.5920792352</v>
      </c>
      <c r="BP2067" s="8">
        <v>6190995.0436102934</v>
      </c>
      <c r="BQ2067" s="8">
        <v>578064.45153105818</v>
      </c>
      <c r="BR2067" s="8" t="str">
        <v>No</v>
      </c>
    </row>
    <row r="2068" spans="54:70" x14ac:dyDescent="0.2">
      <c r="BB2068" s="94"/>
      <c r="BL2068" s="8">
        <v>2019</v>
      </c>
      <c r="BM2068" s="8">
        <v>5694788.1446676906</v>
      </c>
      <c r="BN2068" s="8">
        <v>0</v>
      </c>
      <c r="BO2068" s="8">
        <v>5694788.1446676906</v>
      </c>
      <c r="BP2068" s="8">
        <v>6277244.6841507209</v>
      </c>
      <c r="BQ2068" s="8">
        <v>582456.53948303033</v>
      </c>
      <c r="BR2068" s="8" t="str">
        <v>No</v>
      </c>
    </row>
    <row r="2069" spans="54:70" x14ac:dyDescent="0.2">
      <c r="BB2069" s="94"/>
      <c r="BL2069" s="8">
        <v>2020</v>
      </c>
      <c r="BM2069" s="8">
        <v>6172521.4355162634</v>
      </c>
      <c r="BN2069" s="8">
        <v>9231975.1271137465</v>
      </c>
      <c r="BO2069" s="8">
        <v>15404496.562630009</v>
      </c>
      <c r="BP2069" s="8">
        <v>3471872.2184952176</v>
      </c>
      <c r="BQ2069" s="8">
        <v>-11932624.344134791</v>
      </c>
      <c r="BR2069" s="8" t="str">
        <v>Yes</v>
      </c>
    </row>
    <row r="2070" spans="54:70" x14ac:dyDescent="0.2">
      <c r="BB2070" s="94"/>
      <c r="BL2070" s="8">
        <v>2021</v>
      </c>
      <c r="BM2070" s="8">
        <v>2759759.0263178805</v>
      </c>
      <c r="BN2070" s="8">
        <v>0</v>
      </c>
      <c r="BO2070" s="8">
        <v>2759759.0263178805</v>
      </c>
      <c r="BP2070" s="8">
        <v>2237222.1043132669</v>
      </c>
      <c r="BQ2070" s="8">
        <v>-522536.92200461356</v>
      </c>
      <c r="BR2070" s="8" t="str">
        <v>Yes</v>
      </c>
    </row>
    <row r="2071" spans="54:70" x14ac:dyDescent="0.2">
      <c r="BB2071" s="94"/>
      <c r="BL2071" s="8">
        <v>2022</v>
      </c>
      <c r="BM2071" s="8">
        <v>7534253.6309658401</v>
      </c>
      <c r="BN2071" s="8">
        <v>6413146.5777006447</v>
      </c>
      <c r="BO2071" s="8">
        <v>13947400.208666485</v>
      </c>
      <c r="BP2071" s="8">
        <v>2092117.7747943653</v>
      </c>
      <c r="BQ2071" s="8">
        <v>-11855282.433872119</v>
      </c>
      <c r="BR2071" s="8" t="str">
        <v>Yes</v>
      </c>
    </row>
    <row r="2072" spans="54:70" x14ac:dyDescent="0.2">
      <c r="BB2072" s="94"/>
      <c r="BL2072" s="8">
        <v>2023</v>
      </c>
      <c r="BM2072" s="8">
        <v>4532032.3069471652</v>
      </c>
      <c r="BN2072" s="8">
        <v>0</v>
      </c>
      <c r="BO2072" s="8">
        <v>4532032.3069471652</v>
      </c>
      <c r="BP2072" s="8">
        <v>5557616.670404816</v>
      </c>
      <c r="BQ2072" s="8">
        <v>1025584.3634576509</v>
      </c>
      <c r="BR2072" s="8" t="str">
        <v>No</v>
      </c>
    </row>
    <row r="2073" spans="54:70" x14ac:dyDescent="0.2">
      <c r="BB2073" s="94"/>
      <c r="BL2073" s="8">
        <v>2024</v>
      </c>
      <c r="BM2073" s="8">
        <v>8374201.5721857939</v>
      </c>
      <c r="BN2073" s="8">
        <v>6993219.8784629349</v>
      </c>
      <c r="BO2073" s="8">
        <v>15367421.450648729</v>
      </c>
      <c r="BP2073" s="8">
        <v>5852401.8016719455</v>
      </c>
      <c r="BQ2073" s="8">
        <v>-9515019.6489767842</v>
      </c>
      <c r="BR2073" s="8" t="str">
        <v>Yes</v>
      </c>
    </row>
    <row r="2074" spans="54:70" x14ac:dyDescent="0.2">
      <c r="BB2074" s="94"/>
      <c r="BL2074" s="8">
        <v>2025</v>
      </c>
      <c r="BM2074" s="8">
        <v>8521223.1839765627</v>
      </c>
      <c r="BN2074" s="8">
        <v>7699252.3598508751</v>
      </c>
      <c r="BO2074" s="8">
        <v>16220475.543827437</v>
      </c>
      <c r="BP2074" s="8">
        <v>2614970.0973845455</v>
      </c>
      <c r="BQ2074" s="8">
        <v>-13605505.446442891</v>
      </c>
      <c r="BR2074" s="8" t="str">
        <v>Yes</v>
      </c>
    </row>
    <row r="2075" spans="54:70" x14ac:dyDescent="0.2">
      <c r="BB2075" s="94"/>
      <c r="BL2075" s="8">
        <v>2026</v>
      </c>
      <c r="BM2075" s="8">
        <v>4754752.6073306398</v>
      </c>
      <c r="BN2075" s="8">
        <v>4771662.6522265822</v>
      </c>
      <c r="BO2075" s="8">
        <v>9526415.2595572211</v>
      </c>
      <c r="BP2075" s="8">
        <v>3286110.5318365963</v>
      </c>
      <c r="BQ2075" s="8">
        <v>-6240304.7277206248</v>
      </c>
      <c r="BR2075" s="8" t="str">
        <v>Yes</v>
      </c>
    </row>
    <row r="2076" spans="54:70" x14ac:dyDescent="0.2">
      <c r="BB2076" s="94"/>
      <c r="BL2076" s="8">
        <v>2027</v>
      </c>
      <c r="BM2076" s="8">
        <v>5411482.2892716872</v>
      </c>
      <c r="BN2076" s="8">
        <v>10704695.414381426</v>
      </c>
      <c r="BO2076" s="8">
        <v>16116177.703653112</v>
      </c>
      <c r="BP2076" s="8">
        <v>3259514.1175909708</v>
      </c>
      <c r="BQ2076" s="8">
        <v>-12856663.586062141</v>
      </c>
      <c r="BR2076" s="8" t="str">
        <v>Yes</v>
      </c>
    </row>
    <row r="2077" spans="54:70" x14ac:dyDescent="0.2">
      <c r="BB2077" s="94"/>
      <c r="BL2077" s="8">
        <v>2028</v>
      </c>
      <c r="BM2077" s="8">
        <v>10224172.93788754</v>
      </c>
      <c r="BN2077" s="8">
        <v>0</v>
      </c>
      <c r="BO2077" s="8">
        <v>10224172.93788754</v>
      </c>
      <c r="BP2077" s="8">
        <v>6241123.1986337975</v>
      </c>
      <c r="BQ2077" s="8">
        <v>-3983049.7392537426</v>
      </c>
      <c r="BR2077" s="8" t="str">
        <v>Yes</v>
      </c>
    </row>
    <row r="2078" spans="54:70" x14ac:dyDescent="0.2">
      <c r="BB2078" s="94"/>
      <c r="BL2078" s="8">
        <v>2029</v>
      </c>
      <c r="BM2078" s="8">
        <v>3110638.7652162416</v>
      </c>
      <c r="BN2078" s="8">
        <v>1728984.6840615191</v>
      </c>
      <c r="BO2078" s="8">
        <v>4839623.4492777605</v>
      </c>
      <c r="BP2078" s="8">
        <v>2322669.338100059</v>
      </c>
      <c r="BQ2078" s="8">
        <v>-2516954.1111777015</v>
      </c>
      <c r="BR2078" s="8" t="str">
        <v>Yes</v>
      </c>
    </row>
    <row r="2079" spans="54:70" x14ac:dyDescent="0.2">
      <c r="BB2079" s="94"/>
      <c r="BL2079" s="8">
        <v>2030</v>
      </c>
      <c r="BM2079" s="8">
        <v>6742343.5236634519</v>
      </c>
      <c r="BN2079" s="8">
        <v>5110938.5498359222</v>
      </c>
      <c r="BO2079" s="8">
        <v>11853282.073499374</v>
      </c>
      <c r="BP2079" s="8">
        <v>4212501.2164268773</v>
      </c>
      <c r="BQ2079" s="8">
        <v>-7640780.8570724968</v>
      </c>
      <c r="BR2079" s="8" t="str">
        <v>Yes</v>
      </c>
    </row>
    <row r="2080" spans="54:70" x14ac:dyDescent="0.2">
      <c r="BB2080" s="94"/>
      <c r="BL2080" s="8">
        <v>2031</v>
      </c>
      <c r="BM2080" s="8">
        <v>3901681.7944954485</v>
      </c>
      <c r="BN2080" s="8">
        <v>0</v>
      </c>
      <c r="BO2080" s="8">
        <v>3901681.7944954485</v>
      </c>
      <c r="BP2080" s="8">
        <v>3185021.2335713482</v>
      </c>
      <c r="BQ2080" s="8">
        <v>-716660.56092410022</v>
      </c>
      <c r="BR2080" s="8" t="str">
        <v>Yes</v>
      </c>
    </row>
    <row r="2081" spans="54:70" x14ac:dyDescent="0.2">
      <c r="BB2081" s="94"/>
      <c r="BL2081" s="8">
        <v>2032</v>
      </c>
      <c r="BM2081" s="8">
        <v>5455388.2808183152</v>
      </c>
      <c r="BN2081" s="8">
        <v>5873177.9799624756</v>
      </c>
      <c r="BO2081" s="8">
        <v>11328566.260780791</v>
      </c>
      <c r="BP2081" s="8">
        <v>3565212.5051922812</v>
      </c>
      <c r="BQ2081" s="8">
        <v>-7763353.7555885091</v>
      </c>
      <c r="BR2081" s="8" t="str">
        <v>Yes</v>
      </c>
    </row>
    <row r="2082" spans="54:70" x14ac:dyDescent="0.2">
      <c r="BB2082" s="94"/>
      <c r="BL2082" s="8">
        <v>2033</v>
      </c>
      <c r="BM2082" s="8">
        <v>2972116.7083133748</v>
      </c>
      <c r="BN2082" s="8">
        <v>1542866.4330290845</v>
      </c>
      <c r="BO2082" s="8">
        <v>4514983.1413424592</v>
      </c>
      <c r="BP2082" s="8">
        <v>6196422.2757636076</v>
      </c>
      <c r="BQ2082" s="8">
        <v>1681439.1344211483</v>
      </c>
      <c r="BR2082" s="8" t="str">
        <v>No</v>
      </c>
    </row>
    <row r="2083" spans="54:70" x14ac:dyDescent="0.2">
      <c r="BB2083" s="94"/>
      <c r="BL2083" s="8">
        <v>2034</v>
      </c>
      <c r="BM2083" s="8">
        <v>2318432.1368191126</v>
      </c>
      <c r="BN2083" s="8">
        <v>0</v>
      </c>
      <c r="BO2083" s="8">
        <v>2318432.1368191126</v>
      </c>
      <c r="BP2083" s="8">
        <v>6494827.535191928</v>
      </c>
      <c r="BQ2083" s="8">
        <v>4176395.3983728155</v>
      </c>
      <c r="BR2083" s="8" t="str">
        <v>No</v>
      </c>
    </row>
    <row r="2084" spans="54:70" x14ac:dyDescent="0.2">
      <c r="BB2084" s="94"/>
      <c r="BL2084" s="8">
        <v>2035</v>
      </c>
      <c r="BM2084" s="8">
        <v>4857408.007929042</v>
      </c>
      <c r="BN2084" s="8">
        <v>0</v>
      </c>
      <c r="BO2084" s="8">
        <v>4857408.007929042</v>
      </c>
      <c r="BP2084" s="8">
        <v>3599811.9076923444</v>
      </c>
      <c r="BQ2084" s="8">
        <v>-1257596.1002366976</v>
      </c>
      <c r="BR2084" s="8" t="str">
        <v>Yes</v>
      </c>
    </row>
    <row r="2085" spans="54:70" x14ac:dyDescent="0.2">
      <c r="BB2085" s="94"/>
      <c r="BL2085" s="8">
        <v>2036</v>
      </c>
      <c r="BM2085" s="8">
        <v>4404707.5629677717</v>
      </c>
      <c r="BN2085" s="8">
        <v>2997672.5574875004</v>
      </c>
      <c r="BO2085" s="8">
        <v>7402380.1204552725</v>
      </c>
      <c r="BP2085" s="8">
        <v>3438683.9028432774</v>
      </c>
      <c r="BQ2085" s="8">
        <v>-3963696.2176119951</v>
      </c>
      <c r="BR2085" s="8" t="str">
        <v>Yes</v>
      </c>
    </row>
    <row r="2086" spans="54:70" x14ac:dyDescent="0.2">
      <c r="BB2086" s="94"/>
      <c r="BL2086" s="8">
        <v>2037</v>
      </c>
      <c r="BM2086" s="8">
        <v>4550859.8058822807</v>
      </c>
      <c r="BN2086" s="8">
        <v>0</v>
      </c>
      <c r="BO2086" s="8">
        <v>4550859.8058822807</v>
      </c>
      <c r="BP2086" s="8">
        <v>6023525.3804668691</v>
      </c>
      <c r="BQ2086" s="8">
        <v>1472665.5745845884</v>
      </c>
      <c r="BR2086" s="8" t="str">
        <v>No</v>
      </c>
    </row>
    <row r="2087" spans="54:70" x14ac:dyDescent="0.2">
      <c r="BB2087" s="94"/>
      <c r="BL2087" s="8">
        <v>2038</v>
      </c>
      <c r="BM2087" s="8">
        <v>3044745.1357828914</v>
      </c>
      <c r="BN2087" s="8">
        <v>0</v>
      </c>
      <c r="BO2087" s="8">
        <v>3044745.1357828914</v>
      </c>
      <c r="BP2087" s="8">
        <v>3862652.8803900043</v>
      </c>
      <c r="BQ2087" s="8">
        <v>817907.74460711284</v>
      </c>
      <c r="BR2087" s="8" t="str">
        <v>No</v>
      </c>
    </row>
    <row r="2088" spans="54:70" x14ac:dyDescent="0.2">
      <c r="BB2088" s="94"/>
      <c r="BL2088" s="8">
        <v>2039</v>
      </c>
      <c r="BM2088" s="8">
        <v>4377762.3595178435</v>
      </c>
      <c r="BN2088" s="8">
        <v>0</v>
      </c>
      <c r="BO2088" s="8">
        <v>4377762.3595178435</v>
      </c>
      <c r="BP2088" s="8">
        <v>5784461.6553865476</v>
      </c>
      <c r="BQ2088" s="8">
        <v>1406699.2958687041</v>
      </c>
      <c r="BR2088" s="8" t="str">
        <v>No</v>
      </c>
    </row>
    <row r="2089" spans="54:70" x14ac:dyDescent="0.2">
      <c r="BB2089" s="94"/>
      <c r="BL2089" s="8">
        <v>2040</v>
      </c>
      <c r="BM2089" s="8">
        <v>11482758.439194201</v>
      </c>
      <c r="BN2089" s="8">
        <v>11053373.448396211</v>
      </c>
      <c r="BO2089" s="8">
        <v>22536131.887590412</v>
      </c>
      <c r="BP2089" s="8">
        <v>2351916.7184691653</v>
      </c>
      <c r="BQ2089" s="8">
        <v>-20184215.169121247</v>
      </c>
      <c r="BR2089" s="8" t="str">
        <v>Yes</v>
      </c>
    </row>
    <row r="2090" spans="54:70" x14ac:dyDescent="0.2">
      <c r="BB2090" s="94"/>
      <c r="BL2090" s="8">
        <v>2041</v>
      </c>
      <c r="BM2090" s="8">
        <v>6859153.0901758168</v>
      </c>
      <c r="BN2090" s="8">
        <v>1966167.5973846887</v>
      </c>
      <c r="BO2090" s="8">
        <v>8825320.6875605062</v>
      </c>
      <c r="BP2090" s="8">
        <v>3224369.0346787707</v>
      </c>
      <c r="BQ2090" s="8">
        <v>-5600951.6528817359</v>
      </c>
      <c r="BR2090" s="8" t="str">
        <v>Yes</v>
      </c>
    </row>
    <row r="2091" spans="54:70" x14ac:dyDescent="0.2">
      <c r="BB2091" s="94"/>
      <c r="BL2091" s="8">
        <v>2042</v>
      </c>
      <c r="BM2091" s="8">
        <v>6466949.658686148</v>
      </c>
      <c r="BN2091" s="8">
        <v>0</v>
      </c>
      <c r="BO2091" s="8">
        <v>6466949.658686148</v>
      </c>
      <c r="BP2091" s="8">
        <v>4441851.4771397384</v>
      </c>
      <c r="BQ2091" s="8">
        <v>-2025098.1815464096</v>
      </c>
      <c r="BR2091" s="8" t="str">
        <v>Yes</v>
      </c>
    </row>
    <row r="2092" spans="54:70" x14ac:dyDescent="0.2">
      <c r="BB2092" s="94"/>
      <c r="BL2092" s="8">
        <v>2043</v>
      </c>
      <c r="BM2092" s="8">
        <v>2317679.7609035298</v>
      </c>
      <c r="BN2092" s="8">
        <v>0</v>
      </c>
      <c r="BO2092" s="8">
        <v>2317679.7609035298</v>
      </c>
      <c r="BP2092" s="8">
        <v>2052150.13198173</v>
      </c>
      <c r="BQ2092" s="8">
        <v>-265529.62892179983</v>
      </c>
      <c r="BR2092" s="8" t="str">
        <v>Yes</v>
      </c>
    </row>
    <row r="2093" spans="54:70" x14ac:dyDescent="0.2">
      <c r="BB2093" s="94"/>
      <c r="BL2093" s="8">
        <v>2044</v>
      </c>
      <c r="BM2093" s="8">
        <v>11852819.048611823</v>
      </c>
      <c r="BN2093" s="8">
        <v>9455725.8928219117</v>
      </c>
      <c r="BO2093" s="8">
        <v>21308544.941433735</v>
      </c>
      <c r="BP2093" s="8">
        <v>2058849.0254224138</v>
      </c>
      <c r="BQ2093" s="8">
        <v>-19249695.916011322</v>
      </c>
      <c r="BR2093" s="8" t="str">
        <v>Yes</v>
      </c>
    </row>
    <row r="2094" spans="54:70" x14ac:dyDescent="0.2">
      <c r="BB2094" s="94"/>
      <c r="BL2094" s="8">
        <v>2045</v>
      </c>
      <c r="BM2094" s="8">
        <v>2034939.2757417299</v>
      </c>
      <c r="BN2094" s="8">
        <v>2658772.1584095946</v>
      </c>
      <c r="BO2094" s="8">
        <v>4693711.4341513244</v>
      </c>
      <c r="BP2094" s="8">
        <v>2129753.0345373261</v>
      </c>
      <c r="BQ2094" s="8">
        <v>-2563958.3996139984</v>
      </c>
      <c r="BR2094" s="8" t="str">
        <v>Yes</v>
      </c>
    </row>
    <row r="2095" spans="54:70" x14ac:dyDescent="0.2">
      <c r="BB2095" s="94"/>
      <c r="BL2095" s="8">
        <v>2046</v>
      </c>
      <c r="BM2095" s="8">
        <v>4865108.0987239406</v>
      </c>
      <c r="BN2095" s="8">
        <v>0</v>
      </c>
      <c r="BO2095" s="8">
        <v>4865108.0987239406</v>
      </c>
      <c r="BP2095" s="8">
        <v>2217147.6278453167</v>
      </c>
      <c r="BQ2095" s="8">
        <v>-2647960.4708786239</v>
      </c>
      <c r="BR2095" s="8" t="str">
        <v>Yes</v>
      </c>
    </row>
    <row r="2096" spans="54:70" x14ac:dyDescent="0.2">
      <c r="BB2096" s="94"/>
      <c r="BL2096" s="8">
        <v>2047</v>
      </c>
      <c r="BM2096" s="8">
        <v>12898600.928578263</v>
      </c>
      <c r="BN2096" s="8">
        <v>0</v>
      </c>
      <c r="BO2096" s="8">
        <v>12898600.928578263</v>
      </c>
      <c r="BP2096" s="8">
        <v>4099299.1096116998</v>
      </c>
      <c r="BQ2096" s="8">
        <v>-8799301.8189665638</v>
      </c>
      <c r="BR2096" s="8" t="str">
        <v>Yes</v>
      </c>
    </row>
    <row r="2097" spans="54:70" x14ac:dyDescent="0.2">
      <c r="BB2097" s="94"/>
      <c r="BL2097" s="8">
        <v>2048</v>
      </c>
      <c r="BM2097" s="8">
        <v>3133818.5337619483</v>
      </c>
      <c r="BN2097" s="8">
        <v>0</v>
      </c>
      <c r="BO2097" s="8">
        <v>3133818.5337619483</v>
      </c>
      <c r="BP2097" s="8">
        <v>6344504.5442312034</v>
      </c>
      <c r="BQ2097" s="8">
        <v>3210686.010469255</v>
      </c>
      <c r="BR2097" s="8" t="str">
        <v>No</v>
      </c>
    </row>
    <row r="2098" spans="54:70" x14ac:dyDescent="0.2">
      <c r="BB2098" s="94"/>
      <c r="BL2098" s="8">
        <v>2049</v>
      </c>
      <c r="BM2098" s="8">
        <v>9174506.4388791956</v>
      </c>
      <c r="BN2098" s="8">
        <v>0</v>
      </c>
      <c r="BO2098" s="8">
        <v>9174506.4388791956</v>
      </c>
      <c r="BP2098" s="8">
        <v>4347649.6493557915</v>
      </c>
      <c r="BQ2098" s="8">
        <v>-4826856.7895234041</v>
      </c>
      <c r="BR2098" s="8" t="str">
        <v>Yes</v>
      </c>
    </row>
    <row r="2099" spans="54:70" x14ac:dyDescent="0.2">
      <c r="BB2099" s="94"/>
      <c r="BL2099" s="8">
        <v>2050</v>
      </c>
      <c r="BM2099" s="8">
        <v>7770544.1510266624</v>
      </c>
      <c r="BN2099" s="8">
        <v>0</v>
      </c>
      <c r="BO2099" s="8">
        <v>7770544.1510266624</v>
      </c>
      <c r="BP2099" s="8">
        <v>3570843.047888027</v>
      </c>
      <c r="BQ2099" s="8">
        <v>-4199701.1031386349</v>
      </c>
      <c r="BR2099" s="8" t="str">
        <v>Yes</v>
      </c>
    </row>
    <row r="2100" spans="54:70" x14ac:dyDescent="0.2">
      <c r="BB2100" s="94"/>
      <c r="BL2100" s="8">
        <v>2051</v>
      </c>
      <c r="BM2100" s="8">
        <v>2182446.8098311517</v>
      </c>
      <c r="BN2100" s="8">
        <v>628627.75573125365</v>
      </c>
      <c r="BO2100" s="8">
        <v>2811074.5655624056</v>
      </c>
      <c r="BP2100" s="8">
        <v>6255453.4085638272</v>
      </c>
      <c r="BQ2100" s="8">
        <v>3444378.8430014215</v>
      </c>
      <c r="BR2100" s="8" t="str">
        <v>No</v>
      </c>
    </row>
    <row r="2101" spans="54:70" x14ac:dyDescent="0.2">
      <c r="BB2101" s="94"/>
      <c r="BL2101" s="8">
        <v>2052</v>
      </c>
      <c r="BM2101" s="8">
        <v>5945891.3655549996</v>
      </c>
      <c r="BN2101" s="8">
        <v>0</v>
      </c>
      <c r="BO2101" s="8">
        <v>5945891.3655549996</v>
      </c>
      <c r="BP2101" s="8">
        <v>6806268.6518331748</v>
      </c>
      <c r="BQ2101" s="8">
        <v>860377.28627817519</v>
      </c>
      <c r="BR2101" s="8" t="str">
        <v>No</v>
      </c>
    </row>
    <row r="2102" spans="54:70" x14ac:dyDescent="0.2">
      <c r="BB2102" s="94"/>
      <c r="BL2102" s="8">
        <v>2053</v>
      </c>
      <c r="BM2102" s="8">
        <v>7517375.3669066057</v>
      </c>
      <c r="BN2102" s="8">
        <v>2478029.2135966606</v>
      </c>
      <c r="BO2102" s="8">
        <v>9995404.5805032663</v>
      </c>
      <c r="BP2102" s="8">
        <v>6665665.21187275</v>
      </c>
      <c r="BQ2102" s="8">
        <v>-3329739.3686305163</v>
      </c>
      <c r="BR2102" s="8" t="str">
        <v>Yes</v>
      </c>
    </row>
    <row r="2103" spans="54:70" x14ac:dyDescent="0.2">
      <c r="BB2103" s="94"/>
      <c r="BL2103" s="8">
        <v>2054</v>
      </c>
      <c r="BM2103" s="8">
        <v>6623522.1584903542</v>
      </c>
      <c r="BN2103" s="8">
        <v>4787678.9600230725</v>
      </c>
      <c r="BO2103" s="8">
        <v>11411201.118513428</v>
      </c>
      <c r="BP2103" s="8">
        <v>4175892.9301039693</v>
      </c>
      <c r="BQ2103" s="8">
        <v>-7235308.1884094588</v>
      </c>
      <c r="BR2103" s="8" t="str">
        <v>Yes</v>
      </c>
    </row>
    <row r="2104" spans="54:70" x14ac:dyDescent="0.2">
      <c r="BB2104" s="94"/>
      <c r="BL2104" s="8">
        <v>2055</v>
      </c>
      <c r="BM2104" s="8">
        <v>3030030.3703067666</v>
      </c>
      <c r="BN2104" s="8">
        <v>1760838.9790203031</v>
      </c>
      <c r="BO2104" s="8">
        <v>4790869.3493270697</v>
      </c>
      <c r="BP2104" s="8">
        <v>3259350.1352601429</v>
      </c>
      <c r="BQ2104" s="8">
        <v>-1531519.2140669269</v>
      </c>
      <c r="BR2104" s="8" t="str">
        <v>Yes</v>
      </c>
    </row>
    <row r="2105" spans="54:70" x14ac:dyDescent="0.2">
      <c r="BB2105" s="94"/>
      <c r="BL2105" s="8">
        <v>2056</v>
      </c>
      <c r="BM2105" s="8">
        <v>5253327.113227563</v>
      </c>
      <c r="BN2105" s="8">
        <v>4700820.9787259251</v>
      </c>
      <c r="BO2105" s="8">
        <v>9954148.0919534881</v>
      </c>
      <c r="BP2105" s="8">
        <v>3837773.1308077285</v>
      </c>
      <c r="BQ2105" s="8">
        <v>-6116374.9611457596</v>
      </c>
      <c r="BR2105" s="8" t="str">
        <v>Yes</v>
      </c>
    </row>
    <row r="2106" spans="54:70" x14ac:dyDescent="0.2">
      <c r="BB2106" s="94"/>
      <c r="BL2106" s="8">
        <v>2057</v>
      </c>
      <c r="BM2106" s="8">
        <v>4102211.6964223469</v>
      </c>
      <c r="BN2106" s="8">
        <v>2919247.6989114229</v>
      </c>
      <c r="BO2106" s="8">
        <v>7021459.3953337697</v>
      </c>
      <c r="BP2106" s="8">
        <v>6109099.1701744525</v>
      </c>
      <c r="BQ2106" s="8">
        <v>-912360.22515931726</v>
      </c>
      <c r="BR2106" s="8" t="str">
        <v>Yes</v>
      </c>
    </row>
    <row r="2107" spans="54:70" x14ac:dyDescent="0.2">
      <c r="BB2107" s="94"/>
      <c r="BL2107" s="8">
        <v>2058</v>
      </c>
      <c r="BM2107" s="8">
        <v>7563534.7877106192</v>
      </c>
      <c r="BN2107" s="8">
        <v>8175925.5382497432</v>
      </c>
      <c r="BO2107" s="8">
        <v>15739460.325960362</v>
      </c>
      <c r="BP2107" s="8">
        <v>4763968.1579627357</v>
      </c>
      <c r="BQ2107" s="8">
        <v>-10975492.167997627</v>
      </c>
      <c r="BR2107" s="8" t="str">
        <v>Yes</v>
      </c>
    </row>
    <row r="2108" spans="54:70" x14ac:dyDescent="0.2">
      <c r="BB2108" s="94"/>
      <c r="BL2108" s="8">
        <v>2059</v>
      </c>
      <c r="BM2108" s="8">
        <v>3980799.472325651</v>
      </c>
      <c r="BN2108" s="8">
        <v>0</v>
      </c>
      <c r="BO2108" s="8">
        <v>3980799.472325651</v>
      </c>
      <c r="BP2108" s="8">
        <v>6117919.3199566109</v>
      </c>
      <c r="BQ2108" s="8">
        <v>2137119.8476309599</v>
      </c>
      <c r="BR2108" s="8" t="str">
        <v>No</v>
      </c>
    </row>
    <row r="2109" spans="54:70" x14ac:dyDescent="0.2">
      <c r="BB2109" s="94"/>
      <c r="BL2109" s="8">
        <v>2060</v>
      </c>
      <c r="BM2109" s="8">
        <v>4769771.7351581706</v>
      </c>
      <c r="BN2109" s="8">
        <v>0</v>
      </c>
      <c r="BO2109" s="8">
        <v>4769771.7351581706</v>
      </c>
      <c r="BP2109" s="8">
        <v>5354490.9624685021</v>
      </c>
      <c r="BQ2109" s="8">
        <v>584719.22731033154</v>
      </c>
      <c r="BR2109" s="8" t="str">
        <v>No</v>
      </c>
    </row>
    <row r="2110" spans="54:70" x14ac:dyDescent="0.2">
      <c r="BB2110" s="94"/>
      <c r="BL2110" s="8">
        <v>2061</v>
      </c>
      <c r="BM2110" s="8">
        <v>2350831.0262060408</v>
      </c>
      <c r="BN2110" s="8">
        <v>2394521.6477536024</v>
      </c>
      <c r="BO2110" s="8">
        <v>4745352.6739596426</v>
      </c>
      <c r="BP2110" s="8">
        <v>2305380.3487908738</v>
      </c>
      <c r="BQ2110" s="8">
        <v>-2439972.3251687689</v>
      </c>
      <c r="BR2110" s="8" t="str">
        <v>Yes</v>
      </c>
    </row>
    <row r="2111" spans="54:70" x14ac:dyDescent="0.2">
      <c r="BB2111" s="94"/>
      <c r="BL2111" s="8">
        <v>2062</v>
      </c>
      <c r="BM2111" s="8">
        <v>5128947.8661794355</v>
      </c>
      <c r="BN2111" s="8">
        <v>3951352.140023631</v>
      </c>
      <c r="BO2111" s="8">
        <v>9080300.0062030666</v>
      </c>
      <c r="BP2111" s="8">
        <v>2191246.9045488317</v>
      </c>
      <c r="BQ2111" s="8">
        <v>-6889053.1016542353</v>
      </c>
      <c r="BR2111" s="8" t="str">
        <v>Yes</v>
      </c>
    </row>
    <row r="2112" spans="54:70" x14ac:dyDescent="0.2">
      <c r="BB2112" s="94"/>
      <c r="BL2112" s="8">
        <v>2063</v>
      </c>
      <c r="BM2112" s="8">
        <v>5214918.0307796989</v>
      </c>
      <c r="BN2112" s="8">
        <v>0</v>
      </c>
      <c r="BO2112" s="8">
        <v>5214918.0307796989</v>
      </c>
      <c r="BP2112" s="8">
        <v>4260388.8652453162</v>
      </c>
      <c r="BQ2112" s="8">
        <v>-954529.16553438269</v>
      </c>
      <c r="BR2112" s="8" t="str">
        <v>Yes</v>
      </c>
    </row>
    <row r="2113" spans="54:70" x14ac:dyDescent="0.2">
      <c r="BB2113" s="94"/>
      <c r="BL2113" s="8">
        <v>2064</v>
      </c>
      <c r="BM2113" s="8">
        <v>3265105.1992085367</v>
      </c>
      <c r="BN2113" s="8">
        <v>1559553.0446411846</v>
      </c>
      <c r="BO2113" s="8">
        <v>4824658.2438497208</v>
      </c>
      <c r="BP2113" s="8">
        <v>6288886.8171702744</v>
      </c>
      <c r="BQ2113" s="8">
        <v>1464228.5733205536</v>
      </c>
      <c r="BR2113" s="8" t="str">
        <v>No</v>
      </c>
    </row>
    <row r="2114" spans="54:70" x14ac:dyDescent="0.2">
      <c r="BB2114" s="94"/>
      <c r="BL2114" s="8">
        <v>2065</v>
      </c>
      <c r="BM2114" s="8">
        <v>8231912.8147763088</v>
      </c>
      <c r="BN2114" s="8">
        <v>0</v>
      </c>
      <c r="BO2114" s="8">
        <v>8231912.8147763088</v>
      </c>
      <c r="BP2114" s="8">
        <v>4344669.4232717017</v>
      </c>
      <c r="BQ2114" s="8">
        <v>-3887243.3915046072</v>
      </c>
      <c r="BR2114" s="8" t="str">
        <v>Yes</v>
      </c>
    </row>
    <row r="2115" spans="54:70" x14ac:dyDescent="0.2">
      <c r="BB2115" s="94"/>
      <c r="BL2115" s="8">
        <v>2066</v>
      </c>
      <c r="BM2115" s="8">
        <v>5124314.2263999227</v>
      </c>
      <c r="BN2115" s="8">
        <v>4426803.5711761713</v>
      </c>
      <c r="BO2115" s="8">
        <v>9551117.797576094</v>
      </c>
      <c r="BP2115" s="8">
        <v>3460701.8809526847</v>
      </c>
      <c r="BQ2115" s="8">
        <v>-6090415.9166234098</v>
      </c>
      <c r="BR2115" s="8" t="str">
        <v>Yes</v>
      </c>
    </row>
    <row r="2116" spans="54:70" x14ac:dyDescent="0.2">
      <c r="BB2116" s="94"/>
      <c r="BL2116" s="8">
        <v>2067</v>
      </c>
      <c r="BM2116" s="8">
        <v>8624061.7835456189</v>
      </c>
      <c r="BN2116" s="8">
        <v>6956146.9782468462</v>
      </c>
      <c r="BO2116" s="8">
        <v>15580208.761792466</v>
      </c>
      <c r="BP2116" s="8">
        <v>3360371.3814485846</v>
      </c>
      <c r="BQ2116" s="8">
        <v>-12219837.380343881</v>
      </c>
      <c r="BR2116" s="8" t="str">
        <v>Yes</v>
      </c>
    </row>
    <row r="2117" spans="54:70" x14ac:dyDescent="0.2">
      <c r="BB2117" s="94"/>
      <c r="BL2117" s="8">
        <v>2068</v>
      </c>
      <c r="BM2117" s="8">
        <v>6624918.967448175</v>
      </c>
      <c r="BN2117" s="8">
        <v>0</v>
      </c>
      <c r="BO2117" s="8">
        <v>6624918.967448175</v>
      </c>
      <c r="BP2117" s="8">
        <v>3430583.4276482239</v>
      </c>
      <c r="BQ2117" s="8">
        <v>-3194335.539799951</v>
      </c>
      <c r="BR2117" s="8" t="str">
        <v>Yes</v>
      </c>
    </row>
    <row r="2118" spans="54:70" x14ac:dyDescent="0.2">
      <c r="BB2118" s="94"/>
      <c r="BL2118" s="8">
        <v>2069</v>
      </c>
      <c r="BM2118" s="8">
        <v>2649976.4624450351</v>
      </c>
      <c r="BN2118" s="8">
        <v>0</v>
      </c>
      <c r="BO2118" s="8">
        <v>2649976.4624450351</v>
      </c>
      <c r="BP2118" s="8">
        <v>5848221.6384998634</v>
      </c>
      <c r="BQ2118" s="8">
        <v>3198245.1760548283</v>
      </c>
      <c r="BR2118" s="8" t="str">
        <v>No</v>
      </c>
    </row>
    <row r="2119" spans="54:70" x14ac:dyDescent="0.2">
      <c r="BB2119" s="94"/>
      <c r="BL2119" s="8">
        <v>2070</v>
      </c>
      <c r="BM2119" s="8">
        <v>3257785.4521144792</v>
      </c>
      <c r="BN2119" s="8">
        <v>2206468.2958729584</v>
      </c>
      <c r="BO2119" s="8">
        <v>5464253.747987438</v>
      </c>
      <c r="BP2119" s="8">
        <v>3393403.9386400459</v>
      </c>
      <c r="BQ2119" s="8">
        <v>-2070849.8093473921</v>
      </c>
      <c r="BR2119" s="8" t="str">
        <v>Yes</v>
      </c>
    </row>
    <row r="2120" spans="54:70" x14ac:dyDescent="0.2">
      <c r="BB2120" s="94"/>
      <c r="BL2120" s="8">
        <v>2071</v>
      </c>
      <c r="BM2120" s="8">
        <v>4189244.2262853798</v>
      </c>
      <c r="BN2120" s="8">
        <v>3697543.7614141922</v>
      </c>
      <c r="BO2120" s="8">
        <v>7886787.987699572</v>
      </c>
      <c r="BP2120" s="8">
        <v>3369167.1802215157</v>
      </c>
      <c r="BQ2120" s="8">
        <v>-4517620.8074780563</v>
      </c>
      <c r="BR2120" s="8" t="str">
        <v>Yes</v>
      </c>
    </row>
    <row r="2121" spans="54:70" x14ac:dyDescent="0.2">
      <c r="BB2121" s="94"/>
      <c r="BL2121" s="8">
        <v>2072</v>
      </c>
      <c r="BM2121" s="8">
        <v>5483999.8674411159</v>
      </c>
      <c r="BN2121" s="8">
        <v>0</v>
      </c>
      <c r="BO2121" s="8">
        <v>5483999.8674411159</v>
      </c>
      <c r="BP2121" s="8">
        <v>2376147.4947589962</v>
      </c>
      <c r="BQ2121" s="8">
        <v>-3107852.3726821197</v>
      </c>
      <c r="BR2121" s="8" t="str">
        <v>Yes</v>
      </c>
    </row>
    <row r="2122" spans="54:70" x14ac:dyDescent="0.2">
      <c r="BB2122" s="94"/>
      <c r="BL2122" s="8">
        <v>2073</v>
      </c>
      <c r="BM2122" s="8">
        <v>6894644.739931847</v>
      </c>
      <c r="BN2122" s="8">
        <v>0</v>
      </c>
      <c r="BO2122" s="8">
        <v>6894644.739931847</v>
      </c>
      <c r="BP2122" s="8">
        <v>3287721.2510044337</v>
      </c>
      <c r="BQ2122" s="8">
        <v>-3606923.4889274132</v>
      </c>
      <c r="BR2122" s="8" t="str">
        <v>Yes</v>
      </c>
    </row>
    <row r="2123" spans="54:70" x14ac:dyDescent="0.2">
      <c r="BB2123" s="94"/>
      <c r="BL2123" s="8">
        <v>2074</v>
      </c>
      <c r="BM2123" s="8">
        <v>6216999.7949859202</v>
      </c>
      <c r="BN2123" s="8">
        <v>0</v>
      </c>
      <c r="BO2123" s="8">
        <v>6216999.7949859202</v>
      </c>
      <c r="BP2123" s="8">
        <v>2350744.6616823575</v>
      </c>
      <c r="BQ2123" s="8">
        <v>-3866255.1333035626</v>
      </c>
      <c r="BR2123" s="8" t="str">
        <v>Yes</v>
      </c>
    </row>
    <row r="2124" spans="54:70" x14ac:dyDescent="0.2">
      <c r="BB2124" s="94"/>
      <c r="BL2124" s="8">
        <v>2075</v>
      </c>
      <c r="BM2124" s="8">
        <v>4880100.3955011647</v>
      </c>
      <c r="BN2124" s="8">
        <v>0</v>
      </c>
      <c r="BO2124" s="8">
        <v>4880100.3955011647</v>
      </c>
      <c r="BP2124" s="8">
        <v>5951447.2289131135</v>
      </c>
      <c r="BQ2124" s="8">
        <v>1071346.8334119488</v>
      </c>
      <c r="BR2124" s="8" t="str">
        <v>No</v>
      </c>
    </row>
    <row r="2125" spans="54:70" x14ac:dyDescent="0.2">
      <c r="BB2125" s="94"/>
      <c r="BL2125" s="8">
        <v>2076</v>
      </c>
      <c r="BM2125" s="8">
        <v>3235415.5578532913</v>
      </c>
      <c r="BN2125" s="8">
        <v>744109.31656135118</v>
      </c>
      <c r="BO2125" s="8">
        <v>3979524.8744146423</v>
      </c>
      <c r="BP2125" s="8">
        <v>5790273.4180227239</v>
      </c>
      <c r="BQ2125" s="8">
        <v>1810748.5436080815</v>
      </c>
      <c r="BR2125" s="8" t="str">
        <v>No</v>
      </c>
    </row>
    <row r="2126" spans="54:70" x14ac:dyDescent="0.2">
      <c r="BB2126" s="94"/>
      <c r="BL2126" s="8">
        <v>2077</v>
      </c>
      <c r="BM2126" s="8">
        <v>14233942.820036765</v>
      </c>
      <c r="BN2126" s="8">
        <v>6058232.4974808097</v>
      </c>
      <c r="BO2126" s="8">
        <v>20292175.317517575</v>
      </c>
      <c r="BP2126" s="8">
        <v>6526548.9180241795</v>
      </c>
      <c r="BQ2126" s="8">
        <v>-13765626.399493396</v>
      </c>
      <c r="BR2126" s="8" t="str">
        <v>Yes</v>
      </c>
    </row>
    <row r="2127" spans="54:70" x14ac:dyDescent="0.2">
      <c r="BB2127" s="94"/>
      <c r="BL2127" s="8">
        <v>2078</v>
      </c>
      <c r="BM2127" s="8">
        <v>4578603.0579753714</v>
      </c>
      <c r="BN2127" s="8">
        <v>3832623.8250697809</v>
      </c>
      <c r="BO2127" s="8">
        <v>8411226.8830451518</v>
      </c>
      <c r="BP2127" s="8">
        <v>3260699.6333093941</v>
      </c>
      <c r="BQ2127" s="8">
        <v>-5150527.2497357577</v>
      </c>
      <c r="BR2127" s="8" t="str">
        <v>Yes</v>
      </c>
    </row>
    <row r="2128" spans="54:70" x14ac:dyDescent="0.2">
      <c r="BB2128" s="94"/>
      <c r="BL2128" s="8">
        <v>2079</v>
      </c>
      <c r="BM2128" s="8">
        <v>4425635.2532681134</v>
      </c>
      <c r="BN2128" s="8">
        <v>2764766.05110197</v>
      </c>
      <c r="BO2128" s="8">
        <v>7190401.3043700829</v>
      </c>
      <c r="BP2128" s="8">
        <v>6724469.3495775824</v>
      </c>
      <c r="BQ2128" s="8">
        <v>-465931.95479250047</v>
      </c>
      <c r="BR2128" s="8" t="str">
        <v>Yes</v>
      </c>
    </row>
    <row r="2129" spans="54:70" x14ac:dyDescent="0.2">
      <c r="BB2129" s="94"/>
      <c r="BL2129" s="8">
        <v>2080</v>
      </c>
      <c r="BM2129" s="8">
        <v>8922824.0213390477</v>
      </c>
      <c r="BN2129" s="8">
        <v>6834371.6394519117</v>
      </c>
      <c r="BO2129" s="8">
        <v>15757195.660790959</v>
      </c>
      <c r="BP2129" s="8">
        <v>3877291.3749370445</v>
      </c>
      <c r="BQ2129" s="8">
        <v>-11879904.285853915</v>
      </c>
      <c r="BR2129" s="8" t="str">
        <v>Yes</v>
      </c>
    </row>
    <row r="2130" spans="54:70" x14ac:dyDescent="0.2">
      <c r="BB2130" s="94"/>
      <c r="BL2130" s="8">
        <v>2081</v>
      </c>
      <c r="BM2130" s="8">
        <v>6045854.729274408</v>
      </c>
      <c r="BN2130" s="8">
        <v>8128559.2091872199</v>
      </c>
      <c r="BO2130" s="8">
        <v>14174413.938461628</v>
      </c>
      <c r="BP2130" s="8">
        <v>6316120.6357517485</v>
      </c>
      <c r="BQ2130" s="8">
        <v>-7858293.3027098794</v>
      </c>
      <c r="BR2130" s="8" t="str">
        <v>Yes</v>
      </c>
    </row>
    <row r="2131" spans="54:70" x14ac:dyDescent="0.2">
      <c r="BB2131" s="94"/>
      <c r="BL2131" s="8">
        <v>2082</v>
      </c>
      <c r="BM2131" s="8">
        <v>4203865.4720582273</v>
      </c>
      <c r="BN2131" s="8">
        <v>0</v>
      </c>
      <c r="BO2131" s="8">
        <v>4203865.4720582273</v>
      </c>
      <c r="BP2131" s="8">
        <v>2048391.7384018311</v>
      </c>
      <c r="BQ2131" s="8">
        <v>-2155473.7336563962</v>
      </c>
      <c r="BR2131" s="8" t="str">
        <v>Yes</v>
      </c>
    </row>
    <row r="2132" spans="54:70" x14ac:dyDescent="0.2">
      <c r="BB2132" s="94"/>
      <c r="BL2132" s="8">
        <v>2083</v>
      </c>
      <c r="BM2132" s="8">
        <v>4102350.2871785117</v>
      </c>
      <c r="BN2132" s="8">
        <v>2093717.4808049023</v>
      </c>
      <c r="BO2132" s="8">
        <v>6196067.7679834142</v>
      </c>
      <c r="BP2132" s="8">
        <v>6222017.9900461826</v>
      </c>
      <c r="BQ2132" s="8">
        <v>25950.222062768415</v>
      </c>
      <c r="BR2132" s="8" t="str">
        <v>No</v>
      </c>
    </row>
    <row r="2133" spans="54:70" x14ac:dyDescent="0.2">
      <c r="BB2133" s="94"/>
      <c r="BL2133" s="8">
        <v>2084</v>
      </c>
      <c r="BM2133" s="8">
        <v>4161557.7128496934</v>
      </c>
      <c r="BN2133" s="8">
        <v>1997645.9942230938</v>
      </c>
      <c r="BO2133" s="8">
        <v>6159203.707072787</v>
      </c>
      <c r="BP2133" s="8">
        <v>6390578.5706419945</v>
      </c>
      <c r="BQ2133" s="8">
        <v>231374.86356920749</v>
      </c>
      <c r="BR2133" s="8" t="str">
        <v>No</v>
      </c>
    </row>
    <row r="2134" spans="54:70" x14ac:dyDescent="0.2">
      <c r="BB2134" s="94"/>
      <c r="BL2134" s="8">
        <v>2085</v>
      </c>
      <c r="BM2134" s="8">
        <v>7226218.1814107522</v>
      </c>
      <c r="BN2134" s="8">
        <v>0</v>
      </c>
      <c r="BO2134" s="8">
        <v>7226218.1814107522</v>
      </c>
      <c r="BP2134" s="8">
        <v>6019789.8678153623</v>
      </c>
      <c r="BQ2134" s="8">
        <v>-1206428.3135953899</v>
      </c>
      <c r="BR2134" s="8" t="str">
        <v>Yes</v>
      </c>
    </row>
    <row r="2135" spans="54:70" x14ac:dyDescent="0.2">
      <c r="BB2135" s="94"/>
      <c r="BL2135" s="8">
        <v>2086</v>
      </c>
      <c r="BM2135" s="8">
        <v>2680993.1156800627</v>
      </c>
      <c r="BN2135" s="8">
        <v>5287591.5260380143</v>
      </c>
      <c r="BO2135" s="8">
        <v>7968584.6417180765</v>
      </c>
      <c r="BP2135" s="8">
        <v>3357659.1181535223</v>
      </c>
      <c r="BQ2135" s="8">
        <v>-4610925.5235645548</v>
      </c>
      <c r="BR2135" s="8" t="str">
        <v>Yes</v>
      </c>
    </row>
    <row r="2136" spans="54:70" x14ac:dyDescent="0.2">
      <c r="BB2136" s="94"/>
      <c r="BL2136" s="8">
        <v>2087</v>
      </c>
      <c r="BM2136" s="8">
        <v>4939857.0272495449</v>
      </c>
      <c r="BN2136" s="8">
        <v>0</v>
      </c>
      <c r="BO2136" s="8">
        <v>4939857.0272495449</v>
      </c>
      <c r="BP2136" s="8">
        <v>4020397.8141391049</v>
      </c>
      <c r="BQ2136" s="8">
        <v>-919459.21311043995</v>
      </c>
      <c r="BR2136" s="8" t="str">
        <v>Yes</v>
      </c>
    </row>
    <row r="2137" spans="54:70" x14ac:dyDescent="0.2">
      <c r="BB2137" s="94"/>
      <c r="BL2137" s="8">
        <v>2088</v>
      </c>
      <c r="BM2137" s="8">
        <v>4615975.3345088782</v>
      </c>
      <c r="BN2137" s="8">
        <v>3263832.1376696685</v>
      </c>
      <c r="BO2137" s="8">
        <v>7879807.4721785467</v>
      </c>
      <c r="BP2137" s="8">
        <v>6263673.2101050308</v>
      </c>
      <c r="BQ2137" s="8">
        <v>-1616134.2620735159</v>
      </c>
      <c r="BR2137" s="8" t="str">
        <v>Yes</v>
      </c>
    </row>
    <row r="2138" spans="54:70" x14ac:dyDescent="0.2">
      <c r="BB2138" s="94"/>
      <c r="BL2138" s="8">
        <v>2089</v>
      </c>
      <c r="BM2138" s="8">
        <v>1898094.033581459</v>
      </c>
      <c r="BN2138" s="8">
        <v>736352.18841121695</v>
      </c>
      <c r="BO2138" s="8">
        <v>2634446.2219926761</v>
      </c>
      <c r="BP2138" s="8">
        <v>2246473.865988018</v>
      </c>
      <c r="BQ2138" s="8">
        <v>-387972.35600465816</v>
      </c>
      <c r="BR2138" s="8" t="str">
        <v>Yes</v>
      </c>
    </row>
    <row r="2139" spans="54:70" x14ac:dyDescent="0.2">
      <c r="BB2139" s="94"/>
      <c r="BL2139" s="8">
        <v>2090</v>
      </c>
      <c r="BM2139" s="8">
        <v>8381016.723071089</v>
      </c>
      <c r="BN2139" s="8">
        <v>2991660.9114968618</v>
      </c>
      <c r="BO2139" s="8">
        <v>11372677.63456795</v>
      </c>
      <c r="BP2139" s="8">
        <v>4419157.5116814692</v>
      </c>
      <c r="BQ2139" s="8">
        <v>-6953520.1228864808</v>
      </c>
      <c r="BR2139" s="8" t="str">
        <v>Yes</v>
      </c>
    </row>
    <row r="2140" spans="54:70" x14ac:dyDescent="0.2">
      <c r="BB2140" s="94"/>
      <c r="BL2140" s="8">
        <v>2091</v>
      </c>
      <c r="BM2140" s="8">
        <v>5535068.9490301153</v>
      </c>
      <c r="BN2140" s="8">
        <v>0</v>
      </c>
      <c r="BO2140" s="8">
        <v>5535068.9490301153</v>
      </c>
      <c r="BP2140" s="8">
        <v>3966684.695741531</v>
      </c>
      <c r="BQ2140" s="8">
        <v>-1568384.2532885843</v>
      </c>
      <c r="BR2140" s="8" t="str">
        <v>Yes</v>
      </c>
    </row>
    <row r="2141" spans="54:70" x14ac:dyDescent="0.2">
      <c r="BB2141" s="94"/>
      <c r="BL2141" s="8">
        <v>2092</v>
      </c>
      <c r="BM2141" s="8">
        <v>4890389.850231491</v>
      </c>
      <c r="BN2141" s="8">
        <v>0</v>
      </c>
      <c r="BO2141" s="8">
        <v>4890389.850231491</v>
      </c>
      <c r="BP2141" s="8">
        <v>3356935.263889024</v>
      </c>
      <c r="BQ2141" s="8">
        <v>-1533454.586342467</v>
      </c>
      <c r="BR2141" s="8" t="str">
        <v>Yes</v>
      </c>
    </row>
    <row r="2142" spans="54:70" x14ac:dyDescent="0.2">
      <c r="BB2142" s="94"/>
      <c r="BL2142" s="8">
        <v>2093</v>
      </c>
      <c r="BM2142" s="8">
        <v>4039676.6592431157</v>
      </c>
      <c r="BN2142" s="8">
        <v>1526649.5657450564</v>
      </c>
      <c r="BO2142" s="8">
        <v>5566326.2249881718</v>
      </c>
      <c r="BP2142" s="8">
        <v>3655460.6834740583</v>
      </c>
      <c r="BQ2142" s="8">
        <v>-1910865.5415141135</v>
      </c>
      <c r="BR2142" s="8" t="str">
        <v>Yes</v>
      </c>
    </row>
    <row r="2143" spans="54:70" x14ac:dyDescent="0.2">
      <c r="BB2143" s="94"/>
      <c r="BL2143" s="8">
        <v>2094</v>
      </c>
      <c r="BM2143" s="8">
        <v>6634474.6244888594</v>
      </c>
      <c r="BN2143" s="8">
        <v>1687580.1757630934</v>
      </c>
      <c r="BO2143" s="8">
        <v>8322054.8002519533</v>
      </c>
      <c r="BP2143" s="8">
        <v>6686261.0240283422</v>
      </c>
      <c r="BQ2143" s="8">
        <v>-1635793.7762236111</v>
      </c>
      <c r="BR2143" s="8" t="str">
        <v>Yes</v>
      </c>
    </row>
    <row r="2144" spans="54:70" x14ac:dyDescent="0.2">
      <c r="BB2144" s="94"/>
      <c r="BL2144" s="8">
        <v>2095</v>
      </c>
      <c r="BM2144" s="8">
        <v>3011657.2452334324</v>
      </c>
      <c r="BN2144" s="8">
        <v>1186593.1808228318</v>
      </c>
      <c r="BO2144" s="8">
        <v>4198250.426056264</v>
      </c>
      <c r="BP2144" s="8">
        <v>6222193.6396667156</v>
      </c>
      <c r="BQ2144" s="8">
        <v>2023943.2136104517</v>
      </c>
      <c r="BR2144" s="8" t="str">
        <v>No</v>
      </c>
    </row>
    <row r="2145" spans="54:70" x14ac:dyDescent="0.2">
      <c r="BB2145" s="94"/>
      <c r="BL2145" s="8">
        <v>2096</v>
      </c>
      <c r="BM2145" s="8">
        <v>4592429.981886738</v>
      </c>
      <c r="BN2145" s="8">
        <v>0</v>
      </c>
      <c r="BO2145" s="8">
        <v>4592429.981886738</v>
      </c>
      <c r="BP2145" s="8">
        <v>2162923.1545183458</v>
      </c>
      <c r="BQ2145" s="8">
        <v>-2429506.8273683921</v>
      </c>
      <c r="BR2145" s="8" t="str">
        <v>Yes</v>
      </c>
    </row>
    <row r="2146" spans="54:70" x14ac:dyDescent="0.2">
      <c r="BB2146" s="94"/>
      <c r="BL2146" s="8">
        <v>2097</v>
      </c>
      <c r="BM2146" s="8">
        <v>6292706.7949067978</v>
      </c>
      <c r="BN2146" s="8">
        <v>8084814.588293219</v>
      </c>
      <c r="BO2146" s="8">
        <v>14377521.383200016</v>
      </c>
      <c r="BP2146" s="8">
        <v>6750859.3533769967</v>
      </c>
      <c r="BQ2146" s="8">
        <v>-7626662.0298230192</v>
      </c>
      <c r="BR2146" s="8" t="str">
        <v>Yes</v>
      </c>
    </row>
    <row r="2147" spans="54:70" x14ac:dyDescent="0.2">
      <c r="BB2147" s="94"/>
      <c r="BL2147" s="8">
        <v>2098</v>
      </c>
      <c r="BM2147" s="8">
        <v>5350385.0315251444</v>
      </c>
      <c r="BN2147" s="8">
        <v>2475668.1190137514</v>
      </c>
      <c r="BO2147" s="8">
        <v>7826053.1505388953</v>
      </c>
      <c r="BP2147" s="8">
        <v>3501945.9156738445</v>
      </c>
      <c r="BQ2147" s="8">
        <v>-4324107.2348650508</v>
      </c>
      <c r="BR2147" s="8" t="str">
        <v>Yes</v>
      </c>
    </row>
    <row r="2148" spans="54:70" x14ac:dyDescent="0.2">
      <c r="BB2148" s="94"/>
      <c r="BL2148" s="8">
        <v>2099</v>
      </c>
      <c r="BM2148" s="8">
        <v>3829483.3724427633</v>
      </c>
      <c r="BN2148" s="8">
        <v>2431457.8469984704</v>
      </c>
      <c r="BO2148" s="8">
        <v>6260941.2194412332</v>
      </c>
      <c r="BP2148" s="8">
        <v>4345262.5541128777</v>
      </c>
      <c r="BQ2148" s="8">
        <v>-1915678.6653283555</v>
      </c>
      <c r="BR2148" s="8" t="str">
        <v>Yes</v>
      </c>
    </row>
    <row r="2149" spans="54:70" x14ac:dyDescent="0.2">
      <c r="BB2149" s="94"/>
      <c r="BL2149" s="8">
        <v>2100</v>
      </c>
      <c r="BM2149" s="8">
        <v>5244708.492230922</v>
      </c>
      <c r="BN2149" s="8">
        <v>3700424.2044829945</v>
      </c>
      <c r="BO2149" s="8">
        <v>8945132.696713917</v>
      </c>
      <c r="BP2149" s="8">
        <v>6011879.5907962425</v>
      </c>
      <c r="BQ2149" s="8">
        <v>-2933253.1059176745</v>
      </c>
      <c r="BR2149" s="8" t="str">
        <v>Yes</v>
      </c>
    </row>
    <row r="2150" spans="54:70" x14ac:dyDescent="0.2">
      <c r="BB2150" s="94"/>
      <c r="BL2150" s="8">
        <v>2101</v>
      </c>
      <c r="BM2150" s="8">
        <v>3897398.5676755826</v>
      </c>
      <c r="BN2150" s="8">
        <v>4462943.8320270358</v>
      </c>
      <c r="BO2150" s="8">
        <v>8360342.3997026179</v>
      </c>
      <c r="BP2150" s="8">
        <v>4301680.632705126</v>
      </c>
      <c r="BQ2150" s="8">
        <v>-4058661.7669974919</v>
      </c>
      <c r="BR2150" s="8" t="str">
        <v>Yes</v>
      </c>
    </row>
    <row r="2151" spans="54:70" x14ac:dyDescent="0.2">
      <c r="BB2151" s="94"/>
      <c r="BL2151" s="8">
        <v>2102</v>
      </c>
      <c r="BM2151" s="8">
        <v>5007830.6238329392</v>
      </c>
      <c r="BN2151" s="8">
        <v>0</v>
      </c>
      <c r="BO2151" s="8">
        <v>5007830.6238329392</v>
      </c>
      <c r="BP2151" s="8">
        <v>3149844.8353963755</v>
      </c>
      <c r="BQ2151" s="8">
        <v>-1857985.7884365637</v>
      </c>
      <c r="BR2151" s="8" t="str">
        <v>Yes</v>
      </c>
    </row>
    <row r="2152" spans="54:70" x14ac:dyDescent="0.2">
      <c r="BB2152" s="94"/>
      <c r="BL2152" s="8">
        <v>2103</v>
      </c>
      <c r="BM2152" s="8">
        <v>6116483.5567609649</v>
      </c>
      <c r="BN2152" s="8">
        <v>8446889.7556535788</v>
      </c>
      <c r="BO2152" s="8">
        <v>14563373.312414544</v>
      </c>
      <c r="BP2152" s="8">
        <v>3399073.3990662526</v>
      </c>
      <c r="BQ2152" s="8">
        <v>-11164299.913348291</v>
      </c>
      <c r="BR2152" s="8" t="str">
        <v>Yes</v>
      </c>
    </row>
    <row r="2153" spans="54:70" x14ac:dyDescent="0.2">
      <c r="BB2153" s="94"/>
      <c r="BL2153" s="8">
        <v>2104</v>
      </c>
      <c r="BM2153" s="8">
        <v>3964957.398804449</v>
      </c>
      <c r="BN2153" s="8">
        <v>0</v>
      </c>
      <c r="BO2153" s="8">
        <v>3964957.398804449</v>
      </c>
      <c r="BP2153" s="8">
        <v>3234660.564041045</v>
      </c>
      <c r="BQ2153" s="8">
        <v>-730296.83476340398</v>
      </c>
      <c r="BR2153" s="8" t="str">
        <v>Yes</v>
      </c>
    </row>
    <row r="2154" spans="54:70" x14ac:dyDescent="0.2">
      <c r="BB2154" s="94"/>
      <c r="BL2154" s="8">
        <v>2105</v>
      </c>
      <c r="BM2154" s="8">
        <v>8272914.5171209872</v>
      </c>
      <c r="BN2154" s="8">
        <v>4100823.3760861992</v>
      </c>
      <c r="BO2154" s="8">
        <v>12373737.893207187</v>
      </c>
      <c r="BP2154" s="8">
        <v>3543909.2347998242</v>
      </c>
      <c r="BQ2154" s="8">
        <v>-8829828.6584073622</v>
      </c>
      <c r="BR2154" s="8" t="str">
        <v>Yes</v>
      </c>
    </row>
    <row r="2155" spans="54:70" x14ac:dyDescent="0.2">
      <c r="BB2155" s="94"/>
      <c r="BL2155" s="8">
        <v>2106</v>
      </c>
      <c r="BM2155" s="8">
        <v>3779307.1971025281</v>
      </c>
      <c r="BN2155" s="8">
        <v>5704409.8565587029</v>
      </c>
      <c r="BO2155" s="8">
        <v>9483717.053661231</v>
      </c>
      <c r="BP2155" s="8">
        <v>2355182.8896156172</v>
      </c>
      <c r="BQ2155" s="8">
        <v>-7128534.1640456133</v>
      </c>
      <c r="BR2155" s="8" t="str">
        <v>Yes</v>
      </c>
    </row>
    <row r="2156" spans="54:70" x14ac:dyDescent="0.2">
      <c r="BB2156" s="94"/>
      <c r="BL2156" s="8">
        <v>2107</v>
      </c>
      <c r="BM2156" s="8">
        <v>5030442.8562057875</v>
      </c>
      <c r="BN2156" s="8">
        <v>4568020.057043964</v>
      </c>
      <c r="BO2156" s="8">
        <v>9598462.9132497516</v>
      </c>
      <c r="BP2156" s="8">
        <v>4457302.1081857197</v>
      </c>
      <c r="BQ2156" s="8">
        <v>-5141160.8050640319</v>
      </c>
      <c r="BR2156" s="8" t="str">
        <v>Yes</v>
      </c>
    </row>
    <row r="2157" spans="54:70" x14ac:dyDescent="0.2">
      <c r="BB2157" s="94"/>
      <c r="BL2157" s="8">
        <v>2108</v>
      </c>
      <c r="BM2157" s="8">
        <v>4532077.1692102142</v>
      </c>
      <c r="BN2157" s="8">
        <v>0</v>
      </c>
      <c r="BO2157" s="8">
        <v>4532077.1692102142</v>
      </c>
      <c r="BP2157" s="8">
        <v>2052692.7809710787</v>
      </c>
      <c r="BQ2157" s="8">
        <v>-2479384.3882391355</v>
      </c>
      <c r="BR2157" s="8" t="str">
        <v>Yes</v>
      </c>
    </row>
    <row r="2158" spans="54:70" x14ac:dyDescent="0.2">
      <c r="BB2158" s="94"/>
      <c r="BL2158" s="8">
        <v>2109</v>
      </c>
      <c r="BM2158" s="8">
        <v>2473694.5411532195</v>
      </c>
      <c r="BN2158" s="8">
        <v>2897212.6657911125</v>
      </c>
      <c r="BO2158" s="8">
        <v>5370907.2069443315</v>
      </c>
      <c r="BP2158" s="8">
        <v>2204031.7036557561</v>
      </c>
      <c r="BQ2158" s="8">
        <v>-3166875.5032885754</v>
      </c>
      <c r="BR2158" s="8" t="str">
        <v>Yes</v>
      </c>
    </row>
    <row r="2159" spans="54:70" x14ac:dyDescent="0.2">
      <c r="BB2159" s="94"/>
      <c r="BL2159" s="8">
        <v>2110</v>
      </c>
      <c r="BM2159" s="8">
        <v>6322191.4085601093</v>
      </c>
      <c r="BN2159" s="8">
        <v>4708633.9407408703</v>
      </c>
      <c r="BO2159" s="8">
        <v>11030825.349300981</v>
      </c>
      <c r="BP2159" s="8">
        <v>4380738.3360531759</v>
      </c>
      <c r="BQ2159" s="8">
        <v>-6650087.0132478047</v>
      </c>
      <c r="BR2159" s="8" t="str">
        <v>Yes</v>
      </c>
    </row>
    <row r="2160" spans="54:70" x14ac:dyDescent="0.2">
      <c r="BB2160" s="94"/>
      <c r="BL2160" s="8">
        <v>2111</v>
      </c>
      <c r="BM2160" s="8">
        <v>3958677.8503322443</v>
      </c>
      <c r="BN2160" s="8">
        <v>2431748.6003520298</v>
      </c>
      <c r="BO2160" s="8">
        <v>6390426.4506842736</v>
      </c>
      <c r="BP2160" s="8">
        <v>2255253.6172909355</v>
      </c>
      <c r="BQ2160" s="8">
        <v>-4135172.8333933381</v>
      </c>
      <c r="BR2160" s="8" t="str">
        <v>Yes</v>
      </c>
    </row>
    <row r="2161" spans="54:70" x14ac:dyDescent="0.2">
      <c r="BB2161" s="94"/>
      <c r="BL2161" s="8">
        <v>2112</v>
      </c>
      <c r="BM2161" s="8">
        <v>3262875.1618684493</v>
      </c>
      <c r="BN2161" s="8">
        <v>0</v>
      </c>
      <c r="BO2161" s="8">
        <v>3262875.1618684493</v>
      </c>
      <c r="BP2161" s="8">
        <v>2279062.79663161</v>
      </c>
      <c r="BQ2161" s="8">
        <v>-983812.36523683928</v>
      </c>
      <c r="BR2161" s="8" t="str">
        <v>Yes</v>
      </c>
    </row>
    <row r="2162" spans="54:70" x14ac:dyDescent="0.2">
      <c r="BB2162" s="94"/>
      <c r="BL2162" s="8">
        <v>2113</v>
      </c>
      <c r="BM2162" s="8">
        <v>3806568.7645164081</v>
      </c>
      <c r="BN2162" s="8">
        <v>4223156.6963836737</v>
      </c>
      <c r="BO2162" s="8">
        <v>8029725.4609000813</v>
      </c>
      <c r="BP2162" s="8">
        <v>3361078.9236026676</v>
      </c>
      <c r="BQ2162" s="8">
        <v>-4668646.5372974137</v>
      </c>
      <c r="BR2162" s="8" t="str">
        <v>Yes</v>
      </c>
    </row>
    <row r="2163" spans="54:70" x14ac:dyDescent="0.2">
      <c r="BB2163" s="94"/>
      <c r="BL2163" s="8">
        <v>2114</v>
      </c>
      <c r="BM2163" s="8">
        <v>4346142.4878289662</v>
      </c>
      <c r="BN2163" s="8">
        <v>4785821.2100270307</v>
      </c>
      <c r="BO2163" s="8">
        <v>9131963.6978559978</v>
      </c>
      <c r="BP2163" s="8">
        <v>2129057.925581967</v>
      </c>
      <c r="BQ2163" s="8">
        <v>-7002905.7722740304</v>
      </c>
      <c r="BR2163" s="8" t="str">
        <v>Yes</v>
      </c>
    </row>
    <row r="2164" spans="54:70" x14ac:dyDescent="0.2">
      <c r="BB2164" s="94"/>
      <c r="BL2164" s="8">
        <v>2115</v>
      </c>
      <c r="BM2164" s="8">
        <v>10295027.945095448</v>
      </c>
      <c r="BN2164" s="8">
        <v>22055207.190796398</v>
      </c>
      <c r="BO2164" s="8">
        <v>32350235.135891847</v>
      </c>
      <c r="BP2164" s="8">
        <v>6197202.7637736946</v>
      </c>
      <c r="BQ2164" s="8">
        <v>-26153032.372118153</v>
      </c>
      <c r="BR2164" s="8" t="str">
        <v>Yes</v>
      </c>
    </row>
    <row r="2165" spans="54:70" x14ac:dyDescent="0.2">
      <c r="BB2165" s="94"/>
      <c r="BL2165" s="8">
        <v>2116</v>
      </c>
      <c r="BM2165" s="8">
        <v>2761504.9905717168</v>
      </c>
      <c r="BN2165" s="8">
        <v>1418230.6652426631</v>
      </c>
      <c r="BO2165" s="8">
        <v>4179735.6558143799</v>
      </c>
      <c r="BP2165" s="8">
        <v>3631673.1850428646</v>
      </c>
      <c r="BQ2165" s="8">
        <v>-548062.47077151528</v>
      </c>
      <c r="BR2165" s="8" t="str">
        <v>Yes</v>
      </c>
    </row>
    <row r="2166" spans="54:70" x14ac:dyDescent="0.2">
      <c r="BB2166" s="94"/>
      <c r="BL2166" s="8">
        <v>2117</v>
      </c>
      <c r="BM2166" s="8">
        <v>3118573.3619756401</v>
      </c>
      <c r="BN2166" s="8">
        <v>1913153.4802359464</v>
      </c>
      <c r="BO2166" s="8">
        <v>5031726.8422115864</v>
      </c>
      <c r="BP2166" s="8">
        <v>3028564.8802497117</v>
      </c>
      <c r="BQ2166" s="8">
        <v>-2003161.9619618747</v>
      </c>
      <c r="BR2166" s="8" t="str">
        <v>Yes</v>
      </c>
    </row>
    <row r="2167" spans="54:70" x14ac:dyDescent="0.2">
      <c r="BB2167" s="94"/>
      <c r="BL2167" s="8">
        <v>2118</v>
      </c>
      <c r="BM2167" s="8">
        <v>3898895.5825422192</v>
      </c>
      <c r="BN2167" s="8">
        <v>3658591.9427955733</v>
      </c>
      <c r="BO2167" s="8">
        <v>7557487.5253377929</v>
      </c>
      <c r="BP2167" s="8">
        <v>3346953.2440582691</v>
      </c>
      <c r="BQ2167" s="8">
        <v>-4210534.2812795239</v>
      </c>
      <c r="BR2167" s="8" t="str">
        <v>Yes</v>
      </c>
    </row>
    <row r="2168" spans="54:70" x14ac:dyDescent="0.2">
      <c r="BB2168" s="94"/>
      <c r="BL2168" s="8">
        <v>2119</v>
      </c>
      <c r="BM2168" s="8">
        <v>2029390.0285156807</v>
      </c>
      <c r="BN2168" s="8">
        <v>1421851.163752438</v>
      </c>
      <c r="BO2168" s="8">
        <v>3451241.1922681187</v>
      </c>
      <c r="BP2168" s="8">
        <v>3507842.6050613313</v>
      </c>
      <c r="BQ2168" s="8">
        <v>56601.41279321257</v>
      </c>
      <c r="BR2168" s="8" t="str">
        <v>No</v>
      </c>
    </row>
    <row r="2169" spans="54:70" x14ac:dyDescent="0.2">
      <c r="BB2169" s="94"/>
      <c r="BL2169" s="8">
        <v>2120</v>
      </c>
      <c r="BM2169" s="8">
        <v>2786235.7944700941</v>
      </c>
      <c r="BN2169" s="8">
        <v>0</v>
      </c>
      <c r="BO2169" s="8">
        <v>2786235.7944700941</v>
      </c>
      <c r="BP2169" s="8">
        <v>6315841.774970144</v>
      </c>
      <c r="BQ2169" s="8">
        <v>3529605.9805000499</v>
      </c>
      <c r="BR2169" s="8" t="str">
        <v>No</v>
      </c>
    </row>
    <row r="2170" spans="54:70" x14ac:dyDescent="0.2">
      <c r="BB2170" s="94"/>
      <c r="BL2170" s="8">
        <v>2121</v>
      </c>
      <c r="BM2170" s="8">
        <v>2038068.929813345</v>
      </c>
      <c r="BN2170" s="8">
        <v>0</v>
      </c>
      <c r="BO2170" s="8">
        <v>2038068.929813345</v>
      </c>
      <c r="BP2170" s="8">
        <v>4154923.41280771</v>
      </c>
      <c r="BQ2170" s="8">
        <v>2116854.482994365</v>
      </c>
      <c r="BR2170" s="8" t="str">
        <v>No</v>
      </c>
    </row>
    <row r="2171" spans="54:70" x14ac:dyDescent="0.2">
      <c r="BB2171" s="94"/>
      <c r="BL2171" s="8">
        <v>2122</v>
      </c>
      <c r="BM2171" s="8">
        <v>5195514.648500964</v>
      </c>
      <c r="BN2171" s="8">
        <v>6533111.6893962948</v>
      </c>
      <c r="BO2171" s="8">
        <v>11728626.33789726</v>
      </c>
      <c r="BP2171" s="8">
        <v>3401963.3475161023</v>
      </c>
      <c r="BQ2171" s="8">
        <v>-8326662.990381157</v>
      </c>
      <c r="BR2171" s="8" t="str">
        <v>Yes</v>
      </c>
    </row>
    <row r="2172" spans="54:70" x14ac:dyDescent="0.2">
      <c r="BB2172" s="94"/>
      <c r="BL2172" s="8">
        <v>2123</v>
      </c>
      <c r="BM2172" s="8">
        <v>3832282.9015868641</v>
      </c>
      <c r="BN2172" s="8">
        <v>2840981.3900332544</v>
      </c>
      <c r="BO2172" s="8">
        <v>6673264.2916201185</v>
      </c>
      <c r="BP2172" s="8">
        <v>3331909.2834537579</v>
      </c>
      <c r="BQ2172" s="8">
        <v>-3341355.0081663607</v>
      </c>
      <c r="BR2172" s="8" t="str">
        <v>Yes</v>
      </c>
    </row>
    <row r="2173" spans="54:70" x14ac:dyDescent="0.2">
      <c r="BB2173" s="94"/>
      <c r="BL2173" s="8">
        <v>2124</v>
      </c>
      <c r="BM2173" s="8">
        <v>3781260.428191578</v>
      </c>
      <c r="BN2173" s="8">
        <v>0</v>
      </c>
      <c r="BO2173" s="8">
        <v>3781260.428191578</v>
      </c>
      <c r="BP2173" s="8">
        <v>4460318.3792681852</v>
      </c>
      <c r="BQ2173" s="8">
        <v>679057.95107660722</v>
      </c>
      <c r="BR2173" s="8" t="str">
        <v>No</v>
      </c>
    </row>
    <row r="2174" spans="54:70" x14ac:dyDescent="0.2">
      <c r="BB2174" s="94"/>
      <c r="BL2174" s="8">
        <v>2125</v>
      </c>
      <c r="BM2174" s="8">
        <v>4296923.015595274</v>
      </c>
      <c r="BN2174" s="8">
        <v>0</v>
      </c>
      <c r="BO2174" s="8">
        <v>4296923.015595274</v>
      </c>
      <c r="BP2174" s="8">
        <v>6921094.2696655085</v>
      </c>
      <c r="BQ2174" s="8">
        <v>2624171.2540702345</v>
      </c>
      <c r="BR2174" s="8" t="str">
        <v>No</v>
      </c>
    </row>
    <row r="2175" spans="54:70" x14ac:dyDescent="0.2">
      <c r="BB2175" s="94"/>
      <c r="BL2175" s="8">
        <v>2126</v>
      </c>
      <c r="BM2175" s="8">
        <v>2349904.7766324757</v>
      </c>
      <c r="BN2175" s="8">
        <v>0</v>
      </c>
      <c r="BO2175" s="8">
        <v>2349904.7766324757</v>
      </c>
      <c r="BP2175" s="8">
        <v>3018863.5770054786</v>
      </c>
      <c r="BQ2175" s="8">
        <v>668958.80037300289</v>
      </c>
      <c r="BR2175" s="8" t="str">
        <v>No</v>
      </c>
    </row>
    <row r="2176" spans="54:70" x14ac:dyDescent="0.2">
      <c r="BB2176" s="94"/>
      <c r="BL2176" s="8">
        <v>2127</v>
      </c>
      <c r="BM2176" s="8">
        <v>2489686.6800753125</v>
      </c>
      <c r="BN2176" s="8">
        <v>0</v>
      </c>
      <c r="BO2176" s="8">
        <v>2489686.6800753125</v>
      </c>
      <c r="BP2176" s="8">
        <v>3248487.6905866601</v>
      </c>
      <c r="BQ2176" s="8">
        <v>758801.01051134756</v>
      </c>
      <c r="BR2176" s="8" t="str">
        <v>No</v>
      </c>
    </row>
    <row r="2177" spans="54:70" x14ac:dyDescent="0.2">
      <c r="BB2177" s="94"/>
      <c r="BL2177" s="8">
        <v>2128</v>
      </c>
      <c r="BM2177" s="8">
        <v>2830916.0358153661</v>
      </c>
      <c r="BN2177" s="8">
        <v>4062093.151291193</v>
      </c>
      <c r="BO2177" s="8">
        <v>6893009.1871065591</v>
      </c>
      <c r="BP2177" s="8">
        <v>3517771.0793561433</v>
      </c>
      <c r="BQ2177" s="8">
        <v>-3375238.1077504158</v>
      </c>
      <c r="BR2177" s="8" t="str">
        <v>Yes</v>
      </c>
    </row>
    <row r="2178" spans="54:70" x14ac:dyDescent="0.2">
      <c r="BB2178" s="94"/>
      <c r="BL2178" s="8">
        <v>2129</v>
      </c>
      <c r="BM2178" s="8">
        <v>2287041.6485091168</v>
      </c>
      <c r="BN2178" s="8">
        <v>1875293.6107496258</v>
      </c>
      <c r="BO2178" s="8">
        <v>4162335.2592587424</v>
      </c>
      <c r="BP2178" s="8">
        <v>3826911.4873626716</v>
      </c>
      <c r="BQ2178" s="8">
        <v>-335423.7718960708</v>
      </c>
      <c r="BR2178" s="8" t="str">
        <v>Yes</v>
      </c>
    </row>
    <row r="2179" spans="54:70" x14ac:dyDescent="0.2">
      <c r="BB2179" s="94"/>
      <c r="BL2179" s="8">
        <v>2130</v>
      </c>
      <c r="BM2179" s="8">
        <v>2876281.879669751</v>
      </c>
      <c r="BN2179" s="8">
        <v>0</v>
      </c>
      <c r="BO2179" s="8">
        <v>2876281.879669751</v>
      </c>
      <c r="BP2179" s="8">
        <v>6405105.1953693908</v>
      </c>
      <c r="BQ2179" s="8">
        <v>3528823.3156996397</v>
      </c>
      <c r="BR2179" s="8" t="str">
        <v>No</v>
      </c>
    </row>
    <row r="2180" spans="54:70" x14ac:dyDescent="0.2">
      <c r="BB2180" s="94"/>
      <c r="BL2180" s="8">
        <v>2131</v>
      </c>
      <c r="BM2180" s="8">
        <v>3889655.8675626935</v>
      </c>
      <c r="BN2180" s="8">
        <v>5594472.5692922194</v>
      </c>
      <c r="BO2180" s="8">
        <v>9484128.4368549138</v>
      </c>
      <c r="BP2180" s="8">
        <v>3312807.7781510768</v>
      </c>
      <c r="BQ2180" s="8">
        <v>-6171320.6587038375</v>
      </c>
      <c r="BR2180" s="8" t="str">
        <v>Yes</v>
      </c>
    </row>
    <row r="2181" spans="54:70" x14ac:dyDescent="0.2">
      <c r="BB2181" s="94"/>
      <c r="BL2181" s="8">
        <v>2132</v>
      </c>
      <c r="BM2181" s="8">
        <v>4166083.1561117833</v>
      </c>
      <c r="BN2181" s="8">
        <v>5337190.1564502036</v>
      </c>
      <c r="BO2181" s="8">
        <v>9503273.312561987</v>
      </c>
      <c r="BP2181" s="8">
        <v>3241975.2126776422</v>
      </c>
      <c r="BQ2181" s="8">
        <v>-6261298.0998843443</v>
      </c>
      <c r="BR2181" s="8" t="str">
        <v>Yes</v>
      </c>
    </row>
    <row r="2182" spans="54:70" x14ac:dyDescent="0.2">
      <c r="BB2182" s="94"/>
      <c r="BL2182" s="8">
        <v>2133</v>
      </c>
      <c r="BM2182" s="8">
        <v>3540052.0628742599</v>
      </c>
      <c r="BN2182" s="8">
        <v>0</v>
      </c>
      <c r="BO2182" s="8">
        <v>3540052.0628742599</v>
      </c>
      <c r="BP2182" s="8">
        <v>4293266.5006290432</v>
      </c>
      <c r="BQ2182" s="8">
        <v>753214.43775478331</v>
      </c>
      <c r="BR2182" s="8" t="str">
        <v>No</v>
      </c>
    </row>
    <row r="2183" spans="54:70" x14ac:dyDescent="0.2">
      <c r="BB2183" s="94"/>
      <c r="BL2183" s="8">
        <v>2134</v>
      </c>
      <c r="BM2183" s="8">
        <v>2079179.3644168316</v>
      </c>
      <c r="BN2183" s="8">
        <v>-213854.4292722847</v>
      </c>
      <c r="BO2183" s="8">
        <v>1865324.9351445469</v>
      </c>
      <c r="BP2183" s="8">
        <v>6589194.710858088</v>
      </c>
      <c r="BQ2183" s="8">
        <v>4723869.7757135406</v>
      </c>
      <c r="BR2183" s="8" t="str">
        <v>No</v>
      </c>
    </row>
    <row r="2184" spans="54:70" x14ac:dyDescent="0.2">
      <c r="BB2184" s="94"/>
      <c r="BL2184" s="8">
        <v>2135</v>
      </c>
      <c r="BM2184" s="8">
        <v>3616488.8218634678</v>
      </c>
      <c r="BN2184" s="8">
        <v>3078972.7661318197</v>
      </c>
      <c r="BO2184" s="8">
        <v>6695461.587995287</v>
      </c>
      <c r="BP2184" s="8">
        <v>1913123.4742828216</v>
      </c>
      <c r="BQ2184" s="8">
        <v>-4782338.1137124654</v>
      </c>
      <c r="BR2184" s="8" t="str">
        <v>Yes</v>
      </c>
    </row>
    <row r="2185" spans="54:70" x14ac:dyDescent="0.2">
      <c r="BB2185" s="94"/>
      <c r="BL2185" s="8">
        <v>2136</v>
      </c>
      <c r="BM2185" s="8">
        <v>7944410.7779755425</v>
      </c>
      <c r="BN2185" s="8">
        <v>7694679.9594853101</v>
      </c>
      <c r="BO2185" s="8">
        <v>15639090.737460852</v>
      </c>
      <c r="BP2185" s="8">
        <v>4745845.9781178152</v>
      </c>
      <c r="BQ2185" s="8">
        <v>-10893244.759343036</v>
      </c>
      <c r="BR2185" s="8" t="str">
        <v>Yes</v>
      </c>
    </row>
    <row r="2186" spans="54:70" x14ac:dyDescent="0.2">
      <c r="BB2186" s="94"/>
      <c r="BL2186" s="8">
        <v>2137</v>
      </c>
      <c r="BM2186" s="8">
        <v>2458617.9502820484</v>
      </c>
      <c r="BN2186" s="8">
        <v>3028445.9948341749</v>
      </c>
      <c r="BO2186" s="8">
        <v>5487063.9451162238</v>
      </c>
      <c r="BP2186" s="8">
        <v>2959637.0321161007</v>
      </c>
      <c r="BQ2186" s="8">
        <v>-2527426.9130001231</v>
      </c>
      <c r="BR2186" s="8" t="str">
        <v>Yes</v>
      </c>
    </row>
    <row r="2187" spans="54:70" x14ac:dyDescent="0.2">
      <c r="BB2187" s="94"/>
      <c r="BL2187" s="8">
        <v>2138</v>
      </c>
      <c r="BM2187" s="8">
        <v>4045758.7378074937</v>
      </c>
      <c r="BN2187" s="8">
        <v>0</v>
      </c>
      <c r="BO2187" s="8">
        <v>4045758.7378074937</v>
      </c>
      <c r="BP2187" s="8">
        <v>6398404.9547991222</v>
      </c>
      <c r="BQ2187" s="8">
        <v>2352646.2169916285</v>
      </c>
      <c r="BR2187" s="8" t="str">
        <v>No</v>
      </c>
    </row>
    <row r="2188" spans="54:70" x14ac:dyDescent="0.2">
      <c r="BB2188" s="94"/>
      <c r="BL2188" s="8">
        <v>2139</v>
      </c>
      <c r="BM2188" s="8">
        <v>4655346.9160061944</v>
      </c>
      <c r="BN2188" s="8">
        <v>0</v>
      </c>
      <c r="BO2188" s="8">
        <v>4655346.9160061944</v>
      </c>
      <c r="BP2188" s="8">
        <v>6633997.6488901814</v>
      </c>
      <c r="BQ2188" s="8">
        <v>1978650.732883987</v>
      </c>
      <c r="BR2188" s="8" t="str">
        <v>No</v>
      </c>
    </row>
    <row r="2189" spans="54:70" x14ac:dyDescent="0.2">
      <c r="BB2189" s="94"/>
      <c r="BL2189" s="8">
        <v>2140</v>
      </c>
      <c r="BM2189" s="8">
        <v>2437402.5237373668</v>
      </c>
      <c r="BN2189" s="8">
        <v>3699807.8104331577</v>
      </c>
      <c r="BO2189" s="8">
        <v>6137210.334170524</v>
      </c>
      <c r="BP2189" s="8">
        <v>2400316.9088055072</v>
      </c>
      <c r="BQ2189" s="8">
        <v>-3736893.4253650168</v>
      </c>
      <c r="BR2189" s="8" t="str">
        <v>Yes</v>
      </c>
    </row>
    <row r="2190" spans="54:70" x14ac:dyDescent="0.2">
      <c r="BB2190" s="94"/>
      <c r="BL2190" s="8">
        <v>2141</v>
      </c>
      <c r="BM2190" s="8">
        <v>2757033.0587575464</v>
      </c>
      <c r="BN2190" s="8">
        <v>0</v>
      </c>
      <c r="BO2190" s="8">
        <v>2757033.0587575464</v>
      </c>
      <c r="BP2190" s="8">
        <v>5718875.4235806791</v>
      </c>
      <c r="BQ2190" s="8">
        <v>2961842.3648231328</v>
      </c>
      <c r="BR2190" s="8" t="str">
        <v>No</v>
      </c>
    </row>
    <row r="2191" spans="54:70" x14ac:dyDescent="0.2">
      <c r="BB2191" s="94"/>
      <c r="BL2191" s="8">
        <v>2142</v>
      </c>
      <c r="BM2191" s="8">
        <v>2604286.8561879164</v>
      </c>
      <c r="BN2191" s="8">
        <v>0</v>
      </c>
      <c r="BO2191" s="8">
        <v>2604286.8561879164</v>
      </c>
      <c r="BP2191" s="8">
        <v>3316974.6370018143</v>
      </c>
      <c r="BQ2191" s="8">
        <v>712687.78081389796</v>
      </c>
      <c r="BR2191" s="8" t="str">
        <v>No</v>
      </c>
    </row>
    <row r="2192" spans="54:70" x14ac:dyDescent="0.2">
      <c r="BB2192" s="94"/>
      <c r="BL2192" s="8">
        <v>2143</v>
      </c>
      <c r="BM2192" s="8">
        <v>4937927.5056783492</v>
      </c>
      <c r="BN2192" s="8">
        <v>0</v>
      </c>
      <c r="BO2192" s="8">
        <v>4937927.5056783492</v>
      </c>
      <c r="BP2192" s="8">
        <v>3398922.5036900225</v>
      </c>
      <c r="BQ2192" s="8">
        <v>-1539005.0019883267</v>
      </c>
      <c r="BR2192" s="8" t="str">
        <v>Yes</v>
      </c>
    </row>
    <row r="2193" spans="54:70" x14ac:dyDescent="0.2">
      <c r="BB2193" s="94"/>
      <c r="BL2193" s="8">
        <v>2144</v>
      </c>
      <c r="BM2193" s="8">
        <v>6090150.1614087503</v>
      </c>
      <c r="BN2193" s="8">
        <v>0</v>
      </c>
      <c r="BO2193" s="8">
        <v>6090150.1614087503</v>
      </c>
      <c r="BP2193" s="8">
        <v>2190015.8450804884</v>
      </c>
      <c r="BQ2193" s="8">
        <v>-3900134.316328262</v>
      </c>
      <c r="BR2193" s="8" t="str">
        <v>Yes</v>
      </c>
    </row>
    <row r="2194" spans="54:70" x14ac:dyDescent="0.2">
      <c r="BB2194" s="94"/>
      <c r="BL2194" s="8">
        <v>2145</v>
      </c>
      <c r="BM2194" s="8">
        <v>2639602.3764105765</v>
      </c>
      <c r="BN2194" s="8">
        <v>0</v>
      </c>
      <c r="BO2194" s="8">
        <v>2639602.3764105765</v>
      </c>
      <c r="BP2194" s="8">
        <v>3946890.1814714861</v>
      </c>
      <c r="BQ2194" s="8">
        <v>1307287.8050609096</v>
      </c>
      <c r="BR2194" s="8" t="str">
        <v>No</v>
      </c>
    </row>
    <row r="2195" spans="54:70" x14ac:dyDescent="0.2">
      <c r="BB2195" s="94"/>
      <c r="BL2195" s="8">
        <v>2146</v>
      </c>
      <c r="BM2195" s="8">
        <v>1535514.7211568099</v>
      </c>
      <c r="BN2195" s="8">
        <v>0</v>
      </c>
      <c r="BO2195" s="8">
        <v>1535514.7211568099</v>
      </c>
      <c r="BP2195" s="8">
        <v>3495503.1111485586</v>
      </c>
      <c r="BQ2195" s="8">
        <v>1959988.3899917486</v>
      </c>
      <c r="BR2195" s="8" t="str">
        <v>No</v>
      </c>
    </row>
    <row r="2196" spans="54:70" x14ac:dyDescent="0.2">
      <c r="BB2196" s="94"/>
      <c r="BL2196" s="8">
        <v>2147</v>
      </c>
      <c r="BM2196" s="8">
        <v>5410814.8343137745</v>
      </c>
      <c r="BN2196" s="8">
        <v>0</v>
      </c>
      <c r="BO2196" s="8">
        <v>5410814.8343137745</v>
      </c>
      <c r="BP2196" s="8">
        <v>4488317.6381348958</v>
      </c>
      <c r="BQ2196" s="8">
        <v>-922497.19617887866</v>
      </c>
      <c r="BR2196" s="8" t="str">
        <v>Yes</v>
      </c>
    </row>
    <row r="2197" spans="54:70" x14ac:dyDescent="0.2">
      <c r="BB2197" s="94"/>
      <c r="BL2197" s="8">
        <v>2148</v>
      </c>
      <c r="BM2197" s="8">
        <v>3017838.0484406766</v>
      </c>
      <c r="BN2197" s="8">
        <v>0</v>
      </c>
      <c r="BO2197" s="8">
        <v>3017838.0484406766</v>
      </c>
      <c r="BP2197" s="8">
        <v>6110890.139416459</v>
      </c>
      <c r="BQ2197" s="8">
        <v>3093052.0909757824</v>
      </c>
      <c r="BR2197" s="8" t="str">
        <v>No</v>
      </c>
    </row>
    <row r="2198" spans="54:70" x14ac:dyDescent="0.2">
      <c r="BB2198" s="94"/>
      <c r="BL2198" s="8">
        <v>2149</v>
      </c>
      <c r="BM2198" s="8">
        <v>2774947.3897324419</v>
      </c>
      <c r="BN2198" s="8">
        <v>799258.93645296758</v>
      </c>
      <c r="BO2198" s="8">
        <v>3574206.3261854094</v>
      </c>
      <c r="BP2198" s="8">
        <v>3391796.0864643594</v>
      </c>
      <c r="BQ2198" s="8">
        <v>-182410.23972105002</v>
      </c>
      <c r="BR2198" s="8" t="str">
        <v>Yes</v>
      </c>
    </row>
    <row r="2199" spans="54:70" x14ac:dyDescent="0.2">
      <c r="BB2199" s="94"/>
      <c r="BL2199" s="8">
        <v>2150</v>
      </c>
      <c r="BM2199" s="8">
        <v>3325011.9361052718</v>
      </c>
      <c r="BN2199" s="8">
        <v>2115835.6060611838</v>
      </c>
      <c r="BO2199" s="8">
        <v>5440847.5421664556</v>
      </c>
      <c r="BP2199" s="8">
        <v>6571510.934236058</v>
      </c>
      <c r="BQ2199" s="8">
        <v>1130663.3920696024</v>
      </c>
      <c r="BR2199" s="8" t="str">
        <v>No</v>
      </c>
    </row>
    <row r="2200" spans="54:70" x14ac:dyDescent="0.2">
      <c r="BB2200" s="94"/>
      <c r="BL2200" s="8">
        <v>2151</v>
      </c>
      <c r="BM2200" s="8">
        <v>4412993.8929997561</v>
      </c>
      <c r="BN2200" s="8">
        <v>3682680.3185041882</v>
      </c>
      <c r="BO2200" s="8">
        <v>8095674.2115039444</v>
      </c>
      <c r="BP2200" s="8">
        <v>4302790.5399814453</v>
      </c>
      <c r="BQ2200" s="8">
        <v>-3792883.6715224991</v>
      </c>
      <c r="BR2200" s="8" t="str">
        <v>Yes</v>
      </c>
    </row>
    <row r="2201" spans="54:70" x14ac:dyDescent="0.2">
      <c r="BB2201" s="94"/>
      <c r="BL2201" s="8">
        <v>2152</v>
      </c>
      <c r="BM2201" s="8">
        <v>3334066.184369144</v>
      </c>
      <c r="BN2201" s="8">
        <v>2962909.7703046035</v>
      </c>
      <c r="BO2201" s="8">
        <v>6296975.9546737475</v>
      </c>
      <c r="BP2201" s="8">
        <v>6002406.1710737012</v>
      </c>
      <c r="BQ2201" s="8">
        <v>-294569.7836000463</v>
      </c>
      <c r="BR2201" s="8" t="str">
        <v>Yes</v>
      </c>
    </row>
    <row r="2202" spans="54:70" x14ac:dyDescent="0.2">
      <c r="BB2202" s="94"/>
      <c r="BL2202" s="8">
        <v>2153</v>
      </c>
      <c r="BM2202" s="8">
        <v>2778804.8693272788</v>
      </c>
      <c r="BN2202" s="8">
        <v>0</v>
      </c>
      <c r="BO2202" s="8">
        <v>2778804.8693272788</v>
      </c>
      <c r="BP2202" s="8">
        <v>2302758.0907425848</v>
      </c>
      <c r="BQ2202" s="8">
        <v>-476046.77858469402</v>
      </c>
      <c r="BR2202" s="8" t="str">
        <v>Yes</v>
      </c>
    </row>
    <row r="2203" spans="54:70" x14ac:dyDescent="0.2">
      <c r="BB2203" s="94"/>
      <c r="BL2203" s="8">
        <v>2154</v>
      </c>
      <c r="BM2203" s="8">
        <v>5468433.56958046</v>
      </c>
      <c r="BN2203" s="8">
        <v>0</v>
      </c>
      <c r="BO2203" s="8">
        <v>5468433.56958046</v>
      </c>
      <c r="BP2203" s="8">
        <v>5523058.458517421</v>
      </c>
      <c r="BQ2203" s="8">
        <v>54624.88893696107</v>
      </c>
      <c r="BR2203" s="8" t="str">
        <v>No</v>
      </c>
    </row>
    <row r="2204" spans="54:70" x14ac:dyDescent="0.2">
      <c r="BB2204" s="94"/>
      <c r="BL2204" s="8">
        <v>2155</v>
      </c>
      <c r="BM2204" s="8">
        <v>6144108.4158347789</v>
      </c>
      <c r="BN2204" s="8">
        <v>9044725.4735102374</v>
      </c>
      <c r="BO2204" s="8">
        <v>15188833.889345016</v>
      </c>
      <c r="BP2204" s="8">
        <v>2258676.4359762035</v>
      </c>
      <c r="BQ2204" s="8">
        <v>-12930157.453368813</v>
      </c>
      <c r="BR2204" s="8" t="str">
        <v>Yes</v>
      </c>
    </row>
    <row r="2205" spans="54:70" x14ac:dyDescent="0.2">
      <c r="BB2205" s="94"/>
      <c r="BL2205" s="8">
        <v>2156</v>
      </c>
      <c r="BM2205" s="8">
        <v>2590120.029717641</v>
      </c>
      <c r="BN2205" s="8">
        <v>0</v>
      </c>
      <c r="BO2205" s="8">
        <v>2590120.029717641</v>
      </c>
      <c r="BP2205" s="8">
        <v>3128256.9963881001</v>
      </c>
      <c r="BQ2205" s="8">
        <v>538136.96667045914</v>
      </c>
      <c r="BR2205" s="8" t="str">
        <v>No</v>
      </c>
    </row>
    <row r="2206" spans="54:70" x14ac:dyDescent="0.2">
      <c r="BB2206" s="94"/>
      <c r="BL2206" s="8">
        <v>2157</v>
      </c>
      <c r="BM2206" s="8">
        <v>6536312.4359705914</v>
      </c>
      <c r="BN2206" s="8">
        <v>0</v>
      </c>
      <c r="BO2206" s="8">
        <v>6536312.4359705914</v>
      </c>
      <c r="BP2206" s="8">
        <v>3191234.7579303044</v>
      </c>
      <c r="BQ2206" s="8">
        <v>-3345077.678040287</v>
      </c>
      <c r="BR2206" s="8" t="str">
        <v>Yes</v>
      </c>
    </row>
    <row r="2207" spans="54:70" x14ac:dyDescent="0.2">
      <c r="BB2207" s="94"/>
      <c r="BL2207" s="8">
        <v>2158</v>
      </c>
      <c r="BM2207" s="8">
        <v>5076746.173973687</v>
      </c>
      <c r="BN2207" s="8">
        <v>0</v>
      </c>
      <c r="BO2207" s="8">
        <v>5076746.173973687</v>
      </c>
      <c r="BP2207" s="8">
        <v>3468759.2055429211</v>
      </c>
      <c r="BQ2207" s="8">
        <v>-1607986.9684307659</v>
      </c>
      <c r="BR2207" s="8" t="str">
        <v>Yes</v>
      </c>
    </row>
    <row r="2208" spans="54:70" x14ac:dyDescent="0.2">
      <c r="BB2208" s="94"/>
      <c r="BL2208" s="8">
        <v>2159</v>
      </c>
      <c r="BM2208" s="8">
        <v>3951701.3469366208</v>
      </c>
      <c r="BN2208" s="8">
        <v>0</v>
      </c>
      <c r="BO2208" s="8">
        <v>3951701.3469366208</v>
      </c>
      <c r="BP2208" s="8">
        <v>2445395.8644203427</v>
      </c>
      <c r="BQ2208" s="8">
        <v>-1506305.482516278</v>
      </c>
      <c r="BR2208" s="8" t="str">
        <v>Yes</v>
      </c>
    </row>
    <row r="2209" spans="54:70" x14ac:dyDescent="0.2">
      <c r="BB2209" s="94"/>
      <c r="BL2209" s="8">
        <v>2160</v>
      </c>
      <c r="BM2209" s="8">
        <v>2906374.6014965163</v>
      </c>
      <c r="BN2209" s="8">
        <v>0</v>
      </c>
      <c r="BO2209" s="8">
        <v>2906374.6014965163</v>
      </c>
      <c r="BP2209" s="8">
        <v>6099180.382376831</v>
      </c>
      <c r="BQ2209" s="8">
        <v>3192805.7808803148</v>
      </c>
      <c r="BR2209" s="8" t="str">
        <v>No</v>
      </c>
    </row>
    <row r="2210" spans="54:70" x14ac:dyDescent="0.2">
      <c r="BB2210" s="94"/>
      <c r="BL2210" s="8">
        <v>2161</v>
      </c>
      <c r="BM2210" s="8">
        <v>4167611.4187823897</v>
      </c>
      <c r="BN2210" s="8">
        <v>3701551.8763869731</v>
      </c>
      <c r="BO2210" s="8">
        <v>7869163.2951693628</v>
      </c>
      <c r="BP2210" s="8">
        <v>2238464.5826341184</v>
      </c>
      <c r="BQ2210" s="8">
        <v>-5630698.7125352444</v>
      </c>
      <c r="BR2210" s="8" t="str">
        <v>Yes</v>
      </c>
    </row>
    <row r="2211" spans="54:70" x14ac:dyDescent="0.2">
      <c r="BB2211" s="94"/>
      <c r="BL2211" s="8">
        <v>2162</v>
      </c>
      <c r="BM2211" s="8">
        <v>3453160.13981049</v>
      </c>
      <c r="BN2211" s="8">
        <v>0</v>
      </c>
      <c r="BO2211" s="8">
        <v>3453160.13981049</v>
      </c>
      <c r="BP2211" s="8">
        <v>3397444.871635207</v>
      </c>
      <c r="BQ2211" s="8">
        <v>-55715.268175282981</v>
      </c>
      <c r="BR2211" s="8" t="str">
        <v>Yes</v>
      </c>
    </row>
    <row r="2212" spans="54:70" x14ac:dyDescent="0.2">
      <c r="BB2212" s="94"/>
      <c r="BL2212" s="8">
        <v>2163</v>
      </c>
      <c r="BM2212" s="8">
        <v>4733551.9645705204</v>
      </c>
      <c r="BN2212" s="8">
        <v>0</v>
      </c>
      <c r="BO2212" s="8">
        <v>4733551.9645705204</v>
      </c>
      <c r="BP2212" s="8">
        <v>4331817.1968640098</v>
      </c>
      <c r="BQ2212" s="8">
        <v>-401734.76770651061</v>
      </c>
      <c r="BR2212" s="8" t="str">
        <v>Yes</v>
      </c>
    </row>
    <row r="2213" spans="54:70" x14ac:dyDescent="0.2">
      <c r="BB2213" s="94"/>
      <c r="BL2213" s="8">
        <v>2164</v>
      </c>
      <c r="BM2213" s="8">
        <v>2195441.7416807245</v>
      </c>
      <c r="BN2213" s="8">
        <v>2453713.4133860446</v>
      </c>
      <c r="BO2213" s="8">
        <v>4649155.1550667696</v>
      </c>
      <c r="BP2213" s="8">
        <v>2369649.7479287428</v>
      </c>
      <c r="BQ2213" s="8">
        <v>-2279505.4071380268</v>
      </c>
      <c r="BR2213" s="8" t="str">
        <v>Yes</v>
      </c>
    </row>
    <row r="2214" spans="54:70" x14ac:dyDescent="0.2">
      <c r="BB2214" s="94"/>
      <c r="BL2214" s="8">
        <v>2165</v>
      </c>
      <c r="BM2214" s="8">
        <v>7172709.9512172807</v>
      </c>
      <c r="BN2214" s="8">
        <v>2848251.1707128738</v>
      </c>
      <c r="BO2214" s="8">
        <v>10020961.121930154</v>
      </c>
      <c r="BP2214" s="8">
        <v>4582997.5569732729</v>
      </c>
      <c r="BQ2214" s="8">
        <v>-5437963.5649568811</v>
      </c>
      <c r="BR2214" s="8" t="str">
        <v>Yes</v>
      </c>
    </row>
    <row r="2215" spans="54:70" x14ac:dyDescent="0.2">
      <c r="BB2215" s="94"/>
      <c r="BL2215" s="8">
        <v>2166</v>
      </c>
      <c r="BM2215" s="8">
        <v>2403390.6670394419</v>
      </c>
      <c r="BN2215" s="8">
        <v>3667460.6909413622</v>
      </c>
      <c r="BO2215" s="8">
        <v>6070851.3579808045</v>
      </c>
      <c r="BP2215" s="8">
        <v>3316508.992353545</v>
      </c>
      <c r="BQ2215" s="8">
        <v>-2754342.3656272595</v>
      </c>
      <c r="BR2215" s="8" t="str">
        <v>Yes</v>
      </c>
    </row>
    <row r="2216" spans="54:70" x14ac:dyDescent="0.2">
      <c r="BB2216" s="94"/>
      <c r="BL2216" s="8">
        <v>2167</v>
      </c>
      <c r="BM2216" s="8">
        <v>6260981.8256502487</v>
      </c>
      <c r="BN2216" s="8">
        <v>5719290.5109117087</v>
      </c>
      <c r="BO2216" s="8">
        <v>11980272.336561957</v>
      </c>
      <c r="BP2216" s="8">
        <v>3231374.7069723951</v>
      </c>
      <c r="BQ2216" s="8">
        <v>-8748897.6295895614</v>
      </c>
      <c r="BR2216" s="8" t="str">
        <v>Yes</v>
      </c>
    </row>
    <row r="2217" spans="54:70" x14ac:dyDescent="0.2">
      <c r="BB2217" s="94"/>
      <c r="BL2217" s="8">
        <v>2168</v>
      </c>
      <c r="BM2217" s="8">
        <v>2437626.3526692716</v>
      </c>
      <c r="BN2217" s="8">
        <v>1866039.5534179993</v>
      </c>
      <c r="BO2217" s="8">
        <v>4303665.9060872709</v>
      </c>
      <c r="BP2217" s="8">
        <v>2082800.9840102154</v>
      </c>
      <c r="BQ2217" s="8">
        <v>-2220864.9220770556</v>
      </c>
      <c r="BR2217" s="8" t="str">
        <v>Yes</v>
      </c>
    </row>
    <row r="2218" spans="54:70" x14ac:dyDescent="0.2">
      <c r="BB2218" s="94"/>
      <c r="BL2218" s="8">
        <v>2169</v>
      </c>
      <c r="BM2218" s="8">
        <v>6134971.4484726973</v>
      </c>
      <c r="BN2218" s="8">
        <v>4672094.4377905168</v>
      </c>
      <c r="BO2218" s="8">
        <v>10807065.886263214</v>
      </c>
      <c r="BP2218" s="8">
        <v>3001734.9055184964</v>
      </c>
      <c r="BQ2218" s="8">
        <v>-7805330.9807447176</v>
      </c>
      <c r="BR2218" s="8" t="str">
        <v>Yes</v>
      </c>
    </row>
    <row r="2219" spans="54:70" x14ac:dyDescent="0.2">
      <c r="BB2219" s="94"/>
      <c r="BL2219" s="8">
        <v>2170</v>
      </c>
      <c r="BM2219" s="8">
        <v>3372322.957913328</v>
      </c>
      <c r="BN2219" s="8">
        <v>5586784.2433267087</v>
      </c>
      <c r="BO2219" s="8">
        <v>8959107.2012400366</v>
      </c>
      <c r="BP2219" s="8">
        <v>2184831.4718317469</v>
      </c>
      <c r="BQ2219" s="8">
        <v>-6774275.7294082902</v>
      </c>
      <c r="BR2219" s="8" t="str">
        <v>Yes</v>
      </c>
    </row>
    <row r="2220" spans="54:70" x14ac:dyDescent="0.2">
      <c r="BB2220" s="94"/>
      <c r="BL2220" s="8">
        <v>2171</v>
      </c>
      <c r="BM2220" s="8">
        <v>6107041.2432470918</v>
      </c>
      <c r="BN2220" s="8">
        <v>0</v>
      </c>
      <c r="BO2220" s="8">
        <v>6107041.2432470918</v>
      </c>
      <c r="BP2220" s="8">
        <v>2451480.1383964289</v>
      </c>
      <c r="BQ2220" s="8">
        <v>-3655561.1048506629</v>
      </c>
      <c r="BR2220" s="8" t="str">
        <v>Yes</v>
      </c>
    </row>
    <row r="2221" spans="54:70" x14ac:dyDescent="0.2">
      <c r="BB2221" s="94"/>
      <c r="BL2221" s="8">
        <v>2172</v>
      </c>
      <c r="BM2221" s="8">
        <v>5919896.4446643451</v>
      </c>
      <c r="BN2221" s="8">
        <v>8859829.7360693254</v>
      </c>
      <c r="BO2221" s="8">
        <v>14779726.18073367</v>
      </c>
      <c r="BP2221" s="8">
        <v>2346737.0307530416</v>
      </c>
      <c r="BQ2221" s="8">
        <v>-12432989.149980627</v>
      </c>
      <c r="BR2221" s="8" t="str">
        <v>Yes</v>
      </c>
    </row>
    <row r="2222" spans="54:70" x14ac:dyDescent="0.2">
      <c r="BB2222" s="94"/>
      <c r="BL2222" s="8">
        <v>2173</v>
      </c>
      <c r="BM2222" s="8">
        <v>9517060.1336867847</v>
      </c>
      <c r="BN2222" s="8">
        <v>0</v>
      </c>
      <c r="BO2222" s="8">
        <v>9517060.1336867847</v>
      </c>
      <c r="BP2222" s="8">
        <v>2355692.2463416383</v>
      </c>
      <c r="BQ2222" s="8">
        <v>-7161367.8873451464</v>
      </c>
      <c r="BR2222" s="8" t="str">
        <v>Yes</v>
      </c>
    </row>
    <row r="2223" spans="54:70" x14ac:dyDescent="0.2">
      <c r="BB2223" s="94"/>
      <c r="BL2223" s="8">
        <v>2174</v>
      </c>
      <c r="BM2223" s="8">
        <v>5430179.0960472813</v>
      </c>
      <c r="BN2223" s="8">
        <v>0</v>
      </c>
      <c r="BO2223" s="8">
        <v>5430179.0960472813</v>
      </c>
      <c r="BP2223" s="8">
        <v>3560449.188975974</v>
      </c>
      <c r="BQ2223" s="8">
        <v>-1869729.9070713073</v>
      </c>
      <c r="BR2223" s="8" t="str">
        <v>Yes</v>
      </c>
    </row>
    <row r="2224" spans="54:70" x14ac:dyDescent="0.2">
      <c r="BB2224" s="94"/>
      <c r="BL2224" s="8">
        <v>2175</v>
      </c>
      <c r="BM2224" s="8">
        <v>5272035.5185678117</v>
      </c>
      <c r="BN2224" s="8">
        <v>5306451.757325422</v>
      </c>
      <c r="BO2224" s="8">
        <v>10578487.275893234</v>
      </c>
      <c r="BP2224" s="8">
        <v>6029888.8383632852</v>
      </c>
      <c r="BQ2224" s="8">
        <v>-4548598.4375299485</v>
      </c>
      <c r="BR2224" s="8" t="str">
        <v>Yes</v>
      </c>
    </row>
    <row r="2225" spans="54:70" x14ac:dyDescent="0.2">
      <c r="BB2225" s="94"/>
      <c r="BL2225" s="8">
        <v>2176</v>
      </c>
      <c r="BM2225" s="8">
        <v>2689130.2782743056</v>
      </c>
      <c r="BN2225" s="8">
        <v>-327370.99556847225</v>
      </c>
      <c r="BO2225" s="8">
        <v>2361759.2827058332</v>
      </c>
      <c r="BP2225" s="8">
        <v>6216505.3724506116</v>
      </c>
      <c r="BQ2225" s="8">
        <v>3854746.0897447783</v>
      </c>
      <c r="BR2225" s="8" t="str">
        <v>No</v>
      </c>
    </row>
    <row r="2226" spans="54:70" x14ac:dyDescent="0.2">
      <c r="BB2226" s="94"/>
      <c r="BL2226" s="8">
        <v>2177</v>
      </c>
      <c r="BM2226" s="8">
        <v>3130877.1793941259</v>
      </c>
      <c r="BN2226" s="8">
        <v>1214778.561194506</v>
      </c>
      <c r="BO2226" s="8">
        <v>4345655.7405886315</v>
      </c>
      <c r="BP2226" s="8">
        <v>3022578.853171357</v>
      </c>
      <c r="BQ2226" s="8">
        <v>-1323076.8874172745</v>
      </c>
      <c r="BR2226" s="8" t="str">
        <v>Yes</v>
      </c>
    </row>
    <row r="2227" spans="54:70" x14ac:dyDescent="0.2">
      <c r="BB2227" s="94"/>
      <c r="BL2227" s="8">
        <v>2178</v>
      </c>
      <c r="BM2227" s="8">
        <v>3149202.069760845</v>
      </c>
      <c r="BN2227" s="8">
        <v>0</v>
      </c>
      <c r="BO2227" s="8">
        <v>3149202.069760845</v>
      </c>
      <c r="BP2227" s="8">
        <v>4059633.2593067056</v>
      </c>
      <c r="BQ2227" s="8">
        <v>910431.18954586051</v>
      </c>
      <c r="BR2227" s="8" t="str">
        <v>No</v>
      </c>
    </row>
    <row r="2228" spans="54:70" x14ac:dyDescent="0.2">
      <c r="BB2228" s="94"/>
      <c r="BL2228" s="8">
        <v>2179</v>
      </c>
      <c r="BM2228" s="8">
        <v>1885923.4524538675</v>
      </c>
      <c r="BN2228" s="8">
        <v>685346.02600233466</v>
      </c>
      <c r="BO2228" s="8">
        <v>2571269.478456202</v>
      </c>
      <c r="BP2228" s="8">
        <v>3517304.0445504105</v>
      </c>
      <c r="BQ2228" s="8">
        <v>946034.56609420851</v>
      </c>
      <c r="BR2228" s="8" t="str">
        <v>No</v>
      </c>
    </row>
    <row r="2229" spans="54:70" x14ac:dyDescent="0.2">
      <c r="BB2229" s="94"/>
      <c r="BL2229" s="8">
        <v>2180</v>
      </c>
      <c r="BM2229" s="8">
        <v>4083716.6613486633</v>
      </c>
      <c r="BN2229" s="8">
        <v>3813861.8422873132</v>
      </c>
      <c r="BO2229" s="8">
        <v>7897578.5036359765</v>
      </c>
      <c r="BP2229" s="8">
        <v>6472851.0912473118</v>
      </c>
      <c r="BQ2229" s="8">
        <v>-1424727.4123886647</v>
      </c>
      <c r="BR2229" s="8" t="str">
        <v>Yes</v>
      </c>
    </row>
    <row r="2230" spans="54:70" x14ac:dyDescent="0.2">
      <c r="BB2230" s="94"/>
      <c r="BL2230" s="8">
        <v>2181</v>
      </c>
      <c r="BM2230" s="8">
        <v>3792381.2132503027</v>
      </c>
      <c r="BN2230" s="8">
        <v>0</v>
      </c>
      <c r="BO2230" s="8">
        <v>3792381.2132503027</v>
      </c>
      <c r="BP2230" s="8">
        <v>3422397.2355185086</v>
      </c>
      <c r="BQ2230" s="8">
        <v>-369983.97773179412</v>
      </c>
      <c r="BR2230" s="8" t="str">
        <v>Yes</v>
      </c>
    </row>
    <row r="2231" spans="54:70" x14ac:dyDescent="0.2">
      <c r="BB2231" s="94"/>
      <c r="BL2231" s="8">
        <v>2182</v>
      </c>
      <c r="BM2231" s="8">
        <v>9290926.9308632258</v>
      </c>
      <c r="BN2231" s="8">
        <v>0</v>
      </c>
      <c r="BO2231" s="8">
        <v>9290926.9308632258</v>
      </c>
      <c r="BP2231" s="8">
        <v>6332685.9400417898</v>
      </c>
      <c r="BQ2231" s="8">
        <v>-2958240.990821436</v>
      </c>
      <c r="BR2231" s="8" t="str">
        <v>Yes</v>
      </c>
    </row>
    <row r="2232" spans="54:70" x14ac:dyDescent="0.2">
      <c r="BB2232" s="94"/>
      <c r="BL2232" s="8">
        <v>2183</v>
      </c>
      <c r="BM2232" s="8">
        <v>2169353.1074181981</v>
      </c>
      <c r="BN2232" s="8">
        <v>1807236.6488542364</v>
      </c>
      <c r="BO2232" s="8">
        <v>3976589.7562724343</v>
      </c>
      <c r="BP2232" s="8">
        <v>3428020.9112401484</v>
      </c>
      <c r="BQ2232" s="8">
        <v>-548568.8450322859</v>
      </c>
      <c r="BR2232" s="8" t="str">
        <v>Yes</v>
      </c>
    </row>
    <row r="2233" spans="54:70" x14ac:dyDescent="0.2">
      <c r="BB2233" s="94"/>
      <c r="BL2233" s="8">
        <v>2184</v>
      </c>
      <c r="BM2233" s="8">
        <v>3302129.927575564</v>
      </c>
      <c r="BN2233" s="8">
        <v>0</v>
      </c>
      <c r="BO2233" s="8">
        <v>3302129.927575564</v>
      </c>
      <c r="BP2233" s="8">
        <v>4607197.8856178056</v>
      </c>
      <c r="BQ2233" s="8">
        <v>1305067.9580422416</v>
      </c>
      <c r="BR2233" s="8" t="str">
        <v>No</v>
      </c>
    </row>
    <row r="2234" spans="54:70" x14ac:dyDescent="0.2">
      <c r="BB2234" s="94"/>
      <c r="BL2234" s="8">
        <v>2185</v>
      </c>
      <c r="BM2234" s="8">
        <v>3665805.2274561338</v>
      </c>
      <c r="BN2234" s="8">
        <v>1910781.9864778453</v>
      </c>
      <c r="BO2234" s="8">
        <v>5576587.2139339792</v>
      </c>
      <c r="BP2234" s="8">
        <v>4770358.4609921938</v>
      </c>
      <c r="BQ2234" s="8">
        <v>-806228.75294178538</v>
      </c>
      <c r="BR2234" s="8" t="str">
        <v>Yes</v>
      </c>
    </row>
    <row r="2235" spans="54:70" x14ac:dyDescent="0.2">
      <c r="BB2235" s="94"/>
      <c r="BL2235" s="8">
        <v>2186</v>
      </c>
      <c r="BM2235" s="8">
        <v>2508703.4512418299</v>
      </c>
      <c r="BN2235" s="8">
        <v>0</v>
      </c>
      <c r="BO2235" s="8">
        <v>2508703.4512418299</v>
      </c>
      <c r="BP2235" s="8">
        <v>5989308.7628402235</v>
      </c>
      <c r="BQ2235" s="8">
        <v>3480605.3115983936</v>
      </c>
      <c r="BR2235" s="8" t="str">
        <v>No</v>
      </c>
    </row>
    <row r="2236" spans="54:70" x14ac:dyDescent="0.2">
      <c r="BB2236" s="94"/>
      <c r="BL2236" s="8">
        <v>2187</v>
      </c>
      <c r="BM2236" s="8">
        <v>3105088.4992494052</v>
      </c>
      <c r="BN2236" s="8">
        <v>2062790.6022124349</v>
      </c>
      <c r="BO2236" s="8">
        <v>5167879.1014618399</v>
      </c>
      <c r="BP2236" s="8">
        <v>6458905.4538581436</v>
      </c>
      <c r="BQ2236" s="8">
        <v>1291026.3523963038</v>
      </c>
      <c r="BR2236" s="8" t="str">
        <v>No</v>
      </c>
    </row>
    <row r="2237" spans="54:70" x14ac:dyDescent="0.2">
      <c r="BB2237" s="94"/>
      <c r="BL2237" s="8">
        <v>2188</v>
      </c>
      <c r="BM2237" s="8">
        <v>10279206.077235971</v>
      </c>
      <c r="BN2237" s="8">
        <v>0</v>
      </c>
      <c r="BO2237" s="8">
        <v>10279206.077235971</v>
      </c>
      <c r="BP2237" s="8">
        <v>6656024.0266034054</v>
      </c>
      <c r="BQ2237" s="8">
        <v>-3623182.0506325653</v>
      </c>
      <c r="BR2237" s="8" t="str">
        <v>Yes</v>
      </c>
    </row>
    <row r="2238" spans="54:70" x14ac:dyDescent="0.2">
      <c r="BB2238" s="94"/>
      <c r="BL2238" s="8">
        <v>2189</v>
      </c>
      <c r="BM2238" s="8">
        <v>7024679.1014566366</v>
      </c>
      <c r="BN2238" s="8">
        <v>5161399.2440274023</v>
      </c>
      <c r="BO2238" s="8">
        <v>12186078.345484039</v>
      </c>
      <c r="BP2238" s="8">
        <v>3394494.9681793931</v>
      </c>
      <c r="BQ2238" s="8">
        <v>-8791583.3773046453</v>
      </c>
      <c r="BR2238" s="8" t="str">
        <v>Yes</v>
      </c>
    </row>
    <row r="2239" spans="54:70" x14ac:dyDescent="0.2">
      <c r="BB2239" s="94"/>
      <c r="BL2239" s="8">
        <v>2190</v>
      </c>
      <c r="BM2239" s="8">
        <v>2620267.4809065796</v>
      </c>
      <c r="BN2239" s="8">
        <v>0</v>
      </c>
      <c r="BO2239" s="8">
        <v>2620267.4809065796</v>
      </c>
      <c r="BP2239" s="8">
        <v>2340024.9086300093</v>
      </c>
      <c r="BQ2239" s="8">
        <v>-280242.57227657037</v>
      </c>
      <c r="BR2239" s="8" t="str">
        <v>Yes</v>
      </c>
    </row>
    <row r="2240" spans="54:70" x14ac:dyDescent="0.2">
      <c r="BB2240" s="94"/>
      <c r="BL2240" s="8">
        <v>2191</v>
      </c>
      <c r="BM2240" s="8">
        <v>3736545.8604980512</v>
      </c>
      <c r="BN2240" s="8">
        <v>2446579.2861036141</v>
      </c>
      <c r="BO2240" s="8">
        <v>6183125.1466016658</v>
      </c>
      <c r="BP2240" s="8">
        <v>6191388.151511074</v>
      </c>
      <c r="BQ2240" s="8">
        <v>8263.0049094082788</v>
      </c>
      <c r="BR2240" s="8" t="str">
        <v>No</v>
      </c>
    </row>
    <row r="2241" spans="54:70" x14ac:dyDescent="0.2">
      <c r="BB2241" s="94"/>
      <c r="BL2241" s="8">
        <v>2192</v>
      </c>
      <c r="BM2241" s="8">
        <v>6723141.3202424804</v>
      </c>
      <c r="BN2241" s="8">
        <v>8220016.7893700348</v>
      </c>
      <c r="BO2241" s="8">
        <v>14943158.109612515</v>
      </c>
      <c r="BP2241" s="8">
        <v>3621447.6599513385</v>
      </c>
      <c r="BQ2241" s="8">
        <v>-11321710.449661177</v>
      </c>
      <c r="BR2241" s="8" t="str">
        <v>Yes</v>
      </c>
    </row>
    <row r="2242" spans="54:70" x14ac:dyDescent="0.2">
      <c r="BB2242" s="94"/>
      <c r="BL2242" s="8">
        <v>2193</v>
      </c>
      <c r="BM2242" s="8">
        <v>3057384.6521401107</v>
      </c>
      <c r="BN2242" s="8">
        <v>2121455.310760445</v>
      </c>
      <c r="BO2242" s="8">
        <v>5178839.9629005557</v>
      </c>
      <c r="BP2242" s="8">
        <v>3526655.5196947781</v>
      </c>
      <c r="BQ2242" s="8">
        <v>-1652184.4432057776</v>
      </c>
      <c r="BR2242" s="8" t="str">
        <v>Yes</v>
      </c>
    </row>
    <row r="2243" spans="54:70" x14ac:dyDescent="0.2">
      <c r="BB2243" s="94"/>
      <c r="BL2243" s="8">
        <v>2194</v>
      </c>
      <c r="BM2243" s="8">
        <v>3494675.9833269613</v>
      </c>
      <c r="BN2243" s="8">
        <v>3226757.0268183756</v>
      </c>
      <c r="BO2243" s="8">
        <v>6721433.0101453364</v>
      </c>
      <c r="BP2243" s="8">
        <v>6087939.9410225684</v>
      </c>
      <c r="BQ2243" s="8">
        <v>-633493.06912276801</v>
      </c>
      <c r="BR2243" s="8" t="str">
        <v>Yes</v>
      </c>
    </row>
    <row r="2244" spans="54:70" x14ac:dyDescent="0.2">
      <c r="BB2244" s="94"/>
      <c r="BL2244" s="8">
        <v>2195</v>
      </c>
      <c r="BM2244" s="8">
        <v>5681548.5600934774</v>
      </c>
      <c r="BN2244" s="8">
        <v>6235594.2797729494</v>
      </c>
      <c r="BO2244" s="8">
        <v>11917142.839866426</v>
      </c>
      <c r="BP2244" s="8">
        <v>4168077.0585799213</v>
      </c>
      <c r="BQ2244" s="8">
        <v>-7749065.7812865041</v>
      </c>
      <c r="BR2244" s="8" t="str">
        <v>Yes</v>
      </c>
    </row>
    <row r="2245" spans="54:70" x14ac:dyDescent="0.2">
      <c r="BB2245" s="94"/>
      <c r="BL2245" s="8">
        <v>2196</v>
      </c>
      <c r="BM2245" s="8">
        <v>3685881.1784652532</v>
      </c>
      <c r="BN2245" s="8">
        <v>0</v>
      </c>
      <c r="BO2245" s="8">
        <v>3685881.1784652532</v>
      </c>
      <c r="BP2245" s="8">
        <v>6010335.9127592659</v>
      </c>
      <c r="BQ2245" s="8">
        <v>2324454.7342940127</v>
      </c>
      <c r="BR2245" s="8" t="str">
        <v>No</v>
      </c>
    </row>
    <row r="2246" spans="54:70" x14ac:dyDescent="0.2">
      <c r="BB2246" s="94"/>
      <c r="BL2246" s="8">
        <v>2197</v>
      </c>
      <c r="BM2246" s="8">
        <v>3719021.0143621881</v>
      </c>
      <c r="BN2246" s="8">
        <v>0</v>
      </c>
      <c r="BO2246" s="8">
        <v>3719021.0143621881</v>
      </c>
      <c r="BP2246" s="8">
        <v>3637071.7599099539</v>
      </c>
      <c r="BQ2246" s="8">
        <v>-81949.254452234134</v>
      </c>
      <c r="BR2246" s="8" t="str">
        <v>Yes</v>
      </c>
    </row>
    <row r="2247" spans="54:70" x14ac:dyDescent="0.2">
      <c r="BB2247" s="94"/>
      <c r="BL2247" s="8">
        <v>2198</v>
      </c>
      <c r="BM2247" s="8">
        <v>1966538.1621568748</v>
      </c>
      <c r="BN2247" s="8">
        <v>0</v>
      </c>
      <c r="BO2247" s="8">
        <v>1966538.1621568748</v>
      </c>
      <c r="BP2247" s="8">
        <v>4253345.8913356178</v>
      </c>
      <c r="BQ2247" s="8">
        <v>2286807.729178743</v>
      </c>
      <c r="BR2247" s="8" t="str">
        <v>No</v>
      </c>
    </row>
    <row r="2248" spans="54:70" x14ac:dyDescent="0.2">
      <c r="BB2248" s="94"/>
      <c r="BL2248" s="8">
        <v>2199</v>
      </c>
      <c r="BM2248" s="8">
        <v>6246723.8865250982</v>
      </c>
      <c r="BN2248" s="8">
        <v>0</v>
      </c>
      <c r="BO2248" s="8">
        <v>6246723.8865250982</v>
      </c>
      <c r="BP2248" s="8">
        <v>6417849.5438366067</v>
      </c>
      <c r="BQ2248" s="8">
        <v>171125.65731150843</v>
      </c>
      <c r="BR2248" s="8" t="str">
        <v>No</v>
      </c>
    </row>
    <row r="2249" spans="54:70" x14ac:dyDescent="0.2">
      <c r="BB2249" s="94"/>
      <c r="BL2249" s="8">
        <v>2200</v>
      </c>
      <c r="BM2249" s="8">
        <v>5362626.9823160209</v>
      </c>
      <c r="BN2249" s="8">
        <v>2606083.5275811809</v>
      </c>
      <c r="BO2249" s="8">
        <v>7968710.5098972023</v>
      </c>
      <c r="BP2249" s="8">
        <v>5858867.9770221366</v>
      </c>
      <c r="BQ2249" s="8">
        <v>-2109842.5328750657</v>
      </c>
      <c r="BR2249" s="8" t="str">
        <v>Yes</v>
      </c>
    </row>
    <row r="2250" spans="54:70" x14ac:dyDescent="0.2">
      <c r="BB2250" s="94"/>
      <c r="BL2250" s="8">
        <v>2201</v>
      </c>
      <c r="BM2250" s="8">
        <v>3050866.1172446935</v>
      </c>
      <c r="BN2250" s="8">
        <v>469305.42991017492</v>
      </c>
      <c r="BO2250" s="8">
        <v>3520171.5471548685</v>
      </c>
      <c r="BP2250" s="8">
        <v>6370750.7131932145</v>
      </c>
      <c r="BQ2250" s="8">
        <v>2850579.166038346</v>
      </c>
      <c r="BR2250" s="8" t="str">
        <v>No</v>
      </c>
    </row>
    <row r="2251" spans="54:70" x14ac:dyDescent="0.2">
      <c r="BB2251" s="94"/>
      <c r="BL2251" s="8">
        <v>2202</v>
      </c>
      <c r="BM2251" s="8">
        <v>13759481.012635659</v>
      </c>
      <c r="BN2251" s="8">
        <v>0</v>
      </c>
      <c r="BO2251" s="8">
        <v>13759481.012635659</v>
      </c>
      <c r="BP2251" s="8">
        <v>2261403.0606277506</v>
      </c>
      <c r="BQ2251" s="8">
        <v>-11498077.952007908</v>
      </c>
      <c r="BR2251" s="8" t="str">
        <v>Yes</v>
      </c>
    </row>
    <row r="2252" spans="54:70" x14ac:dyDescent="0.2">
      <c r="BB2252" s="94"/>
      <c r="BL2252" s="8">
        <v>2203</v>
      </c>
      <c r="BM2252" s="8">
        <v>4756587.3883317681</v>
      </c>
      <c r="BN2252" s="8">
        <v>7109962.9270046931</v>
      </c>
      <c r="BO2252" s="8">
        <v>11866550.315336462</v>
      </c>
      <c r="BP2252" s="8">
        <v>2269382.7658729693</v>
      </c>
      <c r="BQ2252" s="8">
        <v>-9597167.5494634919</v>
      </c>
      <c r="BR2252" s="8" t="str">
        <v>Yes</v>
      </c>
    </row>
    <row r="2253" spans="54:70" x14ac:dyDescent="0.2">
      <c r="BB2253" s="94"/>
      <c r="BL2253" s="8">
        <v>2204</v>
      </c>
      <c r="BM2253" s="8">
        <v>3691744.3154229755</v>
      </c>
      <c r="BN2253" s="8">
        <v>6188815.896593661</v>
      </c>
      <c r="BO2253" s="8">
        <v>9880560.2120166365</v>
      </c>
      <c r="BP2253" s="8">
        <v>2351861.9938756004</v>
      </c>
      <c r="BQ2253" s="8">
        <v>-7528698.2181410361</v>
      </c>
      <c r="BR2253" s="8" t="str">
        <v>Yes</v>
      </c>
    </row>
    <row r="2254" spans="54:70" x14ac:dyDescent="0.2">
      <c r="BB2254" s="94"/>
      <c r="BL2254" s="8">
        <v>2205</v>
      </c>
      <c r="BM2254" s="8">
        <v>9063986.9090041518</v>
      </c>
      <c r="BN2254" s="8">
        <v>3662295.5810781857</v>
      </c>
      <c r="BO2254" s="8">
        <v>12726282.490082338</v>
      </c>
      <c r="BP2254" s="8">
        <v>2178658.0459495909</v>
      </c>
      <c r="BQ2254" s="8">
        <v>-10547624.444132747</v>
      </c>
      <c r="BR2254" s="8" t="str">
        <v>Yes</v>
      </c>
    </row>
    <row r="2255" spans="54:70" x14ac:dyDescent="0.2">
      <c r="BB2255" s="94"/>
      <c r="BL2255" s="8">
        <v>2206</v>
      </c>
      <c r="BM2255" s="8">
        <v>4278409.7265192103</v>
      </c>
      <c r="BN2255" s="8">
        <v>4546387.606396026</v>
      </c>
      <c r="BO2255" s="8">
        <v>8824797.3329152353</v>
      </c>
      <c r="BP2255" s="8">
        <v>2436417.9367145575</v>
      </c>
      <c r="BQ2255" s="8">
        <v>-6388379.3962006774</v>
      </c>
      <c r="BR2255" s="8" t="str">
        <v>Yes</v>
      </c>
    </row>
    <row r="2256" spans="54:70" x14ac:dyDescent="0.2">
      <c r="BB2256" s="94"/>
      <c r="BL2256" s="8">
        <v>2207</v>
      </c>
      <c r="BM2256" s="8">
        <v>8642255.451934997</v>
      </c>
      <c r="BN2256" s="8">
        <v>0</v>
      </c>
      <c r="BO2256" s="8">
        <v>8642255.451934997</v>
      </c>
      <c r="BP2256" s="8">
        <v>3349066.3326944993</v>
      </c>
      <c r="BQ2256" s="8">
        <v>-5293189.1192404982</v>
      </c>
      <c r="BR2256" s="8" t="str">
        <v>Yes</v>
      </c>
    </row>
    <row r="2257" spans="54:70" x14ac:dyDescent="0.2">
      <c r="BB2257" s="94"/>
      <c r="BL2257" s="8">
        <v>2208</v>
      </c>
      <c r="BM2257" s="8">
        <v>6460995.2893881928</v>
      </c>
      <c r="BN2257" s="8">
        <v>0</v>
      </c>
      <c r="BO2257" s="8">
        <v>6460995.2893881928</v>
      </c>
      <c r="BP2257" s="8">
        <v>2336988.6589872506</v>
      </c>
      <c r="BQ2257" s="8">
        <v>-4124006.6304009422</v>
      </c>
      <c r="BR2257" s="8" t="str">
        <v>Yes</v>
      </c>
    </row>
    <row r="2258" spans="54:70" x14ac:dyDescent="0.2">
      <c r="BB2258" s="94"/>
      <c r="BL2258" s="8">
        <v>2209</v>
      </c>
      <c r="BM2258" s="8">
        <v>3476067.4699167321</v>
      </c>
      <c r="BN2258" s="8">
        <v>3916542.9203660088</v>
      </c>
      <c r="BO2258" s="8">
        <v>7392610.3902827408</v>
      </c>
      <c r="BP2258" s="8">
        <v>3349841.5236248947</v>
      </c>
      <c r="BQ2258" s="8">
        <v>-4042768.8666578461</v>
      </c>
      <c r="BR2258" s="8" t="str">
        <v>Yes</v>
      </c>
    </row>
    <row r="2259" spans="54:70" x14ac:dyDescent="0.2">
      <c r="BB2259" s="94"/>
      <c r="BL2259" s="8">
        <v>2210</v>
      </c>
      <c r="BM2259" s="8">
        <v>2980507.3340602135</v>
      </c>
      <c r="BN2259" s="8">
        <v>0</v>
      </c>
      <c r="BO2259" s="8">
        <v>2980507.3340602135</v>
      </c>
      <c r="BP2259" s="8">
        <v>2084577.2481511373</v>
      </c>
      <c r="BQ2259" s="8">
        <v>-895930.08590907627</v>
      </c>
      <c r="BR2259" s="8" t="str">
        <v>Yes</v>
      </c>
    </row>
    <row r="2260" spans="54:70" x14ac:dyDescent="0.2">
      <c r="BB2260" s="94"/>
      <c r="BL2260" s="8">
        <v>2211</v>
      </c>
      <c r="BM2260" s="8">
        <v>4487819.5003637085</v>
      </c>
      <c r="BN2260" s="8">
        <v>2157531.7708283006</v>
      </c>
      <c r="BO2260" s="8">
        <v>6645351.2711920086</v>
      </c>
      <c r="BP2260" s="8">
        <v>5923923.6303768856</v>
      </c>
      <c r="BQ2260" s="8">
        <v>-721427.64081512298</v>
      </c>
      <c r="BR2260" s="8" t="str">
        <v>Yes</v>
      </c>
    </row>
    <row r="2261" spans="54:70" x14ac:dyDescent="0.2">
      <c r="BB2261" s="94"/>
      <c r="BL2261" s="8">
        <v>2212</v>
      </c>
      <c r="BM2261" s="8">
        <v>6858699.3145418959</v>
      </c>
      <c r="BN2261" s="8">
        <v>4257939.5831534164</v>
      </c>
      <c r="BO2261" s="8">
        <v>11116638.897695312</v>
      </c>
      <c r="BP2261" s="8">
        <v>3657654.1869352153</v>
      </c>
      <c r="BQ2261" s="8">
        <v>-7458984.710760097</v>
      </c>
      <c r="BR2261" s="8" t="str">
        <v>Yes</v>
      </c>
    </row>
    <row r="2262" spans="54:70" x14ac:dyDescent="0.2">
      <c r="BB2262" s="94"/>
      <c r="BL2262" s="8">
        <v>2213</v>
      </c>
      <c r="BM2262" s="8">
        <v>4142011.6291485485</v>
      </c>
      <c r="BN2262" s="8">
        <v>0</v>
      </c>
      <c r="BO2262" s="8">
        <v>4142011.6291485485</v>
      </c>
      <c r="BP2262" s="8">
        <v>6309562.1666942919</v>
      </c>
      <c r="BQ2262" s="8">
        <v>2167550.5375457434</v>
      </c>
      <c r="BR2262" s="8" t="str">
        <v>No</v>
      </c>
    </row>
    <row r="2263" spans="54:70" x14ac:dyDescent="0.2">
      <c r="BB2263" s="94"/>
      <c r="BL2263" s="8">
        <v>2214</v>
      </c>
      <c r="BM2263" s="8">
        <v>6806055.1125622047</v>
      </c>
      <c r="BN2263" s="8">
        <v>11356332.78241084</v>
      </c>
      <c r="BO2263" s="8">
        <v>18162387.894973043</v>
      </c>
      <c r="BP2263" s="8">
        <v>4008840.2936567403</v>
      </c>
      <c r="BQ2263" s="8">
        <v>-14153547.601316303</v>
      </c>
      <c r="BR2263" s="8" t="str">
        <v>Yes</v>
      </c>
    </row>
    <row r="2264" spans="54:70" x14ac:dyDescent="0.2">
      <c r="BB2264" s="94"/>
      <c r="BL2264" s="8">
        <v>2215</v>
      </c>
      <c r="BM2264" s="8">
        <v>5553009.3836097782</v>
      </c>
      <c r="BN2264" s="8">
        <v>0</v>
      </c>
      <c r="BO2264" s="8">
        <v>5553009.3836097782</v>
      </c>
      <c r="BP2264" s="8">
        <v>5913383.9187863218</v>
      </c>
      <c r="BQ2264" s="8">
        <v>360374.53517654352</v>
      </c>
      <c r="BR2264" s="8" t="str">
        <v>No</v>
      </c>
    </row>
    <row r="2265" spans="54:70" x14ac:dyDescent="0.2">
      <c r="BB2265" s="94"/>
      <c r="BL2265" s="8">
        <v>2216</v>
      </c>
      <c r="BM2265" s="8">
        <v>6101504.6100652535</v>
      </c>
      <c r="BN2265" s="8">
        <v>0</v>
      </c>
      <c r="BO2265" s="8">
        <v>6101504.6100652535</v>
      </c>
      <c r="BP2265" s="8">
        <v>5878179.7927162871</v>
      </c>
      <c r="BQ2265" s="8">
        <v>-223324.81734896637</v>
      </c>
      <c r="BR2265" s="8" t="str">
        <v>Yes</v>
      </c>
    </row>
    <row r="2266" spans="54:70" x14ac:dyDescent="0.2">
      <c r="BB2266" s="94"/>
      <c r="BL2266" s="8">
        <v>2217</v>
      </c>
      <c r="BM2266" s="8">
        <v>4640339.0504871998</v>
      </c>
      <c r="BN2266" s="8">
        <v>4929063.0303347893</v>
      </c>
      <c r="BO2266" s="8">
        <v>9569402.0808219891</v>
      </c>
      <c r="BP2266" s="8">
        <v>3305670.7247634837</v>
      </c>
      <c r="BQ2266" s="8">
        <v>-6263731.3560585054</v>
      </c>
      <c r="BR2266" s="8" t="str">
        <v>Yes</v>
      </c>
    </row>
    <row r="2267" spans="54:70" x14ac:dyDescent="0.2">
      <c r="BB2267" s="94"/>
      <c r="BL2267" s="8">
        <v>2218</v>
      </c>
      <c r="BM2267" s="8">
        <v>4109461.4946695752</v>
      </c>
      <c r="BN2267" s="8">
        <v>3867216.5469377101</v>
      </c>
      <c r="BO2267" s="8">
        <v>7976678.0416072849</v>
      </c>
      <c r="BP2267" s="8">
        <v>4421143.1549651371</v>
      </c>
      <c r="BQ2267" s="8">
        <v>-3555534.8866421478</v>
      </c>
      <c r="BR2267" s="8" t="str">
        <v>Yes</v>
      </c>
    </row>
    <row r="2268" spans="54:70" x14ac:dyDescent="0.2">
      <c r="BB2268" s="94"/>
      <c r="BL2268" s="8">
        <v>2219</v>
      </c>
      <c r="BM2268" s="8">
        <v>5142700.756538217</v>
      </c>
      <c r="BN2268" s="8">
        <v>0</v>
      </c>
      <c r="BO2268" s="8">
        <v>5142700.756538217</v>
      </c>
      <c r="BP2268" s="8">
        <v>4343338.7812637063</v>
      </c>
      <c r="BQ2268" s="8">
        <v>-799361.97527451068</v>
      </c>
      <c r="BR2268" s="8" t="str">
        <v>Yes</v>
      </c>
    </row>
    <row r="2269" spans="54:70" x14ac:dyDescent="0.2">
      <c r="BB2269" s="94"/>
      <c r="BL2269" s="8">
        <v>2220</v>
      </c>
      <c r="BM2269" s="8">
        <v>2351076.115400346</v>
      </c>
      <c r="BN2269" s="8">
        <v>1937901.6666896984</v>
      </c>
      <c r="BO2269" s="8">
        <v>4288977.7820900446</v>
      </c>
      <c r="BP2269" s="8">
        <v>4124860.1641821507</v>
      </c>
      <c r="BQ2269" s="8">
        <v>-164117.61790789384</v>
      </c>
      <c r="BR2269" s="8" t="str">
        <v>Yes</v>
      </c>
    </row>
    <row r="2270" spans="54:70" x14ac:dyDescent="0.2">
      <c r="BB2270" s="94"/>
      <c r="BL2270" s="8">
        <v>2221</v>
      </c>
      <c r="BM2270" s="8">
        <v>5916863.4259678721</v>
      </c>
      <c r="BN2270" s="8">
        <v>6061968.6417977503</v>
      </c>
      <c r="BO2270" s="8">
        <v>11978832.067765623</v>
      </c>
      <c r="BP2270" s="8">
        <v>6672693.3592683738</v>
      </c>
      <c r="BQ2270" s="8">
        <v>-5306138.7084972495</v>
      </c>
      <c r="BR2270" s="8" t="str">
        <v>Yes</v>
      </c>
    </row>
    <row r="2271" spans="54:70" x14ac:dyDescent="0.2">
      <c r="BB2271" s="94"/>
      <c r="BL2271" s="8">
        <v>2222</v>
      </c>
      <c r="BM2271" s="8">
        <v>2890283.7511192369</v>
      </c>
      <c r="BN2271" s="8">
        <v>0</v>
      </c>
      <c r="BO2271" s="8">
        <v>2890283.7511192369</v>
      </c>
      <c r="BP2271" s="8">
        <v>2142504.8580384734</v>
      </c>
      <c r="BQ2271" s="8">
        <v>-747778.89308076352</v>
      </c>
      <c r="BR2271" s="8" t="str">
        <v>Yes</v>
      </c>
    </row>
    <row r="2272" spans="54:70" x14ac:dyDescent="0.2">
      <c r="BB2272" s="94"/>
      <c r="BL2272" s="8">
        <v>2223</v>
      </c>
      <c r="BM2272" s="8">
        <v>1732777.5738626877</v>
      </c>
      <c r="BN2272" s="8">
        <v>0</v>
      </c>
      <c r="BO2272" s="8">
        <v>1732777.5738626877</v>
      </c>
      <c r="BP2272" s="8">
        <v>4490988.1910745995</v>
      </c>
      <c r="BQ2272" s="8">
        <v>2758210.6172119118</v>
      </c>
      <c r="BR2272" s="8" t="str">
        <v>No</v>
      </c>
    </row>
    <row r="2273" spans="54:70" x14ac:dyDescent="0.2">
      <c r="BB2273" s="94"/>
      <c r="BL2273" s="8">
        <v>2224</v>
      </c>
      <c r="BM2273" s="8">
        <v>5402823.8603588054</v>
      </c>
      <c r="BN2273" s="8">
        <v>5939977.5494028535</v>
      </c>
      <c r="BO2273" s="8">
        <v>11342801.40976166</v>
      </c>
      <c r="BP2273" s="8">
        <v>4329896.5184278227</v>
      </c>
      <c r="BQ2273" s="8">
        <v>-7012904.8913338371</v>
      </c>
      <c r="BR2273" s="8" t="str">
        <v>Yes</v>
      </c>
    </row>
    <row r="2274" spans="54:70" x14ac:dyDescent="0.2">
      <c r="BB2274" s="94"/>
      <c r="BL2274" s="8">
        <v>2225</v>
      </c>
      <c r="BM2274" s="8">
        <v>4728947.4234017991</v>
      </c>
      <c r="BN2274" s="8">
        <v>3339188.9974466027</v>
      </c>
      <c r="BO2274" s="8">
        <v>8068136.4208484013</v>
      </c>
      <c r="BP2274" s="8">
        <v>2217986.9656079141</v>
      </c>
      <c r="BQ2274" s="8">
        <v>-5850149.4552404871</v>
      </c>
      <c r="BR2274" s="8" t="str">
        <v>Yes</v>
      </c>
    </row>
    <row r="2275" spans="54:70" x14ac:dyDescent="0.2">
      <c r="BB2275" s="94"/>
      <c r="BL2275" s="8">
        <v>2226</v>
      </c>
      <c r="BM2275" s="8">
        <v>7308781.2320269886</v>
      </c>
      <c r="BN2275" s="8">
        <v>6682593.9289394962</v>
      </c>
      <c r="BO2275" s="8">
        <v>13991375.160966486</v>
      </c>
      <c r="BP2275" s="8">
        <v>6177765.9382317672</v>
      </c>
      <c r="BQ2275" s="8">
        <v>-7813609.2227347186</v>
      </c>
      <c r="BR2275" s="8" t="str">
        <v>Yes</v>
      </c>
    </row>
    <row r="2276" spans="54:70" x14ac:dyDescent="0.2">
      <c r="BB2276" s="94"/>
      <c r="BL2276" s="8">
        <v>2227</v>
      </c>
      <c r="BM2276" s="8">
        <v>4269610.6386493789</v>
      </c>
      <c r="BN2276" s="8">
        <v>0</v>
      </c>
      <c r="BO2276" s="8">
        <v>4269610.6386493789</v>
      </c>
      <c r="BP2276" s="8">
        <v>3048679.3503464339</v>
      </c>
      <c r="BQ2276" s="8">
        <v>-1220931.288302945</v>
      </c>
      <c r="BR2276" s="8" t="str">
        <v>Yes</v>
      </c>
    </row>
    <row r="2277" spans="54:70" x14ac:dyDescent="0.2">
      <c r="BB2277" s="94"/>
      <c r="BL2277" s="8">
        <v>2228</v>
      </c>
      <c r="BM2277" s="8">
        <v>3078159.2010994358</v>
      </c>
      <c r="BN2277" s="8">
        <v>3155007.5749619589</v>
      </c>
      <c r="BO2277" s="8">
        <v>6233166.7760613952</v>
      </c>
      <c r="BP2277" s="8">
        <v>2145794.0323337824</v>
      </c>
      <c r="BQ2277" s="8">
        <v>-4087372.7437276128</v>
      </c>
      <c r="BR2277" s="8" t="str">
        <v>Yes</v>
      </c>
    </row>
    <row r="2278" spans="54:70" x14ac:dyDescent="0.2">
      <c r="BB2278" s="94"/>
      <c r="BL2278" s="8">
        <v>2229</v>
      </c>
      <c r="BM2278" s="8">
        <v>6474025.9746118095</v>
      </c>
      <c r="BN2278" s="8">
        <v>4769025.24182845</v>
      </c>
      <c r="BO2278" s="8">
        <v>11243051.21644026</v>
      </c>
      <c r="BP2278" s="8">
        <v>6575407.3771891808</v>
      </c>
      <c r="BQ2278" s="8">
        <v>-4667643.8392510796</v>
      </c>
      <c r="BR2278" s="8" t="str">
        <v>Yes</v>
      </c>
    </row>
    <row r="2279" spans="54:70" x14ac:dyDescent="0.2">
      <c r="BB2279" s="94"/>
      <c r="BL2279" s="8">
        <v>2230</v>
      </c>
      <c r="BM2279" s="8">
        <v>7995099.7510222495</v>
      </c>
      <c r="BN2279" s="8">
        <v>3340904.0337698231</v>
      </c>
      <c r="BO2279" s="8">
        <v>11336003.784792073</v>
      </c>
      <c r="BP2279" s="8">
        <v>2252485.0099846702</v>
      </c>
      <c r="BQ2279" s="8">
        <v>-9083518.7748074029</v>
      </c>
      <c r="BR2279" s="8" t="str">
        <v>Yes</v>
      </c>
    </row>
    <row r="2280" spans="54:70" x14ac:dyDescent="0.2">
      <c r="BB2280" s="94"/>
      <c r="BL2280" s="8">
        <v>2231</v>
      </c>
      <c r="BM2280" s="8">
        <v>4362735.8896872988</v>
      </c>
      <c r="BN2280" s="8">
        <v>1672029.4761670926</v>
      </c>
      <c r="BO2280" s="8">
        <v>6034765.3658543918</v>
      </c>
      <c r="BP2280" s="8">
        <v>4142052.3578104046</v>
      </c>
      <c r="BQ2280" s="8">
        <v>-1892713.0080439872</v>
      </c>
      <c r="BR2280" s="8" t="str">
        <v>Yes</v>
      </c>
    </row>
    <row r="2281" spans="54:70" x14ac:dyDescent="0.2">
      <c r="BB2281" s="94"/>
      <c r="BL2281" s="8">
        <v>2232</v>
      </c>
      <c r="BM2281" s="8">
        <v>3834576.8132213261</v>
      </c>
      <c r="BN2281" s="8">
        <v>0</v>
      </c>
      <c r="BO2281" s="8">
        <v>3834576.8132213261</v>
      </c>
      <c r="BP2281" s="8">
        <v>4361201.2730065174</v>
      </c>
      <c r="BQ2281" s="8">
        <v>526624.45978519134</v>
      </c>
      <c r="BR2281" s="8" t="str">
        <v>No</v>
      </c>
    </row>
    <row r="2282" spans="54:70" x14ac:dyDescent="0.2">
      <c r="BB2282" s="94"/>
      <c r="BL2282" s="8">
        <v>2233</v>
      </c>
      <c r="BM2282" s="8">
        <v>4701003.6607071739</v>
      </c>
      <c r="BN2282" s="8">
        <v>0</v>
      </c>
      <c r="BO2282" s="8">
        <v>4701003.6607071739</v>
      </c>
      <c r="BP2282" s="8">
        <v>3735887.0106397602</v>
      </c>
      <c r="BQ2282" s="8">
        <v>-965116.65006741369</v>
      </c>
      <c r="BR2282" s="8" t="str">
        <v>Yes</v>
      </c>
    </row>
    <row r="2283" spans="54:70" x14ac:dyDescent="0.2">
      <c r="BB2283" s="94"/>
      <c r="BL2283" s="8">
        <v>2234</v>
      </c>
      <c r="BM2283" s="8">
        <v>2458862.2254069485</v>
      </c>
      <c r="BN2283" s="8">
        <v>2755467.9870341318</v>
      </c>
      <c r="BO2283" s="8">
        <v>5214330.2124410802</v>
      </c>
      <c r="BP2283" s="8">
        <v>2290590.1526485407</v>
      </c>
      <c r="BQ2283" s="8">
        <v>-2923740.0597925396</v>
      </c>
      <c r="BR2283" s="8" t="str">
        <v>Yes</v>
      </c>
    </row>
    <row r="2284" spans="54:70" x14ac:dyDescent="0.2">
      <c r="BB2284" s="94"/>
      <c r="BL2284" s="8">
        <v>2235</v>
      </c>
      <c r="BM2284" s="8">
        <v>6624055.0811050422</v>
      </c>
      <c r="BN2284" s="8">
        <v>7463057.7217579866</v>
      </c>
      <c r="BO2284" s="8">
        <v>14087112.802863028</v>
      </c>
      <c r="BP2284" s="8">
        <v>6163785.948442894</v>
      </c>
      <c r="BQ2284" s="8">
        <v>-7923326.8544201339</v>
      </c>
      <c r="BR2284" s="8" t="str">
        <v>Yes</v>
      </c>
    </row>
    <row r="2285" spans="54:70" x14ac:dyDescent="0.2">
      <c r="BB2285" s="94"/>
      <c r="BL2285" s="8">
        <v>2236</v>
      </c>
      <c r="BM2285" s="8">
        <v>5756231.8203868261</v>
      </c>
      <c r="BN2285" s="8">
        <v>4125623.3898230651</v>
      </c>
      <c r="BO2285" s="8">
        <v>9881855.2102098912</v>
      </c>
      <c r="BP2285" s="8">
        <v>6271172.0134436423</v>
      </c>
      <c r="BQ2285" s="8">
        <v>-3610683.1967662489</v>
      </c>
      <c r="BR2285" s="8" t="str">
        <v>Yes</v>
      </c>
    </row>
    <row r="2286" spans="54:70" x14ac:dyDescent="0.2">
      <c r="BB2286" s="94"/>
      <c r="BL2286" s="8">
        <v>2237</v>
      </c>
      <c r="BM2286" s="8">
        <v>2679511.3318382204</v>
      </c>
      <c r="BN2286" s="8">
        <v>928438.36186539661</v>
      </c>
      <c r="BO2286" s="8">
        <v>3607949.693703617</v>
      </c>
      <c r="BP2286" s="8">
        <v>4811189.9229326239</v>
      </c>
      <c r="BQ2286" s="8">
        <v>1203240.2292290069</v>
      </c>
      <c r="BR2286" s="8" t="str">
        <v>No</v>
      </c>
    </row>
    <row r="2287" spans="54:70" x14ac:dyDescent="0.2">
      <c r="BB2287" s="94"/>
      <c r="BL2287" s="8">
        <v>2238</v>
      </c>
      <c r="BM2287" s="8">
        <v>4200557.7457366586</v>
      </c>
      <c r="BN2287" s="8">
        <v>1802481.9640038633</v>
      </c>
      <c r="BO2287" s="8">
        <v>6003039.7097405214</v>
      </c>
      <c r="BP2287" s="8">
        <v>3535075.4562057238</v>
      </c>
      <c r="BQ2287" s="8">
        <v>-2467964.2535347976</v>
      </c>
      <c r="BR2287" s="8" t="str">
        <v>Yes</v>
      </c>
    </row>
    <row r="2288" spans="54:70" x14ac:dyDescent="0.2">
      <c r="BB2288" s="94"/>
      <c r="BL2288" s="8">
        <v>2239</v>
      </c>
      <c r="BM2288" s="8">
        <v>3211241.2462814138</v>
      </c>
      <c r="BN2288" s="8">
        <v>2626273.341398275</v>
      </c>
      <c r="BO2288" s="8">
        <v>5837514.5876796888</v>
      </c>
      <c r="BP2288" s="8">
        <v>6036797.8967383737</v>
      </c>
      <c r="BQ2288" s="8">
        <v>199283.30905868486</v>
      </c>
      <c r="BR2288" s="8" t="str">
        <v>No</v>
      </c>
    </row>
    <row r="2289" spans="54:70" x14ac:dyDescent="0.2">
      <c r="BB2289" s="94"/>
      <c r="BL2289" s="8">
        <v>2240</v>
      </c>
      <c r="BM2289" s="8">
        <v>4486056.0032861987</v>
      </c>
      <c r="BN2289" s="8">
        <v>0</v>
      </c>
      <c r="BO2289" s="8">
        <v>4486056.0032861987</v>
      </c>
      <c r="BP2289" s="8">
        <v>2451815.335750666</v>
      </c>
      <c r="BQ2289" s="8">
        <v>-2034240.6675355327</v>
      </c>
      <c r="BR2289" s="8" t="str">
        <v>Yes</v>
      </c>
    </row>
    <row r="2290" spans="54:70" x14ac:dyDescent="0.2">
      <c r="BB2290" s="94"/>
      <c r="BL2290" s="8">
        <v>2241</v>
      </c>
      <c r="BM2290" s="8">
        <v>4020708.7719072485</v>
      </c>
      <c r="BN2290" s="8">
        <v>0</v>
      </c>
      <c r="BO2290" s="8">
        <v>4020708.7719072485</v>
      </c>
      <c r="BP2290" s="8">
        <v>6111784.9719628906</v>
      </c>
      <c r="BQ2290" s="8">
        <v>2091076.2000556421</v>
      </c>
      <c r="BR2290" s="8" t="str">
        <v>No</v>
      </c>
    </row>
    <row r="2291" spans="54:70" x14ac:dyDescent="0.2">
      <c r="BB2291" s="94"/>
      <c r="BL2291" s="8">
        <v>2242</v>
      </c>
      <c r="BM2291" s="8">
        <v>4102035.0268612197</v>
      </c>
      <c r="BN2291" s="8">
        <v>2232288.3820628482</v>
      </c>
      <c r="BO2291" s="8">
        <v>6334323.4089240674</v>
      </c>
      <c r="BP2291" s="8">
        <v>4155311.3534725481</v>
      </c>
      <c r="BQ2291" s="8">
        <v>-2179012.0554515193</v>
      </c>
      <c r="BR2291" s="8" t="str">
        <v>Yes</v>
      </c>
    </row>
    <row r="2292" spans="54:70" x14ac:dyDescent="0.2">
      <c r="BB2292" s="94"/>
      <c r="BL2292" s="8">
        <v>2243</v>
      </c>
      <c r="BM2292" s="8">
        <v>1729039.8417032477</v>
      </c>
      <c r="BN2292" s="8">
        <v>0</v>
      </c>
      <c r="BO2292" s="8">
        <v>1729039.8417032477</v>
      </c>
      <c r="BP2292" s="8">
        <v>3458297.5748189627</v>
      </c>
      <c r="BQ2292" s="8">
        <v>1729257.733115715</v>
      </c>
      <c r="BR2292" s="8" t="str">
        <v>No</v>
      </c>
    </row>
    <row r="2293" spans="54:70" x14ac:dyDescent="0.2">
      <c r="BB2293" s="94"/>
      <c r="BL2293" s="8">
        <v>2244</v>
      </c>
      <c r="BM2293" s="8">
        <v>4828168.1253906693</v>
      </c>
      <c r="BN2293" s="8">
        <v>0</v>
      </c>
      <c r="BO2293" s="8">
        <v>4828168.1253906693</v>
      </c>
      <c r="BP2293" s="8">
        <v>4107168.6136653158</v>
      </c>
      <c r="BQ2293" s="8">
        <v>-720999.51172535354</v>
      </c>
      <c r="BR2293" s="8" t="str">
        <v>Yes</v>
      </c>
    </row>
    <row r="2294" spans="54:70" x14ac:dyDescent="0.2">
      <c r="BB2294" s="94"/>
      <c r="BL2294" s="8">
        <v>2245</v>
      </c>
      <c r="BM2294" s="8">
        <v>3981126.0811210563</v>
      </c>
      <c r="BN2294" s="8">
        <v>1811988.4777377518</v>
      </c>
      <c r="BO2294" s="8">
        <v>5793114.5588588081</v>
      </c>
      <c r="BP2294" s="8">
        <v>6586530.872594404</v>
      </c>
      <c r="BQ2294" s="8">
        <v>793416.3137355959</v>
      </c>
      <c r="BR2294" s="8" t="str">
        <v>No</v>
      </c>
    </row>
    <row r="2295" spans="54:70" x14ac:dyDescent="0.2">
      <c r="BB2295" s="94"/>
      <c r="BL2295" s="8">
        <v>2246</v>
      </c>
      <c r="BM2295" s="8">
        <v>7199181.159916454</v>
      </c>
      <c r="BN2295" s="8">
        <v>0</v>
      </c>
      <c r="BO2295" s="8">
        <v>7199181.159916454</v>
      </c>
      <c r="BP2295" s="8">
        <v>2223836.5798313571</v>
      </c>
      <c r="BQ2295" s="8">
        <v>-4975344.5800850969</v>
      </c>
      <c r="BR2295" s="8" t="str">
        <v>Yes</v>
      </c>
    </row>
    <row r="2296" spans="54:70" x14ac:dyDescent="0.2">
      <c r="BB2296" s="94"/>
      <c r="BL2296" s="8">
        <v>2247</v>
      </c>
      <c r="BM2296" s="8">
        <v>4021794.5131162815</v>
      </c>
      <c r="BN2296" s="8">
        <v>2975540.4451018386</v>
      </c>
      <c r="BO2296" s="8">
        <v>6997334.95821812</v>
      </c>
      <c r="BP2296" s="8">
        <v>4515218.5099774143</v>
      </c>
      <c r="BQ2296" s="8">
        <v>-2482116.4482407058</v>
      </c>
      <c r="BR2296" s="8" t="str">
        <v>Yes</v>
      </c>
    </row>
    <row r="2297" spans="54:70" x14ac:dyDescent="0.2">
      <c r="BB2297" s="94"/>
      <c r="BL2297" s="8">
        <v>2248</v>
      </c>
      <c r="BM2297" s="8">
        <v>7724180.9062819928</v>
      </c>
      <c r="BN2297" s="8">
        <v>2248568.975863134</v>
      </c>
      <c r="BO2297" s="8">
        <v>9972749.8821451273</v>
      </c>
      <c r="BP2297" s="8">
        <v>6651711.5756296376</v>
      </c>
      <c r="BQ2297" s="8">
        <v>-3321038.3065154897</v>
      </c>
      <c r="BR2297" s="8" t="str">
        <v>Yes</v>
      </c>
    </row>
    <row r="2298" spans="54:70" x14ac:dyDescent="0.2">
      <c r="BB2298" s="94"/>
      <c r="BL2298" s="8">
        <v>2249</v>
      </c>
      <c r="BM2298" s="8">
        <v>4853218.4656452937</v>
      </c>
      <c r="BN2298" s="8">
        <v>3619145.5535981879</v>
      </c>
      <c r="BO2298" s="8">
        <v>8472364.0192434825</v>
      </c>
      <c r="BP2298" s="8">
        <v>6156609.7299757358</v>
      </c>
      <c r="BQ2298" s="8">
        <v>-2315754.2892677467</v>
      </c>
      <c r="BR2298" s="8" t="str">
        <v>Yes</v>
      </c>
    </row>
    <row r="2299" spans="54:70" x14ac:dyDescent="0.2">
      <c r="BB2299" s="94"/>
      <c r="BL2299" s="8">
        <v>2250</v>
      </c>
      <c r="BM2299" s="8">
        <v>2361252.8014799673</v>
      </c>
      <c r="BN2299" s="8">
        <v>231815.36000512139</v>
      </c>
      <c r="BO2299" s="8">
        <v>2593068.1614850885</v>
      </c>
      <c r="BP2299" s="8">
        <v>5964307.6312887799</v>
      </c>
      <c r="BQ2299" s="8">
        <v>3371239.4698036914</v>
      </c>
      <c r="BR2299" s="8" t="str">
        <v>No</v>
      </c>
    </row>
    <row r="2300" spans="54:70" x14ac:dyDescent="0.2">
      <c r="BB2300" s="94"/>
      <c r="BL2300" s="8">
        <v>2251</v>
      </c>
      <c r="BM2300" s="8">
        <v>8043128.9062756849</v>
      </c>
      <c r="BN2300" s="8">
        <v>7112155.4963537408</v>
      </c>
      <c r="BO2300" s="8">
        <v>15155284.402629426</v>
      </c>
      <c r="BP2300" s="8">
        <v>6175234.0033708578</v>
      </c>
      <c r="BQ2300" s="8">
        <v>-8980050.3992585689</v>
      </c>
      <c r="BR2300" s="8" t="str">
        <v>Yes</v>
      </c>
    </row>
    <row r="2301" spans="54:70" x14ac:dyDescent="0.2">
      <c r="BB2301" s="94"/>
      <c r="BL2301" s="8">
        <v>2252</v>
      </c>
      <c r="BM2301" s="8">
        <v>5604502.4744487312</v>
      </c>
      <c r="BN2301" s="8">
        <v>4178716.7642600429</v>
      </c>
      <c r="BO2301" s="8">
        <v>9783219.2387087736</v>
      </c>
      <c r="BP2301" s="8">
        <v>6309916.9899999537</v>
      </c>
      <c r="BQ2301" s="8">
        <v>-3473302.24870882</v>
      </c>
      <c r="BR2301" s="8" t="str">
        <v>Yes</v>
      </c>
    </row>
    <row r="2302" spans="54:70" x14ac:dyDescent="0.2">
      <c r="BB2302" s="94"/>
      <c r="BL2302" s="8">
        <v>2253</v>
      </c>
      <c r="BM2302" s="8">
        <v>5546460.9039725177</v>
      </c>
      <c r="BN2302" s="8">
        <v>0</v>
      </c>
      <c r="BO2302" s="8">
        <v>5546460.9039725177</v>
      </c>
      <c r="BP2302" s="8">
        <v>4300491.0764508191</v>
      </c>
      <c r="BQ2302" s="8">
        <v>-1245969.8275216985</v>
      </c>
      <c r="BR2302" s="8" t="str">
        <v>Yes</v>
      </c>
    </row>
    <row r="2303" spans="54:70" x14ac:dyDescent="0.2">
      <c r="BB2303" s="94"/>
      <c r="BL2303" s="8">
        <v>2254</v>
      </c>
      <c r="BM2303" s="8">
        <v>3548605.3009335147</v>
      </c>
      <c r="BN2303" s="8">
        <v>1074204.9876601158</v>
      </c>
      <c r="BO2303" s="8">
        <v>4622810.2885936303</v>
      </c>
      <c r="BP2303" s="8">
        <v>5914735.8590420326</v>
      </c>
      <c r="BQ2303" s="8">
        <v>1291925.5704484023</v>
      </c>
      <c r="BR2303" s="8" t="str">
        <v>No</v>
      </c>
    </row>
    <row r="2304" spans="54:70" x14ac:dyDescent="0.2">
      <c r="BB2304" s="94"/>
      <c r="BL2304" s="8">
        <v>2255</v>
      </c>
      <c r="BM2304" s="8">
        <v>2540065.6579151936</v>
      </c>
      <c r="BN2304" s="8">
        <v>2802697.1961925765</v>
      </c>
      <c r="BO2304" s="8">
        <v>5342762.8541077701</v>
      </c>
      <c r="BP2304" s="8">
        <v>3156499.9122889028</v>
      </c>
      <c r="BQ2304" s="8">
        <v>-2186262.9418188673</v>
      </c>
      <c r="BR2304" s="8" t="str">
        <v>Yes</v>
      </c>
    </row>
    <row r="2305" spans="54:70" x14ac:dyDescent="0.2">
      <c r="BB2305" s="94"/>
      <c r="BL2305" s="8">
        <v>2256</v>
      </c>
      <c r="BM2305" s="8">
        <v>9492302.0738381594</v>
      </c>
      <c r="BN2305" s="8">
        <v>9610840.9872838296</v>
      </c>
      <c r="BO2305" s="8">
        <v>19103143.061121989</v>
      </c>
      <c r="BP2305" s="8">
        <v>2363547.7828883189</v>
      </c>
      <c r="BQ2305" s="8">
        <v>-16739595.27823367</v>
      </c>
      <c r="BR2305" s="8" t="str">
        <v>Yes</v>
      </c>
    </row>
    <row r="2306" spans="54:70" x14ac:dyDescent="0.2">
      <c r="BB2306" s="94"/>
      <c r="BL2306" s="8">
        <v>2257</v>
      </c>
      <c r="BM2306" s="8">
        <v>2535297.5280971713</v>
      </c>
      <c r="BN2306" s="8">
        <v>0</v>
      </c>
      <c r="BO2306" s="8">
        <v>2535297.5280971713</v>
      </c>
      <c r="BP2306" s="8">
        <v>5837727.517495784</v>
      </c>
      <c r="BQ2306" s="8">
        <v>3302429.9893986126</v>
      </c>
      <c r="BR2306" s="8" t="str">
        <v>No</v>
      </c>
    </row>
    <row r="2307" spans="54:70" x14ac:dyDescent="0.2">
      <c r="BB2307" s="94"/>
      <c r="BL2307" s="8">
        <v>2258</v>
      </c>
      <c r="BM2307" s="8">
        <v>2860627.9556015376</v>
      </c>
      <c r="BN2307" s="8">
        <v>1704617.3310941823</v>
      </c>
      <c r="BO2307" s="8">
        <v>4565245.2866957197</v>
      </c>
      <c r="BP2307" s="8">
        <v>2223200.4455976286</v>
      </c>
      <c r="BQ2307" s="8">
        <v>-2342044.8410980911</v>
      </c>
      <c r="BR2307" s="8" t="str">
        <v>Yes</v>
      </c>
    </row>
    <row r="2308" spans="54:70" x14ac:dyDescent="0.2">
      <c r="BB2308" s="94"/>
      <c r="BL2308" s="8">
        <v>2259</v>
      </c>
      <c r="BM2308" s="8">
        <v>3314665.6680265781</v>
      </c>
      <c r="BN2308" s="8">
        <v>1182303.3787118951</v>
      </c>
      <c r="BO2308" s="8">
        <v>4496969.0467384737</v>
      </c>
      <c r="BP2308" s="8">
        <v>6753395.5782115925</v>
      </c>
      <c r="BQ2308" s="8">
        <v>2256426.5314731188</v>
      </c>
      <c r="BR2308" s="8" t="str">
        <v>No</v>
      </c>
    </row>
    <row r="2309" spans="54:70" x14ac:dyDescent="0.2">
      <c r="BB2309" s="94"/>
      <c r="BL2309" s="8">
        <v>2260</v>
      </c>
      <c r="BM2309" s="8">
        <v>3685018.5941198859</v>
      </c>
      <c r="BN2309" s="8">
        <v>0</v>
      </c>
      <c r="BO2309" s="8">
        <v>3685018.5941198859</v>
      </c>
      <c r="BP2309" s="8">
        <v>3990723.0461124065</v>
      </c>
      <c r="BQ2309" s="8">
        <v>305704.4519925206</v>
      </c>
      <c r="BR2309" s="8" t="str">
        <v>No</v>
      </c>
    </row>
    <row r="2310" spans="54:70" x14ac:dyDescent="0.2">
      <c r="BB2310" s="94"/>
      <c r="BL2310" s="8">
        <v>2261</v>
      </c>
      <c r="BM2310" s="8">
        <v>7426126.5259689</v>
      </c>
      <c r="BN2310" s="8">
        <v>7804031.1214997889</v>
      </c>
      <c r="BO2310" s="8">
        <v>15230157.64746869</v>
      </c>
      <c r="BP2310" s="8">
        <v>2117672.862789772</v>
      </c>
      <c r="BQ2310" s="8">
        <v>-13112484.784678917</v>
      </c>
      <c r="BR2310" s="8" t="str">
        <v>Yes</v>
      </c>
    </row>
    <row r="2311" spans="54:70" x14ac:dyDescent="0.2">
      <c r="BB2311" s="94"/>
      <c r="BL2311" s="8">
        <v>2262</v>
      </c>
      <c r="BM2311" s="8">
        <v>2081834.9718367602</v>
      </c>
      <c r="BN2311" s="8">
        <v>0</v>
      </c>
      <c r="BO2311" s="8">
        <v>2081834.9718367602</v>
      </c>
      <c r="BP2311" s="8">
        <v>6408238.9383354047</v>
      </c>
      <c r="BQ2311" s="8">
        <v>4326403.966498645</v>
      </c>
      <c r="BR2311" s="8" t="str">
        <v>No</v>
      </c>
    </row>
    <row r="2312" spans="54:70" x14ac:dyDescent="0.2">
      <c r="BB2312" s="94"/>
      <c r="BL2312" s="8">
        <v>2263</v>
      </c>
      <c r="BM2312" s="8">
        <v>3170581.7171312575</v>
      </c>
      <c r="BN2312" s="8">
        <v>1739644.7384220541</v>
      </c>
      <c r="BO2312" s="8">
        <v>4910226.4555533119</v>
      </c>
      <c r="BP2312" s="8">
        <v>3204417.8202148937</v>
      </c>
      <c r="BQ2312" s="8">
        <v>-1705808.6353384182</v>
      </c>
      <c r="BR2312" s="8" t="str">
        <v>Yes</v>
      </c>
    </row>
    <row r="2313" spans="54:70" x14ac:dyDescent="0.2">
      <c r="BB2313" s="94"/>
      <c r="BL2313" s="8">
        <v>2264</v>
      </c>
      <c r="BM2313" s="8">
        <v>4374260.4047209537</v>
      </c>
      <c r="BN2313" s="8">
        <v>0</v>
      </c>
      <c r="BO2313" s="8">
        <v>4374260.4047209537</v>
      </c>
      <c r="BP2313" s="8">
        <v>4444668.981418076</v>
      </c>
      <c r="BQ2313" s="8">
        <v>70408.576697122306</v>
      </c>
      <c r="BR2313" s="8" t="str">
        <v>No</v>
      </c>
    </row>
    <row r="2314" spans="54:70" x14ac:dyDescent="0.2">
      <c r="BB2314" s="94"/>
      <c r="BL2314" s="8">
        <v>2265</v>
      </c>
      <c r="BM2314" s="8">
        <v>5382350.8500868604</v>
      </c>
      <c r="BN2314" s="8">
        <v>1616491.0071498875</v>
      </c>
      <c r="BO2314" s="8">
        <v>6998841.8572367476</v>
      </c>
      <c r="BP2314" s="8">
        <v>4290351.915492706</v>
      </c>
      <c r="BQ2314" s="8">
        <v>-2708489.9417440416</v>
      </c>
      <c r="BR2314" s="8" t="str">
        <v>Yes</v>
      </c>
    </row>
    <row r="2315" spans="54:70" x14ac:dyDescent="0.2">
      <c r="BB2315" s="94"/>
      <c r="BL2315" s="8">
        <v>2266</v>
      </c>
      <c r="BM2315" s="8">
        <v>3763560.4325431287</v>
      </c>
      <c r="BN2315" s="8">
        <v>1321161.3403372457</v>
      </c>
      <c r="BO2315" s="8">
        <v>5084721.7728803745</v>
      </c>
      <c r="BP2315" s="8">
        <v>4180913.4085142566</v>
      </c>
      <c r="BQ2315" s="8">
        <v>-903808.36436611786</v>
      </c>
      <c r="BR2315" s="8" t="str">
        <v>Yes</v>
      </c>
    </row>
    <row r="2316" spans="54:70" x14ac:dyDescent="0.2">
      <c r="BB2316" s="94"/>
      <c r="BL2316" s="8">
        <v>2267</v>
      </c>
      <c r="BM2316" s="8">
        <v>2157851.2897477942</v>
      </c>
      <c r="BN2316" s="8">
        <v>744149.93034725636</v>
      </c>
      <c r="BO2316" s="8">
        <v>2902001.2200950505</v>
      </c>
      <c r="BP2316" s="8">
        <v>3422756.2559734266</v>
      </c>
      <c r="BQ2316" s="8">
        <v>520755.0358783761</v>
      </c>
      <c r="BR2316" s="8" t="str">
        <v>No</v>
      </c>
    </row>
    <row r="2317" spans="54:70" x14ac:dyDescent="0.2">
      <c r="BB2317" s="94"/>
      <c r="BL2317" s="8">
        <v>2268</v>
      </c>
      <c r="BM2317" s="8">
        <v>2198487.4715122003</v>
      </c>
      <c r="BN2317" s="8">
        <v>1941662.0492718606</v>
      </c>
      <c r="BO2317" s="8">
        <v>4140149.5207840609</v>
      </c>
      <c r="BP2317" s="8">
        <v>3369835.6629890348</v>
      </c>
      <c r="BQ2317" s="8">
        <v>-770313.85779502615</v>
      </c>
      <c r="BR2317" s="8" t="str">
        <v>Yes</v>
      </c>
    </row>
    <row r="2318" spans="54:70" x14ac:dyDescent="0.2">
      <c r="BB2318" s="94"/>
      <c r="BL2318" s="8">
        <v>2269</v>
      </c>
      <c r="BM2318" s="8">
        <v>2598141.9680592571</v>
      </c>
      <c r="BN2318" s="8">
        <v>938469.02514585177</v>
      </c>
      <c r="BO2318" s="8">
        <v>3536610.9932051087</v>
      </c>
      <c r="BP2318" s="8">
        <v>2308224.4561954117</v>
      </c>
      <c r="BQ2318" s="8">
        <v>-1228386.5370096969</v>
      </c>
      <c r="BR2318" s="8" t="str">
        <v>Yes</v>
      </c>
    </row>
    <row r="2319" spans="54:70" x14ac:dyDescent="0.2">
      <c r="BB2319" s="94"/>
      <c r="BL2319" s="8">
        <v>2270</v>
      </c>
      <c r="BM2319" s="8">
        <v>6685896.5285740234</v>
      </c>
      <c r="BN2319" s="8">
        <v>0</v>
      </c>
      <c r="BO2319" s="8">
        <v>6685896.5285740234</v>
      </c>
      <c r="BP2319" s="8">
        <v>3636547.9583366145</v>
      </c>
      <c r="BQ2319" s="8">
        <v>-3049348.5702374089</v>
      </c>
      <c r="BR2319" s="8" t="str">
        <v>Yes</v>
      </c>
    </row>
    <row r="2320" spans="54:70" x14ac:dyDescent="0.2">
      <c r="BB2320" s="94"/>
      <c r="BL2320" s="8">
        <v>2271</v>
      </c>
      <c r="BM2320" s="8">
        <v>1404737.6617337263</v>
      </c>
      <c r="BN2320" s="8">
        <v>0</v>
      </c>
      <c r="BO2320" s="8">
        <v>1404737.6617337263</v>
      </c>
      <c r="BP2320" s="8">
        <v>3885533.2858455088</v>
      </c>
      <c r="BQ2320" s="8">
        <v>2480795.6241117828</v>
      </c>
      <c r="BR2320" s="8" t="str">
        <v>No</v>
      </c>
    </row>
    <row r="2321" spans="54:70" x14ac:dyDescent="0.2">
      <c r="BB2321" s="94"/>
      <c r="BL2321" s="8">
        <v>2272</v>
      </c>
      <c r="BM2321" s="8">
        <v>3377303.2184066251</v>
      </c>
      <c r="BN2321" s="8">
        <v>0</v>
      </c>
      <c r="BO2321" s="8">
        <v>3377303.2184066251</v>
      </c>
      <c r="BP2321" s="8">
        <v>2432698.9585234979</v>
      </c>
      <c r="BQ2321" s="8">
        <v>-944604.25988312718</v>
      </c>
      <c r="BR2321" s="8" t="str">
        <v>Yes</v>
      </c>
    </row>
    <row r="2322" spans="54:70" x14ac:dyDescent="0.2">
      <c r="BB2322" s="94"/>
      <c r="BL2322" s="8">
        <v>2273</v>
      </c>
      <c r="BM2322" s="8">
        <v>4165038.8484241096</v>
      </c>
      <c r="BN2322" s="8">
        <v>0</v>
      </c>
      <c r="BO2322" s="8">
        <v>4165038.8484241096</v>
      </c>
      <c r="BP2322" s="8">
        <v>3378782.5470808209</v>
      </c>
      <c r="BQ2322" s="8">
        <v>-786256.30134328874</v>
      </c>
      <c r="BR2322" s="8" t="str">
        <v>Yes</v>
      </c>
    </row>
    <row r="2323" spans="54:70" x14ac:dyDescent="0.2">
      <c r="BB2323" s="94"/>
      <c r="BL2323" s="8">
        <v>2274</v>
      </c>
      <c r="BM2323" s="8">
        <v>5390953.069335958</v>
      </c>
      <c r="BN2323" s="8">
        <v>0</v>
      </c>
      <c r="BO2323" s="8">
        <v>5390953.069335958</v>
      </c>
      <c r="BP2323" s="8">
        <v>2525615.3825068302</v>
      </c>
      <c r="BQ2323" s="8">
        <v>-2865337.6868291278</v>
      </c>
      <c r="BR2323" s="8" t="str">
        <v>Yes</v>
      </c>
    </row>
    <row r="2324" spans="54:70" x14ac:dyDescent="0.2">
      <c r="BB2324" s="94"/>
      <c r="BL2324" s="8">
        <v>2275</v>
      </c>
      <c r="BM2324" s="8">
        <v>5745352.6186714889</v>
      </c>
      <c r="BN2324" s="8">
        <v>3238652.9171002521</v>
      </c>
      <c r="BO2324" s="8">
        <v>8984005.5357717406</v>
      </c>
      <c r="BP2324" s="8">
        <v>6394862.4703684337</v>
      </c>
      <c r="BQ2324" s="8">
        <v>-2589143.0654033069</v>
      </c>
      <c r="BR2324" s="8" t="str">
        <v>Yes</v>
      </c>
    </row>
    <row r="2325" spans="54:70" x14ac:dyDescent="0.2">
      <c r="BB2325" s="94"/>
      <c r="BL2325" s="8">
        <v>2276</v>
      </c>
      <c r="BM2325" s="8">
        <v>2789053.6444120915</v>
      </c>
      <c r="BN2325" s="8">
        <v>2987905.8951582024</v>
      </c>
      <c r="BO2325" s="8">
        <v>5776959.5395702943</v>
      </c>
      <c r="BP2325" s="8">
        <v>4021030.6430681888</v>
      </c>
      <c r="BQ2325" s="8">
        <v>-1755928.8965021055</v>
      </c>
      <c r="BR2325" s="8" t="str">
        <v>Yes</v>
      </c>
    </row>
    <row r="2326" spans="54:70" x14ac:dyDescent="0.2">
      <c r="BB2326" s="94"/>
      <c r="BL2326" s="8">
        <v>2277</v>
      </c>
      <c r="BM2326" s="8">
        <v>5389265.3137011686</v>
      </c>
      <c r="BN2326" s="8">
        <v>6179153.4092963906</v>
      </c>
      <c r="BO2326" s="8">
        <v>11568418.722997559</v>
      </c>
      <c r="BP2326" s="8">
        <v>2249793.1647075568</v>
      </c>
      <c r="BQ2326" s="8">
        <v>-9318625.5582900029</v>
      </c>
      <c r="BR2326" s="8" t="str">
        <v>Yes</v>
      </c>
    </row>
    <row r="2327" spans="54:70" x14ac:dyDescent="0.2">
      <c r="BB2327" s="94"/>
      <c r="BL2327" s="8">
        <v>2278</v>
      </c>
      <c r="BM2327" s="8">
        <v>2946410.9017444043</v>
      </c>
      <c r="BN2327" s="8">
        <v>0</v>
      </c>
      <c r="BO2327" s="8">
        <v>2946410.9017444043</v>
      </c>
      <c r="BP2327" s="8">
        <v>4321893.4346085908</v>
      </c>
      <c r="BQ2327" s="8">
        <v>1375482.5328641864</v>
      </c>
      <c r="BR2327" s="8" t="str">
        <v>No</v>
      </c>
    </row>
    <row r="2328" spans="54:70" x14ac:dyDescent="0.2">
      <c r="BB2328" s="94"/>
      <c r="BL2328" s="8">
        <v>2279</v>
      </c>
      <c r="BM2328" s="8">
        <v>5700360.3219115669</v>
      </c>
      <c r="BN2328" s="8">
        <v>4960306.5324421665</v>
      </c>
      <c r="BO2328" s="8">
        <v>10660666.854353733</v>
      </c>
      <c r="BP2328" s="8">
        <v>2343238.2609994072</v>
      </c>
      <c r="BQ2328" s="8">
        <v>-8317428.5933543257</v>
      </c>
      <c r="BR2328" s="8" t="str">
        <v>Yes</v>
      </c>
    </row>
    <row r="2329" spans="54:70" x14ac:dyDescent="0.2">
      <c r="BB2329" s="94"/>
      <c r="BL2329" s="8">
        <v>2280</v>
      </c>
      <c r="BM2329" s="8">
        <v>4623099.9481191859</v>
      </c>
      <c r="BN2329" s="8">
        <v>4200754.4084443729</v>
      </c>
      <c r="BO2329" s="8">
        <v>8823854.3565635588</v>
      </c>
      <c r="BP2329" s="8">
        <v>2414706.6501525221</v>
      </c>
      <c r="BQ2329" s="8">
        <v>-6409147.7064110367</v>
      </c>
      <c r="BR2329" s="8" t="str">
        <v>Yes</v>
      </c>
    </row>
    <row r="2330" spans="54:70" x14ac:dyDescent="0.2">
      <c r="BB2330" s="94"/>
      <c r="BL2330" s="8">
        <v>2281</v>
      </c>
      <c r="BM2330" s="8">
        <v>4128115.9081316795</v>
      </c>
      <c r="BN2330" s="8">
        <v>4373482.5480193524</v>
      </c>
      <c r="BO2330" s="8">
        <v>8501598.456151031</v>
      </c>
      <c r="BP2330" s="8">
        <v>6156703.1689024512</v>
      </c>
      <c r="BQ2330" s="8">
        <v>-2344895.2872485798</v>
      </c>
      <c r="BR2330" s="8" t="str">
        <v>Yes</v>
      </c>
    </row>
    <row r="2331" spans="54:70" x14ac:dyDescent="0.2">
      <c r="BB2331" s="94"/>
      <c r="BL2331" s="8">
        <v>2282</v>
      </c>
      <c r="BM2331" s="8">
        <v>2020752.9526031828</v>
      </c>
      <c r="BN2331" s="8">
        <v>1435817.1328070329</v>
      </c>
      <c r="BO2331" s="8">
        <v>3456570.0854102159</v>
      </c>
      <c r="BP2331" s="8">
        <v>4053099.1708358014</v>
      </c>
      <c r="BQ2331" s="8">
        <v>596529.08542558551</v>
      </c>
      <c r="BR2331" s="8" t="str">
        <v>No</v>
      </c>
    </row>
    <row r="2332" spans="54:70" x14ac:dyDescent="0.2">
      <c r="BB2332" s="94"/>
      <c r="BL2332" s="8">
        <v>2283</v>
      </c>
      <c r="BM2332" s="8">
        <v>2457886.3690649876</v>
      </c>
      <c r="BN2332" s="8">
        <v>1900123.544418595</v>
      </c>
      <c r="BO2332" s="8">
        <v>4358009.9134835824</v>
      </c>
      <c r="BP2332" s="8">
        <v>2319633.076398904</v>
      </c>
      <c r="BQ2332" s="8">
        <v>-2038376.8370846785</v>
      </c>
      <c r="BR2332" s="8" t="str">
        <v>Yes</v>
      </c>
    </row>
    <row r="2333" spans="54:70" x14ac:dyDescent="0.2">
      <c r="BB2333" s="94"/>
      <c r="BL2333" s="8">
        <v>2284</v>
      </c>
      <c r="BM2333" s="8">
        <v>5701913.5314687267</v>
      </c>
      <c r="BN2333" s="8">
        <v>2883412.4779268806</v>
      </c>
      <c r="BO2333" s="8">
        <v>8585326.0093956068</v>
      </c>
      <c r="BP2333" s="8">
        <v>6716632.6038114037</v>
      </c>
      <c r="BQ2333" s="8">
        <v>-1868693.4055842031</v>
      </c>
      <c r="BR2333" s="8" t="str">
        <v>Yes</v>
      </c>
    </row>
    <row r="2334" spans="54:70" x14ac:dyDescent="0.2">
      <c r="BB2334" s="94"/>
      <c r="BL2334" s="8">
        <v>2285</v>
      </c>
      <c r="BM2334" s="8">
        <v>5169501.9869315429</v>
      </c>
      <c r="BN2334" s="8">
        <v>5412384.0462361025</v>
      </c>
      <c r="BO2334" s="8">
        <v>10581886.033167645</v>
      </c>
      <c r="BP2334" s="8">
        <v>3487696.1356868572</v>
      </c>
      <c r="BQ2334" s="8">
        <v>-7094189.8974807877</v>
      </c>
      <c r="BR2334" s="8" t="str">
        <v>Yes</v>
      </c>
    </row>
    <row r="2335" spans="54:70" x14ac:dyDescent="0.2">
      <c r="BB2335" s="94"/>
      <c r="BL2335" s="8">
        <v>2286</v>
      </c>
      <c r="BM2335" s="8">
        <v>3568764.1202904098</v>
      </c>
      <c r="BN2335" s="8">
        <v>2494476.5095067434</v>
      </c>
      <c r="BO2335" s="8">
        <v>6063240.6297971532</v>
      </c>
      <c r="BP2335" s="8">
        <v>3356866.4022666593</v>
      </c>
      <c r="BQ2335" s="8">
        <v>-2706374.2275304939</v>
      </c>
      <c r="BR2335" s="8" t="str">
        <v>Yes</v>
      </c>
    </row>
    <row r="2336" spans="54:70" x14ac:dyDescent="0.2">
      <c r="BB2336" s="94"/>
      <c r="BL2336" s="8">
        <v>2287</v>
      </c>
      <c r="BM2336" s="8">
        <v>5870501.9635078097</v>
      </c>
      <c r="BN2336" s="8">
        <v>11470940.698925139</v>
      </c>
      <c r="BO2336" s="8">
        <v>17341442.66243295</v>
      </c>
      <c r="BP2336" s="8">
        <v>2450866.1504439991</v>
      </c>
      <c r="BQ2336" s="8">
        <v>-14890576.511988951</v>
      </c>
      <c r="BR2336" s="8" t="str">
        <v>Yes</v>
      </c>
    </row>
    <row r="2337" spans="54:70" x14ac:dyDescent="0.2">
      <c r="BB2337" s="94"/>
      <c r="BL2337" s="8">
        <v>2288</v>
      </c>
      <c r="BM2337" s="8">
        <v>14068841.643042192</v>
      </c>
      <c r="BN2337" s="8">
        <v>0</v>
      </c>
      <c r="BO2337" s="8">
        <v>14068841.643042192</v>
      </c>
      <c r="BP2337" s="8">
        <v>4003770.5365369483</v>
      </c>
      <c r="BQ2337" s="8">
        <v>-10065071.106505243</v>
      </c>
      <c r="BR2337" s="8" t="str">
        <v>Yes</v>
      </c>
    </row>
    <row r="2338" spans="54:70" x14ac:dyDescent="0.2">
      <c r="BB2338" s="94"/>
      <c r="BL2338" s="8">
        <v>2289</v>
      </c>
      <c r="BM2338" s="8">
        <v>4261056.8498577103</v>
      </c>
      <c r="BN2338" s="8">
        <v>2940780.7754830918</v>
      </c>
      <c r="BO2338" s="8">
        <v>7201837.6253408026</v>
      </c>
      <c r="BP2338" s="8">
        <v>5564948.7153158151</v>
      </c>
      <c r="BQ2338" s="8">
        <v>-1636888.9100249875</v>
      </c>
      <c r="BR2338" s="8" t="str">
        <v>Yes</v>
      </c>
    </row>
    <row r="2339" spans="54:70" x14ac:dyDescent="0.2">
      <c r="BB2339" s="94"/>
      <c r="BL2339" s="8">
        <v>2290</v>
      </c>
      <c r="BM2339" s="8">
        <v>5107851.7146280594</v>
      </c>
      <c r="BN2339" s="8">
        <v>3029020.7177476427</v>
      </c>
      <c r="BO2339" s="8">
        <v>8136872.4323757021</v>
      </c>
      <c r="BP2339" s="8">
        <v>6479922.5601668637</v>
      </c>
      <c r="BQ2339" s="8">
        <v>-1656949.8722088384</v>
      </c>
      <c r="BR2339" s="8" t="str">
        <v>Yes</v>
      </c>
    </row>
    <row r="2340" spans="54:70" x14ac:dyDescent="0.2">
      <c r="BB2340" s="94"/>
      <c r="BL2340" s="8">
        <v>2291</v>
      </c>
      <c r="BM2340" s="8">
        <v>2225146.7289779601</v>
      </c>
      <c r="BN2340" s="8">
        <v>831874.87316388241</v>
      </c>
      <c r="BO2340" s="8">
        <v>3057021.6021418422</v>
      </c>
      <c r="BP2340" s="8">
        <v>3440459.9281852301</v>
      </c>
      <c r="BQ2340" s="8">
        <v>383438.32604338787</v>
      </c>
      <c r="BR2340" s="8" t="str">
        <v>No</v>
      </c>
    </row>
    <row r="2341" spans="54:70" x14ac:dyDescent="0.2">
      <c r="BB2341" s="94"/>
      <c r="BL2341" s="8">
        <v>2292</v>
      </c>
      <c r="BM2341" s="8">
        <v>6281342.1143410187</v>
      </c>
      <c r="BN2341" s="8">
        <v>6934229.8346378077</v>
      </c>
      <c r="BO2341" s="8">
        <v>13215571.948978826</v>
      </c>
      <c r="BP2341" s="8">
        <v>3326913.1708639418</v>
      </c>
      <c r="BQ2341" s="8">
        <v>-9888658.7781148851</v>
      </c>
      <c r="BR2341" s="8" t="str">
        <v>Yes</v>
      </c>
    </row>
    <row r="2342" spans="54:70" x14ac:dyDescent="0.2">
      <c r="BB2342" s="94"/>
      <c r="BL2342" s="8">
        <v>2293</v>
      </c>
      <c r="BM2342" s="8">
        <v>2683225.8451594291</v>
      </c>
      <c r="BN2342" s="8">
        <v>815511.0910845804</v>
      </c>
      <c r="BO2342" s="8">
        <v>3498736.9362440095</v>
      </c>
      <c r="BP2342" s="8">
        <v>4657235.3249813942</v>
      </c>
      <c r="BQ2342" s="8">
        <v>1158498.3887373847</v>
      </c>
      <c r="BR2342" s="8" t="str">
        <v>No</v>
      </c>
    </row>
    <row r="2343" spans="54:70" x14ac:dyDescent="0.2">
      <c r="BB2343" s="94"/>
      <c r="BL2343" s="8">
        <v>2294</v>
      </c>
      <c r="BM2343" s="8">
        <v>4905009.2167561352</v>
      </c>
      <c r="BN2343" s="8">
        <v>1229489.7770890172</v>
      </c>
      <c r="BO2343" s="8">
        <v>6134498.9938451527</v>
      </c>
      <c r="BP2343" s="8">
        <v>6263546.3833726272</v>
      </c>
      <c r="BQ2343" s="8">
        <v>129047.38952747453</v>
      </c>
      <c r="BR2343" s="8" t="str">
        <v>No</v>
      </c>
    </row>
    <row r="2344" spans="54:70" x14ac:dyDescent="0.2">
      <c r="BB2344" s="94"/>
      <c r="BL2344" s="8">
        <v>2295</v>
      </c>
      <c r="BM2344" s="8">
        <v>2139541.3039048477</v>
      </c>
      <c r="BN2344" s="8">
        <v>0</v>
      </c>
      <c r="BO2344" s="8">
        <v>2139541.3039048477</v>
      </c>
      <c r="BP2344" s="8">
        <v>4569098.493127849</v>
      </c>
      <c r="BQ2344" s="8">
        <v>2429557.1892230012</v>
      </c>
      <c r="BR2344" s="8" t="str">
        <v>No</v>
      </c>
    </row>
    <row r="2345" spans="54:70" x14ac:dyDescent="0.2">
      <c r="BB2345" s="94"/>
      <c r="BL2345" s="8">
        <v>2296</v>
      </c>
      <c r="BM2345" s="8">
        <v>2679824.3134797462</v>
      </c>
      <c r="BN2345" s="8">
        <v>1866374.2090219003</v>
      </c>
      <c r="BO2345" s="8">
        <v>4546198.5225016465</v>
      </c>
      <c r="BP2345" s="8">
        <v>4442716.3709716648</v>
      </c>
      <c r="BQ2345" s="8">
        <v>-103482.15152998175</v>
      </c>
      <c r="BR2345" s="8" t="str">
        <v>Yes</v>
      </c>
    </row>
    <row r="2346" spans="54:70" x14ac:dyDescent="0.2">
      <c r="BB2346" s="94"/>
      <c r="BL2346" s="8">
        <v>2297</v>
      </c>
      <c r="BM2346" s="8">
        <v>3413293.6565366862</v>
      </c>
      <c r="BN2346" s="8">
        <v>0</v>
      </c>
      <c r="BO2346" s="8">
        <v>3413293.6565366862</v>
      </c>
      <c r="BP2346" s="8">
        <v>6010566.4041252593</v>
      </c>
      <c r="BQ2346" s="8">
        <v>2597272.747588573</v>
      </c>
      <c r="BR2346" s="8" t="str">
        <v>No</v>
      </c>
    </row>
    <row r="2347" spans="54:70" x14ac:dyDescent="0.2">
      <c r="BB2347" s="94"/>
      <c r="BL2347" s="8">
        <v>2298</v>
      </c>
      <c r="BM2347" s="8">
        <v>2596886.9240626763</v>
      </c>
      <c r="BN2347" s="8">
        <v>0</v>
      </c>
      <c r="BO2347" s="8">
        <v>2596886.9240626763</v>
      </c>
      <c r="BP2347" s="8">
        <v>3222151.1751350369</v>
      </c>
      <c r="BQ2347" s="8">
        <v>625264.25107236067</v>
      </c>
      <c r="BR2347" s="8" t="str">
        <v>No</v>
      </c>
    </row>
    <row r="2348" spans="54:70" x14ac:dyDescent="0.2">
      <c r="BB2348" s="94"/>
      <c r="BL2348" s="8">
        <v>2299</v>
      </c>
      <c r="BM2348" s="8">
        <v>8221306.8206968214</v>
      </c>
      <c r="BN2348" s="8">
        <v>4047958.3536883872</v>
      </c>
      <c r="BO2348" s="8">
        <v>12269265.174385209</v>
      </c>
      <c r="BP2348" s="8">
        <v>4457478.8985086232</v>
      </c>
      <c r="BQ2348" s="8">
        <v>-7811786.2758765854</v>
      </c>
      <c r="BR2348" s="8" t="str">
        <v>Yes</v>
      </c>
    </row>
    <row r="2349" spans="54:70" x14ac:dyDescent="0.2">
      <c r="BB2349" s="94"/>
      <c r="BL2349" s="8">
        <v>2300</v>
      </c>
      <c r="BM2349" s="8">
        <v>3887878.7216830379</v>
      </c>
      <c r="BN2349" s="8">
        <v>0</v>
      </c>
      <c r="BO2349" s="8">
        <v>3887878.7216830379</v>
      </c>
      <c r="BP2349" s="8">
        <v>3034572.422611455</v>
      </c>
      <c r="BQ2349" s="8">
        <v>-853306.29907158297</v>
      </c>
      <c r="BR2349" s="8" t="str">
        <v>Yes</v>
      </c>
    </row>
    <row r="2350" spans="54:70" x14ac:dyDescent="0.2">
      <c r="BB2350" s="94"/>
      <c r="BL2350" s="8">
        <v>2301</v>
      </c>
      <c r="BM2350" s="8">
        <v>8873175.428335296</v>
      </c>
      <c r="BN2350" s="8">
        <v>13414924.833015235</v>
      </c>
      <c r="BO2350" s="8">
        <v>22288100.261350531</v>
      </c>
      <c r="BP2350" s="8">
        <v>2383109.3646179987</v>
      </c>
      <c r="BQ2350" s="8">
        <v>-19904990.896732531</v>
      </c>
      <c r="BR2350" s="8" t="str">
        <v>Yes</v>
      </c>
    </row>
    <row r="2351" spans="54:70" x14ac:dyDescent="0.2">
      <c r="BB2351" s="94"/>
      <c r="BL2351" s="8">
        <v>2302</v>
      </c>
      <c r="BM2351" s="8">
        <v>4780365.8872697456</v>
      </c>
      <c r="BN2351" s="8">
        <v>2005718.0840730718</v>
      </c>
      <c r="BO2351" s="8">
        <v>6786083.9713428169</v>
      </c>
      <c r="BP2351" s="8">
        <v>3216482.8125429642</v>
      </c>
      <c r="BQ2351" s="8">
        <v>-3569601.1587998527</v>
      </c>
      <c r="BR2351" s="8" t="str">
        <v>Yes</v>
      </c>
    </row>
    <row r="2352" spans="54:70" x14ac:dyDescent="0.2">
      <c r="BB2352" s="94"/>
      <c r="BL2352" s="8">
        <v>2303</v>
      </c>
      <c r="BM2352" s="8">
        <v>3722042.3648264147</v>
      </c>
      <c r="BN2352" s="8">
        <v>2240982.8609521249</v>
      </c>
      <c r="BO2352" s="8">
        <v>5963025.2257785397</v>
      </c>
      <c r="BP2352" s="8">
        <v>6311840.1833552746</v>
      </c>
      <c r="BQ2352" s="8">
        <v>348814.95757673495</v>
      </c>
      <c r="BR2352" s="8" t="str">
        <v>No</v>
      </c>
    </row>
    <row r="2353" spans="54:70" x14ac:dyDescent="0.2">
      <c r="BB2353" s="94"/>
      <c r="BL2353" s="8">
        <v>2304</v>
      </c>
      <c r="BM2353" s="8">
        <v>3742817.111048257</v>
      </c>
      <c r="BN2353" s="8">
        <v>0</v>
      </c>
      <c r="BO2353" s="8">
        <v>3742817.111048257</v>
      </c>
      <c r="BP2353" s="8">
        <v>2161299.981635896</v>
      </c>
      <c r="BQ2353" s="8">
        <v>-1581517.129412361</v>
      </c>
      <c r="BR2353" s="8" t="str">
        <v>Yes</v>
      </c>
    </row>
    <row r="2354" spans="54:70" x14ac:dyDescent="0.2">
      <c r="BB2354" s="94"/>
      <c r="BL2354" s="8">
        <v>2305</v>
      </c>
      <c r="BM2354" s="8">
        <v>4123100.8503475515</v>
      </c>
      <c r="BN2354" s="8">
        <v>1826848.0525395134</v>
      </c>
      <c r="BO2354" s="8">
        <v>5949948.902887065</v>
      </c>
      <c r="BP2354" s="8">
        <v>6035089.64708676</v>
      </c>
      <c r="BQ2354" s="8">
        <v>85140.744199695066</v>
      </c>
      <c r="BR2354" s="8" t="str">
        <v>No</v>
      </c>
    </row>
    <row r="2355" spans="54:70" x14ac:dyDescent="0.2">
      <c r="BB2355" s="94"/>
      <c r="BL2355" s="8">
        <v>2306</v>
      </c>
      <c r="BM2355" s="8">
        <v>6650200.5813243948</v>
      </c>
      <c r="BN2355" s="8">
        <v>0</v>
      </c>
      <c r="BO2355" s="8">
        <v>6650200.5813243948</v>
      </c>
      <c r="BP2355" s="8">
        <v>6329836.2624009661</v>
      </c>
      <c r="BQ2355" s="8">
        <v>-320364.31892342865</v>
      </c>
      <c r="BR2355" s="8" t="str">
        <v>Yes</v>
      </c>
    </row>
    <row r="2356" spans="54:70" x14ac:dyDescent="0.2">
      <c r="BB2356" s="94"/>
      <c r="BL2356" s="8">
        <v>2307</v>
      </c>
      <c r="BM2356" s="8">
        <v>2598386.7039759615</v>
      </c>
      <c r="BN2356" s="8">
        <v>0</v>
      </c>
      <c r="BO2356" s="8">
        <v>2598386.7039759615</v>
      </c>
      <c r="BP2356" s="8">
        <v>2134880.1266048723</v>
      </c>
      <c r="BQ2356" s="8">
        <v>-463506.57737108925</v>
      </c>
      <c r="BR2356" s="8" t="str">
        <v>Yes</v>
      </c>
    </row>
    <row r="2357" spans="54:70" x14ac:dyDescent="0.2">
      <c r="BB2357" s="94"/>
      <c r="BL2357" s="8">
        <v>2308</v>
      </c>
      <c r="BM2357" s="8">
        <v>5667908.9176886436</v>
      </c>
      <c r="BN2357" s="8">
        <v>5226492.3098663865</v>
      </c>
      <c r="BO2357" s="8">
        <v>10894401.227555029</v>
      </c>
      <c r="BP2357" s="8">
        <v>3263782.1687594624</v>
      </c>
      <c r="BQ2357" s="8">
        <v>-7630619.0587955667</v>
      </c>
      <c r="BR2357" s="8" t="str">
        <v>Yes</v>
      </c>
    </row>
    <row r="2358" spans="54:70" x14ac:dyDescent="0.2">
      <c r="BB2358" s="94"/>
      <c r="BL2358" s="8">
        <v>2309</v>
      </c>
      <c r="BM2358" s="8">
        <v>1819099.2807171294</v>
      </c>
      <c r="BN2358" s="8">
        <v>0</v>
      </c>
      <c r="BO2358" s="8">
        <v>1819099.2807171294</v>
      </c>
      <c r="BP2358" s="8">
        <v>2221840.4296720359</v>
      </c>
      <c r="BQ2358" s="8">
        <v>402741.1489549065</v>
      </c>
      <c r="BR2358" s="8" t="str">
        <v>No</v>
      </c>
    </row>
    <row r="2359" spans="54:70" x14ac:dyDescent="0.2">
      <c r="BB2359" s="94"/>
      <c r="BL2359" s="8">
        <v>2310</v>
      </c>
      <c r="BM2359" s="8">
        <v>6841166.3553232476</v>
      </c>
      <c r="BN2359" s="8">
        <v>0</v>
      </c>
      <c r="BO2359" s="8">
        <v>6841166.3553232476</v>
      </c>
      <c r="BP2359" s="8">
        <v>2495567.8236683845</v>
      </c>
      <c r="BQ2359" s="8">
        <v>-4345598.5316548627</v>
      </c>
      <c r="BR2359" s="8" t="str">
        <v>Yes</v>
      </c>
    </row>
    <row r="2360" spans="54:70" x14ac:dyDescent="0.2">
      <c r="BB2360" s="94"/>
      <c r="BL2360" s="8">
        <v>2311</v>
      </c>
      <c r="BM2360" s="8">
        <v>5115272.5482594408</v>
      </c>
      <c r="BN2360" s="8">
        <v>0</v>
      </c>
      <c r="BO2360" s="8">
        <v>5115272.5482594408</v>
      </c>
      <c r="BP2360" s="8">
        <v>3156908.2096159835</v>
      </c>
      <c r="BQ2360" s="8">
        <v>-1958364.3386434573</v>
      </c>
      <c r="BR2360" s="8" t="str">
        <v>Yes</v>
      </c>
    </row>
    <row r="2361" spans="54:70" x14ac:dyDescent="0.2">
      <c r="BB2361" s="94"/>
      <c r="BL2361" s="8">
        <v>2312</v>
      </c>
      <c r="BM2361" s="8">
        <v>2501076.3411824293</v>
      </c>
      <c r="BN2361" s="8">
        <v>0</v>
      </c>
      <c r="BO2361" s="8">
        <v>2501076.3411824293</v>
      </c>
      <c r="BP2361" s="8">
        <v>2231556.3159371838</v>
      </c>
      <c r="BQ2361" s="8">
        <v>-269520.02524524555</v>
      </c>
      <c r="BR2361" s="8" t="str">
        <v>Yes</v>
      </c>
    </row>
    <row r="2362" spans="54:70" x14ac:dyDescent="0.2">
      <c r="BB2362" s="94"/>
      <c r="BL2362" s="8">
        <v>2313</v>
      </c>
      <c r="BM2362" s="8">
        <v>9194791.7374724969</v>
      </c>
      <c r="BN2362" s="8">
        <v>6877826.4508447144</v>
      </c>
      <c r="BO2362" s="8">
        <v>16072618.188317211</v>
      </c>
      <c r="BP2362" s="8">
        <v>4602004.8809992196</v>
      </c>
      <c r="BQ2362" s="8">
        <v>-11470613.307317991</v>
      </c>
      <c r="BR2362" s="8" t="str">
        <v>Yes</v>
      </c>
    </row>
    <row r="2363" spans="54:70" x14ac:dyDescent="0.2">
      <c r="BB2363" s="94"/>
      <c r="BL2363" s="8">
        <v>2314</v>
      </c>
      <c r="BM2363" s="8">
        <v>4338740.1303924825</v>
      </c>
      <c r="BN2363" s="8">
        <v>0</v>
      </c>
      <c r="BO2363" s="8">
        <v>4338740.1303924825</v>
      </c>
      <c r="BP2363" s="8">
        <v>4450657.0035711536</v>
      </c>
      <c r="BQ2363" s="8">
        <v>111916.87317867111</v>
      </c>
      <c r="BR2363" s="8" t="str">
        <v>No</v>
      </c>
    </row>
    <row r="2364" spans="54:70" x14ac:dyDescent="0.2">
      <c r="BB2364" s="94"/>
      <c r="BL2364" s="8">
        <v>2315</v>
      </c>
      <c r="BM2364" s="8">
        <v>2320543.9636877389</v>
      </c>
      <c r="BN2364" s="8">
        <v>2701303.8803551621</v>
      </c>
      <c r="BO2364" s="8">
        <v>5021847.8440429009</v>
      </c>
      <c r="BP2364" s="8">
        <v>3465959.4437679062</v>
      </c>
      <c r="BQ2364" s="8">
        <v>-1555888.4002749948</v>
      </c>
      <c r="BR2364" s="8" t="str">
        <v>Yes</v>
      </c>
    </row>
    <row r="2365" spans="54:70" x14ac:dyDescent="0.2">
      <c r="BB2365" s="94"/>
      <c r="BL2365" s="8">
        <v>2316</v>
      </c>
      <c r="BM2365" s="8">
        <v>2873856.1200877139</v>
      </c>
      <c r="BN2365" s="8">
        <v>2499102.3708678889</v>
      </c>
      <c r="BO2365" s="8">
        <v>5372958.4909556024</v>
      </c>
      <c r="BP2365" s="8">
        <v>2254630.3748957464</v>
      </c>
      <c r="BQ2365" s="8">
        <v>-3118328.116059856</v>
      </c>
      <c r="BR2365" s="8" t="str">
        <v>Yes</v>
      </c>
    </row>
    <row r="2366" spans="54:70" x14ac:dyDescent="0.2">
      <c r="BB2366" s="94"/>
      <c r="BL2366" s="8">
        <v>2317</v>
      </c>
      <c r="BM2366" s="8">
        <v>2486710.5198673392</v>
      </c>
      <c r="BN2366" s="8">
        <v>2134122.691072118</v>
      </c>
      <c r="BO2366" s="8">
        <v>4620833.2109394576</v>
      </c>
      <c r="BP2366" s="8">
        <v>2963188.901632681</v>
      </c>
      <c r="BQ2366" s="8">
        <v>-1657644.3093067766</v>
      </c>
      <c r="BR2366" s="8" t="str">
        <v>Yes</v>
      </c>
    </row>
    <row r="2367" spans="54:70" x14ac:dyDescent="0.2">
      <c r="BB2367" s="94"/>
      <c r="BL2367" s="8">
        <v>2318</v>
      </c>
      <c r="BM2367" s="8">
        <v>5526080.9676850066</v>
      </c>
      <c r="BN2367" s="8">
        <v>4257639.9302709708</v>
      </c>
      <c r="BO2367" s="8">
        <v>9783720.8979559764</v>
      </c>
      <c r="BP2367" s="8">
        <v>4107263.3634865815</v>
      </c>
      <c r="BQ2367" s="8">
        <v>-5676457.5344693949</v>
      </c>
      <c r="BR2367" s="8" t="str">
        <v>Yes</v>
      </c>
    </row>
    <row r="2368" spans="54:70" x14ac:dyDescent="0.2">
      <c r="BB2368" s="94"/>
      <c r="BL2368" s="8">
        <v>2319</v>
      </c>
      <c r="BM2368" s="8">
        <v>10305720.728839451</v>
      </c>
      <c r="BN2368" s="8">
        <v>0</v>
      </c>
      <c r="BO2368" s="8">
        <v>10305720.728839451</v>
      </c>
      <c r="BP2368" s="8">
        <v>3325706.9240569221</v>
      </c>
      <c r="BQ2368" s="8">
        <v>-6980013.8047825294</v>
      </c>
      <c r="BR2368" s="8" t="str">
        <v>Yes</v>
      </c>
    </row>
    <row r="2369" spans="54:70" x14ac:dyDescent="0.2">
      <c r="BB2369" s="94"/>
      <c r="BL2369" s="8">
        <v>2320</v>
      </c>
      <c r="BM2369" s="8">
        <v>10604081.090266891</v>
      </c>
      <c r="BN2369" s="8">
        <v>0</v>
      </c>
      <c r="BO2369" s="8">
        <v>10604081.090266891</v>
      </c>
      <c r="BP2369" s="8">
        <v>6108946.4823956313</v>
      </c>
      <c r="BQ2369" s="8">
        <v>-4495134.6078712596</v>
      </c>
      <c r="BR2369" s="8" t="str">
        <v>Yes</v>
      </c>
    </row>
    <row r="2370" spans="54:70" x14ac:dyDescent="0.2">
      <c r="BB2370" s="94"/>
      <c r="BL2370" s="8">
        <v>2321</v>
      </c>
      <c r="BM2370" s="8">
        <v>9094530.4255810753</v>
      </c>
      <c r="BN2370" s="8">
        <v>10379524.378322324</v>
      </c>
      <c r="BO2370" s="8">
        <v>19474054.803903401</v>
      </c>
      <c r="BP2370" s="8">
        <v>2171346.3388773752</v>
      </c>
      <c r="BQ2370" s="8">
        <v>-17302708.465026025</v>
      </c>
      <c r="BR2370" s="8" t="str">
        <v>Yes</v>
      </c>
    </row>
    <row r="2371" spans="54:70" x14ac:dyDescent="0.2">
      <c r="BB2371" s="94"/>
      <c r="BL2371" s="8">
        <v>2322</v>
      </c>
      <c r="BM2371" s="8">
        <v>8436776.6746901963</v>
      </c>
      <c r="BN2371" s="8">
        <v>18257959.861475382</v>
      </c>
      <c r="BO2371" s="8">
        <v>26694736.53616558</v>
      </c>
      <c r="BP2371" s="8">
        <v>2153581.3965718746</v>
      </c>
      <c r="BQ2371" s="8">
        <v>-24541155.139593706</v>
      </c>
      <c r="BR2371" s="8" t="str">
        <v>Yes</v>
      </c>
    </row>
    <row r="2372" spans="54:70" x14ac:dyDescent="0.2">
      <c r="BB2372" s="94"/>
      <c r="BL2372" s="8">
        <v>2323</v>
      </c>
      <c r="BM2372" s="8">
        <v>5516083.4651350304</v>
      </c>
      <c r="BN2372" s="8">
        <v>0</v>
      </c>
      <c r="BO2372" s="8">
        <v>5516083.4651350304</v>
      </c>
      <c r="BP2372" s="8">
        <v>3960030.4963168064</v>
      </c>
      <c r="BQ2372" s="8">
        <v>-1556052.968818224</v>
      </c>
      <c r="BR2372" s="8" t="str">
        <v>Yes</v>
      </c>
    </row>
    <row r="2373" spans="54:70" x14ac:dyDescent="0.2">
      <c r="BB2373" s="94"/>
      <c r="BL2373" s="8">
        <v>2324</v>
      </c>
      <c r="BM2373" s="8">
        <v>6292067.5534328083</v>
      </c>
      <c r="BN2373" s="8">
        <v>0</v>
      </c>
      <c r="BO2373" s="8">
        <v>6292067.5534328083</v>
      </c>
      <c r="BP2373" s="8">
        <v>6290785.8427570574</v>
      </c>
      <c r="BQ2373" s="8">
        <v>-1281.7106757508591</v>
      </c>
      <c r="BR2373" s="8" t="str">
        <v>Yes</v>
      </c>
    </row>
    <row r="2374" spans="54:70" x14ac:dyDescent="0.2">
      <c r="BB2374" s="94"/>
      <c r="BL2374" s="8">
        <v>2325</v>
      </c>
      <c r="BM2374" s="8">
        <v>2036331.6878154257</v>
      </c>
      <c r="BN2374" s="8">
        <v>1729812.6831636867</v>
      </c>
      <c r="BO2374" s="8">
        <v>3766144.3709791126</v>
      </c>
      <c r="BP2374" s="8">
        <v>2319009.7187477769</v>
      </c>
      <c r="BQ2374" s="8">
        <v>-1447134.6522313356</v>
      </c>
      <c r="BR2374" s="8" t="str">
        <v>Yes</v>
      </c>
    </row>
    <row r="2375" spans="54:70" x14ac:dyDescent="0.2">
      <c r="BB2375" s="94"/>
      <c r="BL2375" s="8">
        <v>2326</v>
      </c>
      <c r="BM2375" s="8">
        <v>3379314.4462522613</v>
      </c>
      <c r="BN2375" s="8">
        <v>0</v>
      </c>
      <c r="BO2375" s="8">
        <v>3379314.4462522613</v>
      </c>
      <c r="BP2375" s="8">
        <v>2196278.6690963963</v>
      </c>
      <c r="BQ2375" s="8">
        <v>-1183035.777155865</v>
      </c>
      <c r="BR2375" s="8" t="str">
        <v>Yes</v>
      </c>
    </row>
    <row r="2376" spans="54:70" x14ac:dyDescent="0.2">
      <c r="BB2376" s="94"/>
      <c r="BL2376" s="8">
        <v>2327</v>
      </c>
      <c r="BM2376" s="8">
        <v>4073761.9571534675</v>
      </c>
      <c r="BN2376" s="8">
        <v>4099787.7477633595</v>
      </c>
      <c r="BO2376" s="8">
        <v>8173549.7049168274</v>
      </c>
      <c r="BP2376" s="8">
        <v>6475631.8793853689</v>
      </c>
      <c r="BQ2376" s="8">
        <v>-1697917.8255314585</v>
      </c>
      <c r="BR2376" s="8" t="str">
        <v>Yes</v>
      </c>
    </row>
    <row r="2377" spans="54:70" x14ac:dyDescent="0.2">
      <c r="BB2377" s="94"/>
      <c r="BL2377" s="8">
        <v>2328</v>
      </c>
      <c r="BM2377" s="8">
        <v>4125673.8127797269</v>
      </c>
      <c r="BN2377" s="8">
        <v>1832065.63605309</v>
      </c>
      <c r="BO2377" s="8">
        <v>5957739.4488328174</v>
      </c>
      <c r="BP2377" s="8">
        <v>6369353.5337836482</v>
      </c>
      <c r="BQ2377" s="8">
        <v>411614.08495083079</v>
      </c>
      <c r="BR2377" s="8" t="str">
        <v>No</v>
      </c>
    </row>
    <row r="2378" spans="54:70" x14ac:dyDescent="0.2">
      <c r="BB2378" s="94"/>
      <c r="BL2378" s="8">
        <v>2329</v>
      </c>
      <c r="BM2378" s="8">
        <v>2222032.4599359152</v>
      </c>
      <c r="BN2378" s="8">
        <v>76461.755611629997</v>
      </c>
      <c r="BO2378" s="8">
        <v>2298494.2155475453</v>
      </c>
      <c r="BP2378" s="8">
        <v>6022369.9462286327</v>
      </c>
      <c r="BQ2378" s="8">
        <v>3723875.7306810874</v>
      </c>
      <c r="BR2378" s="8" t="str">
        <v>No</v>
      </c>
    </row>
    <row r="2379" spans="54:70" x14ac:dyDescent="0.2">
      <c r="BB2379" s="94"/>
      <c r="BL2379" s="8">
        <v>2330</v>
      </c>
      <c r="BM2379" s="8">
        <v>4840772.4435195606</v>
      </c>
      <c r="BN2379" s="8">
        <v>0</v>
      </c>
      <c r="BO2379" s="8">
        <v>4840772.4435195606</v>
      </c>
      <c r="BP2379" s="8">
        <v>3416490.1157853282</v>
      </c>
      <c r="BQ2379" s="8">
        <v>-1424282.3277342324</v>
      </c>
      <c r="BR2379" s="8" t="str">
        <v>Yes</v>
      </c>
    </row>
    <row r="2380" spans="54:70" x14ac:dyDescent="0.2">
      <c r="BB2380" s="94"/>
      <c r="BL2380" s="8">
        <v>2331</v>
      </c>
      <c r="BM2380" s="8">
        <v>6782422.4450072749</v>
      </c>
      <c r="BN2380" s="8">
        <v>0</v>
      </c>
      <c r="BO2380" s="8">
        <v>6782422.4450072749</v>
      </c>
      <c r="BP2380" s="8">
        <v>5759250.4571560137</v>
      </c>
      <c r="BQ2380" s="8">
        <v>-1023171.9878512612</v>
      </c>
      <c r="BR2380" s="8" t="str">
        <v>Yes</v>
      </c>
    </row>
    <row r="2381" spans="54:70" x14ac:dyDescent="0.2">
      <c r="BB2381" s="94"/>
      <c r="BL2381" s="8">
        <v>2332</v>
      </c>
      <c r="BM2381" s="8">
        <v>2426802.3660491859</v>
      </c>
      <c r="BN2381" s="8">
        <v>0</v>
      </c>
      <c r="BO2381" s="8">
        <v>2426802.3660491859</v>
      </c>
      <c r="BP2381" s="8">
        <v>4099179.9876726125</v>
      </c>
      <c r="BQ2381" s="8">
        <v>1672377.6216234267</v>
      </c>
      <c r="BR2381" s="8" t="str">
        <v>No</v>
      </c>
    </row>
    <row r="2382" spans="54:70" x14ac:dyDescent="0.2">
      <c r="BB2382" s="94"/>
      <c r="BL2382" s="8">
        <v>2333</v>
      </c>
      <c r="BM2382" s="8">
        <v>3891031.8941570893</v>
      </c>
      <c r="BN2382" s="8">
        <v>6083269.7370290002</v>
      </c>
      <c r="BO2382" s="8">
        <v>9974301.6311860904</v>
      </c>
      <c r="BP2382" s="8">
        <v>3592073.3247502209</v>
      </c>
      <c r="BQ2382" s="8">
        <v>-6382228.30643587</v>
      </c>
      <c r="BR2382" s="8" t="str">
        <v>Yes</v>
      </c>
    </row>
    <row r="2383" spans="54:70" x14ac:dyDescent="0.2">
      <c r="BB2383" s="94"/>
      <c r="BL2383" s="8">
        <v>2334</v>
      </c>
      <c r="BM2383" s="8">
        <v>2723070.9765328439</v>
      </c>
      <c r="BN2383" s="8">
        <v>0</v>
      </c>
      <c r="BO2383" s="8">
        <v>2723070.9765328439</v>
      </c>
      <c r="BP2383" s="8">
        <v>6621444.0221309336</v>
      </c>
      <c r="BQ2383" s="8">
        <v>3898373.0455980897</v>
      </c>
      <c r="BR2383" s="8" t="str">
        <v>No</v>
      </c>
    </row>
    <row r="2384" spans="54:70" x14ac:dyDescent="0.2">
      <c r="BB2384" s="94"/>
      <c r="BL2384" s="8">
        <v>2335</v>
      </c>
      <c r="BM2384" s="8">
        <v>7903822.2207500078</v>
      </c>
      <c r="BN2384" s="8">
        <v>0</v>
      </c>
      <c r="BO2384" s="8">
        <v>7903822.2207500078</v>
      </c>
      <c r="BP2384" s="8">
        <v>4912597.6825173525</v>
      </c>
      <c r="BQ2384" s="8">
        <v>-2991224.5382326553</v>
      </c>
      <c r="BR2384" s="8" t="str">
        <v>Yes</v>
      </c>
    </row>
    <row r="2385" spans="54:70" x14ac:dyDescent="0.2">
      <c r="BB2385" s="94"/>
      <c r="BL2385" s="8">
        <v>2336</v>
      </c>
      <c r="BM2385" s="8">
        <v>2127879.3259416455</v>
      </c>
      <c r="BN2385" s="8">
        <v>0</v>
      </c>
      <c r="BO2385" s="8">
        <v>2127879.3259416455</v>
      </c>
      <c r="BP2385" s="8">
        <v>2314725.5976938382</v>
      </c>
      <c r="BQ2385" s="8">
        <v>186846.27175219264</v>
      </c>
      <c r="BR2385" s="8" t="str">
        <v>No</v>
      </c>
    </row>
    <row r="2386" spans="54:70" x14ac:dyDescent="0.2">
      <c r="BB2386" s="94"/>
      <c r="BL2386" s="8">
        <v>2337</v>
      </c>
      <c r="BM2386" s="8">
        <v>1858387.1262546089</v>
      </c>
      <c r="BN2386" s="8">
        <v>0</v>
      </c>
      <c r="BO2386" s="8">
        <v>1858387.1262546089</v>
      </c>
      <c r="BP2386" s="8">
        <v>3268298.1301454613</v>
      </c>
      <c r="BQ2386" s="8">
        <v>1409911.0038908524</v>
      </c>
      <c r="BR2386" s="8" t="str">
        <v>No</v>
      </c>
    </row>
    <row r="2387" spans="54:70" x14ac:dyDescent="0.2">
      <c r="BB2387" s="94"/>
      <c r="BL2387" s="8">
        <v>2338</v>
      </c>
      <c r="BM2387" s="8">
        <v>5496479.8294931529</v>
      </c>
      <c r="BN2387" s="8">
        <v>5460351.9612564631</v>
      </c>
      <c r="BO2387" s="8">
        <v>10956831.790749617</v>
      </c>
      <c r="BP2387" s="8">
        <v>4208346.6401847266</v>
      </c>
      <c r="BQ2387" s="8">
        <v>-6748485.1505648904</v>
      </c>
      <c r="BR2387" s="8" t="str">
        <v>Yes</v>
      </c>
    </row>
    <row r="2388" spans="54:70" x14ac:dyDescent="0.2">
      <c r="BB2388" s="94"/>
      <c r="BL2388" s="8">
        <v>2339</v>
      </c>
      <c r="BM2388" s="8">
        <v>2885372.781746272</v>
      </c>
      <c r="BN2388" s="8">
        <v>2843995.2849152349</v>
      </c>
      <c r="BO2388" s="8">
        <v>5729368.0666615069</v>
      </c>
      <c r="BP2388" s="8">
        <v>3075498.8893887415</v>
      </c>
      <c r="BQ2388" s="8">
        <v>-2653869.1772727654</v>
      </c>
      <c r="BR2388" s="8" t="str">
        <v>Yes</v>
      </c>
    </row>
    <row r="2389" spans="54:70" x14ac:dyDescent="0.2">
      <c r="BB2389" s="94"/>
      <c r="BL2389" s="8">
        <v>2340</v>
      </c>
      <c r="BM2389" s="8">
        <v>2626740.1698266147</v>
      </c>
      <c r="BN2389" s="8">
        <v>0</v>
      </c>
      <c r="BO2389" s="8">
        <v>2626740.1698266147</v>
      </c>
      <c r="BP2389" s="8">
        <v>2385545.9459521202</v>
      </c>
      <c r="BQ2389" s="8">
        <v>-241194.22387449443</v>
      </c>
      <c r="BR2389" s="8" t="str">
        <v>Yes</v>
      </c>
    </row>
    <row r="2390" spans="54:70" x14ac:dyDescent="0.2">
      <c r="BB2390" s="94"/>
      <c r="BL2390" s="8">
        <v>2341</v>
      </c>
      <c r="BM2390" s="8">
        <v>2301023.4127695025</v>
      </c>
      <c r="BN2390" s="8">
        <v>612972.00501251232</v>
      </c>
      <c r="BO2390" s="8">
        <v>2913995.4177820147</v>
      </c>
      <c r="BP2390" s="8">
        <v>6495042.3126427503</v>
      </c>
      <c r="BQ2390" s="8">
        <v>3581046.8948607356</v>
      </c>
      <c r="BR2390" s="8" t="str">
        <v>No</v>
      </c>
    </row>
    <row r="2391" spans="54:70" x14ac:dyDescent="0.2">
      <c r="BB2391" s="94"/>
      <c r="BL2391" s="8">
        <v>2342</v>
      </c>
      <c r="BM2391" s="8">
        <v>3026537.3041801648</v>
      </c>
      <c r="BN2391" s="8">
        <v>0</v>
      </c>
      <c r="BO2391" s="8">
        <v>3026537.3041801648</v>
      </c>
      <c r="BP2391" s="8">
        <v>2239371.6612129523</v>
      </c>
      <c r="BQ2391" s="8">
        <v>-787165.64296721248</v>
      </c>
      <c r="BR2391" s="8" t="str">
        <v>Yes</v>
      </c>
    </row>
    <row r="2392" spans="54:70" x14ac:dyDescent="0.2">
      <c r="BB2392" s="94"/>
      <c r="BL2392" s="8">
        <v>2343</v>
      </c>
      <c r="BM2392" s="8">
        <v>9930213.9468712304</v>
      </c>
      <c r="BN2392" s="8">
        <v>16026509.772094095</v>
      </c>
      <c r="BO2392" s="8">
        <v>25956723.718965326</v>
      </c>
      <c r="BP2392" s="8">
        <v>3364436.7317884318</v>
      </c>
      <c r="BQ2392" s="8">
        <v>-22592286.987176895</v>
      </c>
      <c r="BR2392" s="8" t="str">
        <v>Yes</v>
      </c>
    </row>
    <row r="2393" spans="54:70" x14ac:dyDescent="0.2">
      <c r="BB2393" s="94"/>
      <c r="BL2393" s="8">
        <v>2344</v>
      </c>
      <c r="BM2393" s="8">
        <v>6395129.3696206287</v>
      </c>
      <c r="BN2393" s="8">
        <v>3686853.6584814154</v>
      </c>
      <c r="BO2393" s="8">
        <v>10081983.028102044</v>
      </c>
      <c r="BP2393" s="8">
        <v>4091389.9616534011</v>
      </c>
      <c r="BQ2393" s="8">
        <v>-5990593.0664486429</v>
      </c>
      <c r="BR2393" s="8" t="str">
        <v>Yes</v>
      </c>
    </row>
    <row r="2394" spans="54:70" x14ac:dyDescent="0.2">
      <c r="BB2394" s="94"/>
      <c r="BL2394" s="8">
        <v>2345</v>
      </c>
      <c r="BM2394" s="8">
        <v>6619196.1845160658</v>
      </c>
      <c r="BN2394" s="8">
        <v>0</v>
      </c>
      <c r="BO2394" s="8">
        <v>6619196.1845160658</v>
      </c>
      <c r="BP2394" s="8">
        <v>3481416.4361863984</v>
      </c>
      <c r="BQ2394" s="8">
        <v>-3137779.7483296674</v>
      </c>
      <c r="BR2394" s="8" t="str">
        <v>Yes</v>
      </c>
    </row>
    <row r="2395" spans="54:70" x14ac:dyDescent="0.2">
      <c r="BB2395" s="94"/>
      <c r="BL2395" s="8">
        <v>2346</v>
      </c>
      <c r="BM2395" s="8">
        <v>12241251.487984134</v>
      </c>
      <c r="BN2395" s="8">
        <v>8055462.0822559958</v>
      </c>
      <c r="BO2395" s="8">
        <v>20296713.570240129</v>
      </c>
      <c r="BP2395" s="8">
        <v>3422980.8050290747</v>
      </c>
      <c r="BQ2395" s="8">
        <v>-16873732.765211053</v>
      </c>
      <c r="BR2395" s="8" t="str">
        <v>Yes</v>
      </c>
    </row>
    <row r="2396" spans="54:70" x14ac:dyDescent="0.2">
      <c r="BB2396" s="94"/>
      <c r="BL2396" s="8">
        <v>2347</v>
      </c>
      <c r="BM2396" s="8">
        <v>3978783.145809107</v>
      </c>
      <c r="BN2396" s="8">
        <v>0</v>
      </c>
      <c r="BO2396" s="8">
        <v>3978783.145809107</v>
      </c>
      <c r="BP2396" s="8">
        <v>2410814.9444008926</v>
      </c>
      <c r="BQ2396" s="8">
        <v>-1567968.2014082144</v>
      </c>
      <c r="BR2396" s="8" t="str">
        <v>Yes</v>
      </c>
    </row>
    <row r="2397" spans="54:70" x14ac:dyDescent="0.2">
      <c r="BB2397" s="94"/>
      <c r="BL2397" s="8">
        <v>2348</v>
      </c>
      <c r="BM2397" s="8">
        <v>4166622.7332618758</v>
      </c>
      <c r="BN2397" s="8">
        <v>1412332.4505749657</v>
      </c>
      <c r="BO2397" s="8">
        <v>5578955.183836842</v>
      </c>
      <c r="BP2397" s="8">
        <v>5708488.6005963506</v>
      </c>
      <c r="BQ2397" s="8">
        <v>129533.41675950866</v>
      </c>
      <c r="BR2397" s="8" t="str">
        <v>No</v>
      </c>
    </row>
    <row r="2398" spans="54:70" x14ac:dyDescent="0.2">
      <c r="BB2398" s="94"/>
      <c r="BL2398" s="8">
        <v>2349</v>
      </c>
      <c r="BM2398" s="8">
        <v>16527764.616164636</v>
      </c>
      <c r="BN2398" s="8">
        <v>15626143.774429779</v>
      </c>
      <c r="BO2398" s="8">
        <v>32153908.390594415</v>
      </c>
      <c r="BP2398" s="8">
        <v>6441046.3544501606</v>
      </c>
      <c r="BQ2398" s="8">
        <v>-25712862.036144257</v>
      </c>
      <c r="BR2398" s="8" t="str">
        <v>Yes</v>
      </c>
    </row>
    <row r="2399" spans="54:70" x14ac:dyDescent="0.2">
      <c r="BB2399" s="94"/>
      <c r="BL2399" s="8">
        <v>2350</v>
      </c>
      <c r="BM2399" s="8">
        <v>6072245.3098667338</v>
      </c>
      <c r="BN2399" s="8">
        <v>2919638.9366748431</v>
      </c>
      <c r="BO2399" s="8">
        <v>8991884.2465415765</v>
      </c>
      <c r="BP2399" s="8">
        <v>5794998.4493160816</v>
      </c>
      <c r="BQ2399" s="8">
        <v>-3196885.7972254949</v>
      </c>
      <c r="BR2399" s="8" t="str">
        <v>Yes</v>
      </c>
    </row>
    <row r="2400" spans="54:70" x14ac:dyDescent="0.2">
      <c r="BB2400" s="94"/>
      <c r="BL2400" s="8">
        <v>2351</v>
      </c>
      <c r="BM2400" s="8">
        <v>4007143.0593725564</v>
      </c>
      <c r="BN2400" s="8">
        <v>0</v>
      </c>
      <c r="BO2400" s="8">
        <v>4007143.0593725564</v>
      </c>
      <c r="BP2400" s="8">
        <v>3166115.4243421573</v>
      </c>
      <c r="BQ2400" s="8">
        <v>-841027.63503039908</v>
      </c>
      <c r="BR2400" s="8" t="str">
        <v>Yes</v>
      </c>
    </row>
    <row r="2401" spans="54:70" x14ac:dyDescent="0.2">
      <c r="BB2401" s="94"/>
      <c r="BL2401" s="8">
        <v>2352</v>
      </c>
      <c r="BM2401" s="8">
        <v>4404730.0265366659</v>
      </c>
      <c r="BN2401" s="8">
        <v>5375310.8229035698</v>
      </c>
      <c r="BO2401" s="8">
        <v>9780040.8494402356</v>
      </c>
      <c r="BP2401" s="8">
        <v>4771189.448440671</v>
      </c>
      <c r="BQ2401" s="8">
        <v>-5008851.4009995647</v>
      </c>
      <c r="BR2401" s="8" t="str">
        <v>Yes</v>
      </c>
    </row>
    <row r="2402" spans="54:70" x14ac:dyDescent="0.2">
      <c r="BB2402" s="94"/>
      <c r="BL2402" s="8">
        <v>2353</v>
      </c>
      <c r="BM2402" s="8">
        <v>2636250.5571773313</v>
      </c>
      <c r="BN2402" s="8">
        <v>1619877.0923162235</v>
      </c>
      <c r="BO2402" s="8">
        <v>4256127.6494935546</v>
      </c>
      <c r="BP2402" s="8">
        <v>6367613.2050658949</v>
      </c>
      <c r="BQ2402" s="8">
        <v>2111485.5555723403</v>
      </c>
      <c r="BR2402" s="8" t="str">
        <v>No</v>
      </c>
    </row>
    <row r="2403" spans="54:70" x14ac:dyDescent="0.2">
      <c r="BB2403" s="94"/>
      <c r="BL2403" s="8">
        <v>2354</v>
      </c>
      <c r="BM2403" s="8">
        <v>5154167.001157945</v>
      </c>
      <c r="BN2403" s="8">
        <v>0</v>
      </c>
      <c r="BO2403" s="8">
        <v>5154167.001157945</v>
      </c>
      <c r="BP2403" s="8">
        <v>3455046.5291024866</v>
      </c>
      <c r="BQ2403" s="8">
        <v>-1699120.4720554585</v>
      </c>
      <c r="BR2403" s="8" t="str">
        <v>Yes</v>
      </c>
    </row>
    <row r="2404" spans="54:70" x14ac:dyDescent="0.2">
      <c r="BB2404" s="94"/>
      <c r="BL2404" s="8">
        <v>2355</v>
      </c>
      <c r="BM2404" s="8">
        <v>4181885.3349814089</v>
      </c>
      <c r="BN2404" s="8">
        <v>3804702.9148072163</v>
      </c>
      <c r="BO2404" s="8">
        <v>7986588.2497886252</v>
      </c>
      <c r="BP2404" s="8">
        <v>3439301.8479828141</v>
      </c>
      <c r="BQ2404" s="8">
        <v>-4547286.4018058106</v>
      </c>
      <c r="BR2404" s="8" t="str">
        <v>Yes</v>
      </c>
    </row>
    <row r="2405" spans="54:70" x14ac:dyDescent="0.2">
      <c r="BB2405" s="94"/>
      <c r="BL2405" s="8">
        <v>2356</v>
      </c>
      <c r="BM2405" s="8">
        <v>5910632.2143980302</v>
      </c>
      <c r="BN2405" s="8">
        <v>0</v>
      </c>
      <c r="BO2405" s="8">
        <v>5910632.2143980302</v>
      </c>
      <c r="BP2405" s="8">
        <v>4423987.0210379027</v>
      </c>
      <c r="BQ2405" s="8">
        <v>-1486645.1933601275</v>
      </c>
      <c r="BR2405" s="8" t="str">
        <v>Yes</v>
      </c>
    </row>
    <row r="2406" spans="54:70" x14ac:dyDescent="0.2">
      <c r="BB2406" s="94"/>
      <c r="BL2406" s="8">
        <v>2357</v>
      </c>
      <c r="BM2406" s="8">
        <v>1784994.9000408594</v>
      </c>
      <c r="BN2406" s="8">
        <v>1000710.1738503742</v>
      </c>
      <c r="BO2406" s="8">
        <v>2785705.0738912337</v>
      </c>
      <c r="BP2406" s="8">
        <v>3064243.4720561435</v>
      </c>
      <c r="BQ2406" s="8">
        <v>278538.3981649098</v>
      </c>
      <c r="BR2406" s="8" t="str">
        <v>No</v>
      </c>
    </row>
    <row r="2407" spans="54:70" x14ac:dyDescent="0.2">
      <c r="BB2407" s="94"/>
      <c r="BL2407" s="8">
        <v>2358</v>
      </c>
      <c r="BM2407" s="8">
        <v>2365674.7069021403</v>
      </c>
      <c r="BN2407" s="8">
        <v>0</v>
      </c>
      <c r="BO2407" s="8">
        <v>2365674.7069021403</v>
      </c>
      <c r="BP2407" s="8">
        <v>6350470.167329574</v>
      </c>
      <c r="BQ2407" s="8">
        <v>3984795.4604274337</v>
      </c>
      <c r="BR2407" s="8" t="str">
        <v>No</v>
      </c>
    </row>
    <row r="2408" spans="54:70" x14ac:dyDescent="0.2">
      <c r="BB2408" s="94"/>
      <c r="BL2408" s="8">
        <v>2359</v>
      </c>
      <c r="BM2408" s="8">
        <v>2881351.8114308901</v>
      </c>
      <c r="BN2408" s="8">
        <v>2653404.9982899162</v>
      </c>
      <c r="BO2408" s="8">
        <v>5534756.8097208068</v>
      </c>
      <c r="BP2408" s="8">
        <v>2367620.6728370669</v>
      </c>
      <c r="BQ2408" s="8">
        <v>-3167136.1368837398</v>
      </c>
      <c r="BR2408" s="8" t="str">
        <v>Yes</v>
      </c>
    </row>
    <row r="2409" spans="54:70" x14ac:dyDescent="0.2">
      <c r="BB2409" s="94"/>
      <c r="BL2409" s="8">
        <v>2360</v>
      </c>
      <c r="BM2409" s="8">
        <v>2548402.3689744715</v>
      </c>
      <c r="BN2409" s="8">
        <v>4122731.5528568178</v>
      </c>
      <c r="BO2409" s="8">
        <v>6671133.9218312893</v>
      </c>
      <c r="BP2409" s="8">
        <v>3216355.6778074685</v>
      </c>
      <c r="BQ2409" s="8">
        <v>-3454778.2440238209</v>
      </c>
      <c r="BR2409" s="8" t="str">
        <v>Yes</v>
      </c>
    </row>
    <row r="2410" spans="54:70" x14ac:dyDescent="0.2">
      <c r="BB2410" s="94"/>
      <c r="BL2410" s="8">
        <v>2361</v>
      </c>
      <c r="BM2410" s="8">
        <v>4853052.8125303723</v>
      </c>
      <c r="BN2410" s="8">
        <v>0</v>
      </c>
      <c r="BO2410" s="8">
        <v>4853052.8125303723</v>
      </c>
      <c r="BP2410" s="8">
        <v>6775913.4554848569</v>
      </c>
      <c r="BQ2410" s="8">
        <v>1922860.6429544846</v>
      </c>
      <c r="BR2410" s="8" t="str">
        <v>No</v>
      </c>
    </row>
    <row r="2411" spans="54:70" x14ac:dyDescent="0.2">
      <c r="BB2411" s="94"/>
      <c r="BL2411" s="8">
        <v>2362</v>
      </c>
      <c r="BM2411" s="8">
        <v>3501442.8846252593</v>
      </c>
      <c r="BN2411" s="8">
        <v>0</v>
      </c>
      <c r="BO2411" s="8">
        <v>3501442.8846252593</v>
      </c>
      <c r="BP2411" s="8">
        <v>3621146.046584737</v>
      </c>
      <c r="BQ2411" s="8">
        <v>119703.1619594777</v>
      </c>
      <c r="BR2411" s="8" t="str">
        <v>No</v>
      </c>
    </row>
    <row r="2412" spans="54:70" x14ac:dyDescent="0.2">
      <c r="BB2412" s="94"/>
      <c r="BL2412" s="8">
        <v>2363</v>
      </c>
      <c r="BM2412" s="8">
        <v>9031391.9177375417</v>
      </c>
      <c r="BN2412" s="8">
        <v>9213827.9618940707</v>
      </c>
      <c r="BO2412" s="8">
        <v>18245219.879631612</v>
      </c>
      <c r="BP2412" s="8">
        <v>3312080.3194078249</v>
      </c>
      <c r="BQ2412" s="8">
        <v>-14933139.560223788</v>
      </c>
      <c r="BR2412" s="8" t="str">
        <v>Yes</v>
      </c>
    </row>
    <row r="2413" spans="54:70" x14ac:dyDescent="0.2">
      <c r="BB2413" s="94"/>
      <c r="BL2413" s="8">
        <v>2364</v>
      </c>
      <c r="BM2413" s="8">
        <v>3751901.0535179689</v>
      </c>
      <c r="BN2413" s="8">
        <v>0</v>
      </c>
      <c r="BO2413" s="8">
        <v>3751901.0535179689</v>
      </c>
      <c r="BP2413" s="8">
        <v>3462071.3534559864</v>
      </c>
      <c r="BQ2413" s="8">
        <v>-289829.7000619825</v>
      </c>
      <c r="BR2413" s="8" t="str">
        <v>Yes</v>
      </c>
    </row>
    <row r="2414" spans="54:70" x14ac:dyDescent="0.2">
      <c r="BB2414" s="94"/>
      <c r="BL2414" s="8">
        <v>2365</v>
      </c>
      <c r="BM2414" s="8">
        <v>2456265.3321943805</v>
      </c>
      <c r="BN2414" s="8">
        <v>0</v>
      </c>
      <c r="BO2414" s="8">
        <v>2456265.3321943805</v>
      </c>
      <c r="BP2414" s="8">
        <v>3535117.6847061245</v>
      </c>
      <c r="BQ2414" s="8">
        <v>1078852.352511744</v>
      </c>
      <c r="BR2414" s="8" t="str">
        <v>No</v>
      </c>
    </row>
    <row r="2415" spans="54:70" x14ac:dyDescent="0.2">
      <c r="BB2415" s="94"/>
      <c r="BL2415" s="8">
        <v>2366</v>
      </c>
      <c r="BM2415" s="8">
        <v>7284408.9809865803</v>
      </c>
      <c r="BN2415" s="8">
        <v>0</v>
      </c>
      <c r="BO2415" s="8">
        <v>7284408.9809865803</v>
      </c>
      <c r="BP2415" s="8">
        <v>3594490.3643271006</v>
      </c>
      <c r="BQ2415" s="8">
        <v>-3689918.6166594797</v>
      </c>
      <c r="BR2415" s="8" t="str">
        <v>Yes</v>
      </c>
    </row>
    <row r="2416" spans="54:70" x14ac:dyDescent="0.2">
      <c r="BB2416" s="94"/>
      <c r="BL2416" s="8">
        <v>2367</v>
      </c>
      <c r="BM2416" s="8">
        <v>4620757.2611804912</v>
      </c>
      <c r="BN2416" s="8">
        <v>0</v>
      </c>
      <c r="BO2416" s="8">
        <v>4620757.2611804912</v>
      </c>
      <c r="BP2416" s="8">
        <v>3953738.4278013855</v>
      </c>
      <c r="BQ2416" s="8">
        <v>-667018.83337910566</v>
      </c>
      <c r="BR2416" s="8" t="str">
        <v>Yes</v>
      </c>
    </row>
    <row r="2417" spans="54:70" x14ac:dyDescent="0.2">
      <c r="BB2417" s="94"/>
      <c r="BL2417" s="8">
        <v>2368</v>
      </c>
      <c r="BM2417" s="8">
        <v>8451638.1567849983</v>
      </c>
      <c r="BN2417" s="8">
        <v>11299454.406075818</v>
      </c>
      <c r="BO2417" s="8">
        <v>19751092.562860817</v>
      </c>
      <c r="BP2417" s="8">
        <v>4167403.0228915345</v>
      </c>
      <c r="BQ2417" s="8">
        <v>-15583689.539969282</v>
      </c>
      <c r="BR2417" s="8" t="str">
        <v>Yes</v>
      </c>
    </row>
    <row r="2418" spans="54:70" x14ac:dyDescent="0.2">
      <c r="BB2418" s="94"/>
      <c r="BL2418" s="8">
        <v>2369</v>
      </c>
      <c r="BM2418" s="8">
        <v>6176462.3814582769</v>
      </c>
      <c r="BN2418" s="8">
        <v>5046476.8737352686</v>
      </c>
      <c r="BO2418" s="8">
        <v>11222939.255193546</v>
      </c>
      <c r="BP2418" s="8">
        <v>6273985.6606496954</v>
      </c>
      <c r="BQ2418" s="8">
        <v>-4948953.594543851</v>
      </c>
      <c r="BR2418" s="8" t="str">
        <v>Yes</v>
      </c>
    </row>
    <row r="2419" spans="54:70" x14ac:dyDescent="0.2">
      <c r="BB2419" s="94"/>
      <c r="BL2419" s="8">
        <v>2370</v>
      </c>
      <c r="BM2419" s="8">
        <v>2581114.0876964224</v>
      </c>
      <c r="BN2419" s="8">
        <v>879014.45762189862</v>
      </c>
      <c r="BO2419" s="8">
        <v>3460128.5453183209</v>
      </c>
      <c r="BP2419" s="8">
        <v>5723732.8886899203</v>
      </c>
      <c r="BQ2419" s="8">
        <v>2263604.3433715994</v>
      </c>
      <c r="BR2419" s="8" t="str">
        <v>No</v>
      </c>
    </row>
    <row r="2420" spans="54:70" x14ac:dyDescent="0.2">
      <c r="BB2420" s="94"/>
      <c r="BL2420" s="8">
        <v>2371</v>
      </c>
      <c r="BM2420" s="8">
        <v>5824578.8189208433</v>
      </c>
      <c r="BN2420" s="8">
        <v>2453119.0039630919</v>
      </c>
      <c r="BO2420" s="8">
        <v>8277697.8228839356</v>
      </c>
      <c r="BP2420" s="8">
        <v>7045412.2145213187</v>
      </c>
      <c r="BQ2420" s="8">
        <v>-1232285.608362617</v>
      </c>
      <c r="BR2420" s="8" t="str">
        <v>Yes</v>
      </c>
    </row>
    <row r="2421" spans="54:70" x14ac:dyDescent="0.2">
      <c r="BB2421" s="94"/>
      <c r="BL2421" s="8">
        <v>2372</v>
      </c>
      <c r="BM2421" s="8">
        <v>3317638.0140372226</v>
      </c>
      <c r="BN2421" s="8">
        <v>0</v>
      </c>
      <c r="BO2421" s="8">
        <v>3317638.0140372226</v>
      </c>
      <c r="BP2421" s="8">
        <v>3613699.2198593006</v>
      </c>
      <c r="BQ2421" s="8">
        <v>296061.20582207805</v>
      </c>
      <c r="BR2421" s="8" t="str">
        <v>No</v>
      </c>
    </row>
    <row r="2422" spans="54:70" x14ac:dyDescent="0.2">
      <c r="BB2422" s="94"/>
      <c r="BL2422" s="8">
        <v>2373</v>
      </c>
      <c r="BM2422" s="8">
        <v>4204932.6967228157</v>
      </c>
      <c r="BN2422" s="8">
        <v>3636653.1688442593</v>
      </c>
      <c r="BO2422" s="8">
        <v>7841585.8655670751</v>
      </c>
      <c r="BP2422" s="8">
        <v>4216101.8265684368</v>
      </c>
      <c r="BQ2422" s="8">
        <v>-3625484.0389986383</v>
      </c>
      <c r="BR2422" s="8" t="str">
        <v>Yes</v>
      </c>
    </row>
    <row r="2423" spans="54:70" x14ac:dyDescent="0.2">
      <c r="BB2423" s="94"/>
      <c r="BL2423" s="8">
        <v>2374</v>
      </c>
      <c r="BM2423" s="8">
        <v>2972253.5413326551</v>
      </c>
      <c r="BN2423" s="8">
        <v>0</v>
      </c>
      <c r="BO2423" s="8">
        <v>2972253.5413326551</v>
      </c>
      <c r="BP2423" s="8">
        <v>6056229.3822858827</v>
      </c>
      <c r="BQ2423" s="8">
        <v>3083975.8409532276</v>
      </c>
      <c r="BR2423" s="8" t="str">
        <v>No</v>
      </c>
    </row>
    <row r="2424" spans="54:70" x14ac:dyDescent="0.2">
      <c r="BB2424" s="94"/>
      <c r="BL2424" s="8">
        <v>2375</v>
      </c>
      <c r="BM2424" s="8">
        <v>1648316.125715134</v>
      </c>
      <c r="BN2424" s="8">
        <v>868379.24370567664</v>
      </c>
      <c r="BO2424" s="8">
        <v>2516695.3694208106</v>
      </c>
      <c r="BP2424" s="8">
        <v>2426815.6927430951</v>
      </c>
      <c r="BQ2424" s="8">
        <v>-89879.676677715499</v>
      </c>
      <c r="BR2424" s="8" t="str">
        <v>Yes</v>
      </c>
    </row>
    <row r="2425" spans="54:70" x14ac:dyDescent="0.2">
      <c r="BB2425" s="94"/>
      <c r="BL2425" s="8">
        <v>2376</v>
      </c>
      <c r="BM2425" s="8">
        <v>1609702.4666835559</v>
      </c>
      <c r="BN2425" s="8">
        <v>1220454.7548517673</v>
      </c>
      <c r="BO2425" s="8">
        <v>2830157.2215353232</v>
      </c>
      <c r="BP2425" s="8">
        <v>3518870.6247478691</v>
      </c>
      <c r="BQ2425" s="8">
        <v>688713.40321254591</v>
      </c>
      <c r="BR2425" s="8" t="str">
        <v>No</v>
      </c>
    </row>
    <row r="2426" spans="54:70" x14ac:dyDescent="0.2">
      <c r="BB2426" s="94"/>
      <c r="BL2426" s="8">
        <v>2377</v>
      </c>
      <c r="BM2426" s="8">
        <v>3126597.3974760054</v>
      </c>
      <c r="BN2426" s="8">
        <v>5418352.766435924</v>
      </c>
      <c r="BO2426" s="8">
        <v>8544950.1639119294</v>
      </c>
      <c r="BP2426" s="8">
        <v>2245122.6633151257</v>
      </c>
      <c r="BQ2426" s="8">
        <v>-6299827.5005968036</v>
      </c>
      <c r="BR2426" s="8" t="str">
        <v>Yes</v>
      </c>
    </row>
    <row r="2427" spans="54:70" x14ac:dyDescent="0.2">
      <c r="BB2427" s="94"/>
      <c r="BL2427" s="8">
        <v>2378</v>
      </c>
      <c r="BM2427" s="8">
        <v>2544728.7345554694</v>
      </c>
      <c r="BN2427" s="8">
        <v>0</v>
      </c>
      <c r="BO2427" s="8">
        <v>2544728.7345554694</v>
      </c>
      <c r="BP2427" s="8">
        <v>6317220.2093680613</v>
      </c>
      <c r="BQ2427" s="8">
        <v>3772491.4748125919</v>
      </c>
      <c r="BR2427" s="8" t="str">
        <v>No</v>
      </c>
    </row>
    <row r="2428" spans="54:70" x14ac:dyDescent="0.2">
      <c r="BB2428" s="94"/>
      <c r="BL2428" s="8">
        <v>2379</v>
      </c>
      <c r="BM2428" s="8">
        <v>5696594.6915082261</v>
      </c>
      <c r="BN2428" s="8">
        <v>0</v>
      </c>
      <c r="BO2428" s="8">
        <v>5696594.6915082261</v>
      </c>
      <c r="BP2428" s="8">
        <v>3133935.0562182907</v>
      </c>
      <c r="BQ2428" s="8">
        <v>-2562659.6352899354</v>
      </c>
      <c r="BR2428" s="8" t="str">
        <v>Yes</v>
      </c>
    </row>
    <row r="2429" spans="54:70" x14ac:dyDescent="0.2">
      <c r="BB2429" s="94"/>
      <c r="BL2429" s="8">
        <v>2380</v>
      </c>
      <c r="BM2429" s="8">
        <v>9490737.8371263333</v>
      </c>
      <c r="BN2429" s="8">
        <v>6787773.0759561276</v>
      </c>
      <c r="BO2429" s="8">
        <v>16278510.913082462</v>
      </c>
      <c r="BP2429" s="8">
        <v>4299667.1429725112</v>
      </c>
      <c r="BQ2429" s="8">
        <v>-11978843.770109951</v>
      </c>
      <c r="BR2429" s="8" t="str">
        <v>Yes</v>
      </c>
    </row>
    <row r="2430" spans="54:70" x14ac:dyDescent="0.2">
      <c r="BB2430" s="94"/>
      <c r="BL2430" s="8">
        <v>2381</v>
      </c>
      <c r="BM2430" s="8">
        <v>2569272.5991857764</v>
      </c>
      <c r="BN2430" s="8">
        <v>0</v>
      </c>
      <c r="BO2430" s="8">
        <v>2569272.5991857764</v>
      </c>
      <c r="BP2430" s="8">
        <v>2443907.3536383552</v>
      </c>
      <c r="BQ2430" s="8">
        <v>-125365.24554742128</v>
      </c>
      <c r="BR2430" s="8" t="str">
        <v>Yes</v>
      </c>
    </row>
    <row r="2431" spans="54:70" x14ac:dyDescent="0.2">
      <c r="BB2431" s="94"/>
      <c r="BL2431" s="8">
        <v>2382</v>
      </c>
      <c r="BM2431" s="8">
        <v>2133006.7578393938</v>
      </c>
      <c r="BN2431" s="8">
        <v>1662680.1898591341</v>
      </c>
      <c r="BO2431" s="8">
        <v>3795686.9476985279</v>
      </c>
      <c r="BP2431" s="8">
        <v>3518511.3263810473</v>
      </c>
      <c r="BQ2431" s="8">
        <v>-277175.62131748069</v>
      </c>
      <c r="BR2431" s="8" t="str">
        <v>Yes</v>
      </c>
    </row>
    <row r="2432" spans="54:70" x14ac:dyDescent="0.2">
      <c r="BB2432" s="94"/>
      <c r="BL2432" s="8">
        <v>2383</v>
      </c>
      <c r="BM2432" s="8">
        <v>4626229.3174247425</v>
      </c>
      <c r="BN2432" s="8">
        <v>2582792.5878994698</v>
      </c>
      <c r="BO2432" s="8">
        <v>7209021.9053242123</v>
      </c>
      <c r="BP2432" s="8">
        <v>4264061.6423361925</v>
      </c>
      <c r="BQ2432" s="8">
        <v>-2944960.2629880197</v>
      </c>
      <c r="BR2432" s="8" t="str">
        <v>Yes</v>
      </c>
    </row>
    <row r="2433" spans="54:70" x14ac:dyDescent="0.2">
      <c r="BB2433" s="94"/>
      <c r="BL2433" s="8">
        <v>2384</v>
      </c>
      <c r="BM2433" s="8">
        <v>4692816.8860050701</v>
      </c>
      <c r="BN2433" s="8">
        <v>4056231.8972778874</v>
      </c>
      <c r="BO2433" s="8">
        <v>8749048.783282958</v>
      </c>
      <c r="BP2433" s="8">
        <v>3341883.0710226945</v>
      </c>
      <c r="BQ2433" s="8">
        <v>-5407165.712260263</v>
      </c>
      <c r="BR2433" s="8" t="str">
        <v>Yes</v>
      </c>
    </row>
    <row r="2434" spans="54:70" x14ac:dyDescent="0.2">
      <c r="BB2434" s="94"/>
      <c r="BL2434" s="8">
        <v>2385</v>
      </c>
      <c r="BM2434" s="8">
        <v>5097948.1599409785</v>
      </c>
      <c r="BN2434" s="8">
        <v>0</v>
      </c>
      <c r="BO2434" s="8">
        <v>5097948.1599409785</v>
      </c>
      <c r="BP2434" s="8">
        <v>6454762.5052246545</v>
      </c>
      <c r="BQ2434" s="8">
        <v>1356814.3452836759</v>
      </c>
      <c r="BR2434" s="8" t="str">
        <v>No</v>
      </c>
    </row>
    <row r="2435" spans="54:70" x14ac:dyDescent="0.2">
      <c r="BB2435" s="94"/>
      <c r="BL2435" s="8">
        <v>2386</v>
      </c>
      <c r="BM2435" s="8">
        <v>3826298.1007811935</v>
      </c>
      <c r="BN2435" s="8">
        <v>0</v>
      </c>
      <c r="BO2435" s="8">
        <v>3826298.1007811935</v>
      </c>
      <c r="BP2435" s="8">
        <v>3452875.4422450364</v>
      </c>
      <c r="BQ2435" s="8">
        <v>-373422.65853615711</v>
      </c>
      <c r="BR2435" s="8" t="str">
        <v>Yes</v>
      </c>
    </row>
    <row r="2436" spans="54:70" x14ac:dyDescent="0.2">
      <c r="BB2436" s="94"/>
      <c r="BL2436" s="8">
        <v>2387</v>
      </c>
      <c r="BM2436" s="8">
        <v>2778045.9140564729</v>
      </c>
      <c r="BN2436" s="8">
        <v>2477428.3422763739</v>
      </c>
      <c r="BO2436" s="8">
        <v>5255474.2563328464</v>
      </c>
      <c r="BP2436" s="8">
        <v>1991523.684878886</v>
      </c>
      <c r="BQ2436" s="8">
        <v>-3263950.5714539606</v>
      </c>
      <c r="BR2436" s="8" t="str">
        <v>Yes</v>
      </c>
    </row>
    <row r="2437" spans="54:70" x14ac:dyDescent="0.2">
      <c r="BB2437" s="94"/>
      <c r="BL2437" s="8">
        <v>2388</v>
      </c>
      <c r="BM2437" s="8">
        <v>9102145.035069786</v>
      </c>
      <c r="BN2437" s="8">
        <v>11153173.08332056</v>
      </c>
      <c r="BO2437" s="8">
        <v>20255318.118390344</v>
      </c>
      <c r="BP2437" s="8">
        <v>2316470.01723387</v>
      </c>
      <c r="BQ2437" s="8">
        <v>-17938848.101156473</v>
      </c>
      <c r="BR2437" s="8" t="str">
        <v>Yes</v>
      </c>
    </row>
    <row r="2438" spans="54:70" x14ac:dyDescent="0.2">
      <c r="BB2438" s="94"/>
      <c r="BL2438" s="8">
        <v>2389</v>
      </c>
      <c r="BM2438" s="8">
        <v>4058190.6907009063</v>
      </c>
      <c r="BN2438" s="8">
        <v>872755.92597012781</v>
      </c>
      <c r="BO2438" s="8">
        <v>4930946.6166710341</v>
      </c>
      <c r="BP2438" s="8">
        <v>6641876.4862448564</v>
      </c>
      <c r="BQ2438" s="8">
        <v>1710929.8695738222</v>
      </c>
      <c r="BR2438" s="8" t="str">
        <v>No</v>
      </c>
    </row>
    <row r="2439" spans="54:70" x14ac:dyDescent="0.2">
      <c r="BB2439" s="94"/>
      <c r="BL2439" s="8">
        <v>2390</v>
      </c>
      <c r="BM2439" s="8">
        <v>4886426.814037025</v>
      </c>
      <c r="BN2439" s="8">
        <v>2602504.1048569013</v>
      </c>
      <c r="BO2439" s="8">
        <v>7488930.9188939258</v>
      </c>
      <c r="BP2439" s="8">
        <v>6690310.7195067257</v>
      </c>
      <c r="BQ2439" s="8">
        <v>-798620.19938720018</v>
      </c>
      <c r="BR2439" s="8" t="str">
        <v>Yes</v>
      </c>
    </row>
    <row r="2440" spans="54:70" x14ac:dyDescent="0.2">
      <c r="BB2440" s="94"/>
      <c r="BL2440" s="8">
        <v>2391</v>
      </c>
      <c r="BM2440" s="8">
        <v>3049365.7546705599</v>
      </c>
      <c r="BN2440" s="8">
        <v>1085143.0876322708</v>
      </c>
      <c r="BO2440" s="8">
        <v>4134508.8423028309</v>
      </c>
      <c r="BP2440" s="8">
        <v>6227490.7651197342</v>
      </c>
      <c r="BQ2440" s="8">
        <v>2092981.9228169033</v>
      </c>
      <c r="BR2440" s="8" t="str">
        <v>No</v>
      </c>
    </row>
    <row r="2441" spans="54:70" x14ac:dyDescent="0.2">
      <c r="BB2441" s="94"/>
      <c r="BL2441" s="8">
        <v>2392</v>
      </c>
      <c r="BM2441" s="8">
        <v>7264599.3825897546</v>
      </c>
      <c r="BN2441" s="8">
        <v>0</v>
      </c>
      <c r="BO2441" s="8">
        <v>7264599.3825897546</v>
      </c>
      <c r="BP2441" s="8">
        <v>2454146.4787719171</v>
      </c>
      <c r="BQ2441" s="8">
        <v>-4810452.9038178381</v>
      </c>
      <c r="BR2441" s="8" t="str">
        <v>Yes</v>
      </c>
    </row>
    <row r="2442" spans="54:70" x14ac:dyDescent="0.2">
      <c r="BB2442" s="94"/>
      <c r="BL2442" s="8">
        <v>2393</v>
      </c>
      <c r="BM2442" s="8">
        <v>4441656.7110445797</v>
      </c>
      <c r="BN2442" s="8">
        <v>0</v>
      </c>
      <c r="BO2442" s="8">
        <v>4441656.7110445797</v>
      </c>
      <c r="BP2442" s="8">
        <v>4234839.224075905</v>
      </c>
      <c r="BQ2442" s="8">
        <v>-206817.4869686747</v>
      </c>
      <c r="BR2442" s="8" t="str">
        <v>Yes</v>
      </c>
    </row>
    <row r="2443" spans="54:70" x14ac:dyDescent="0.2">
      <c r="BB2443" s="94"/>
      <c r="BL2443" s="8">
        <v>2394</v>
      </c>
      <c r="BM2443" s="8">
        <v>5585260.2850224134</v>
      </c>
      <c r="BN2443" s="8">
        <v>3755952.8638621666</v>
      </c>
      <c r="BO2443" s="8">
        <v>9341213.1488845795</v>
      </c>
      <c r="BP2443" s="8">
        <v>2454003.1578229279</v>
      </c>
      <c r="BQ2443" s="8">
        <v>-6887209.9910616521</v>
      </c>
      <c r="BR2443" s="8" t="str">
        <v>Yes</v>
      </c>
    </row>
    <row r="2444" spans="54:70" x14ac:dyDescent="0.2">
      <c r="BB2444" s="94"/>
      <c r="BL2444" s="8">
        <v>2395</v>
      </c>
      <c r="BM2444" s="8">
        <v>3989529.5881743268</v>
      </c>
      <c r="BN2444" s="8">
        <v>5211772.8711716728</v>
      </c>
      <c r="BO2444" s="8">
        <v>9201302.4593460001</v>
      </c>
      <c r="BP2444" s="8">
        <v>2022799.8280661565</v>
      </c>
      <c r="BQ2444" s="8">
        <v>-7178502.6312798439</v>
      </c>
      <c r="BR2444" s="8" t="str">
        <v>Yes</v>
      </c>
    </row>
    <row r="2445" spans="54:70" x14ac:dyDescent="0.2">
      <c r="BB2445" s="94"/>
      <c r="BL2445" s="8">
        <v>2396</v>
      </c>
      <c r="BM2445" s="8">
        <v>4669175.8668678422</v>
      </c>
      <c r="BN2445" s="8">
        <v>0</v>
      </c>
      <c r="BO2445" s="8">
        <v>4669175.8668678422</v>
      </c>
      <c r="BP2445" s="8">
        <v>4324700.7118056417</v>
      </c>
      <c r="BQ2445" s="8">
        <v>-344475.1550622005</v>
      </c>
      <c r="BR2445" s="8" t="str">
        <v>Yes</v>
      </c>
    </row>
    <row r="2446" spans="54:70" x14ac:dyDescent="0.2">
      <c r="BB2446" s="94"/>
      <c r="BL2446" s="8">
        <v>2397</v>
      </c>
      <c r="BM2446" s="8">
        <v>3393729.8562535364</v>
      </c>
      <c r="BN2446" s="8">
        <v>0</v>
      </c>
      <c r="BO2446" s="8">
        <v>3393729.8562535364</v>
      </c>
      <c r="BP2446" s="8">
        <v>3906054.382514182</v>
      </c>
      <c r="BQ2446" s="8">
        <v>512324.52626064559</v>
      </c>
      <c r="BR2446" s="8" t="str">
        <v>No</v>
      </c>
    </row>
    <row r="2447" spans="54:70" x14ac:dyDescent="0.2">
      <c r="BB2447" s="94"/>
      <c r="BL2447" s="8">
        <v>2398</v>
      </c>
      <c r="BM2447" s="8">
        <v>3559505.5410679202</v>
      </c>
      <c r="BN2447" s="8">
        <v>0</v>
      </c>
      <c r="BO2447" s="8">
        <v>3559505.5410679202</v>
      </c>
      <c r="BP2447" s="8">
        <v>6311534.4802298397</v>
      </c>
      <c r="BQ2447" s="8">
        <v>2752028.9391619195</v>
      </c>
      <c r="BR2447" s="8" t="str">
        <v>No</v>
      </c>
    </row>
    <row r="2448" spans="54:70" x14ac:dyDescent="0.2">
      <c r="BB2448" s="94"/>
      <c r="BL2448" s="8">
        <v>2399</v>
      </c>
      <c r="BM2448" s="8">
        <v>3523332.3584249625</v>
      </c>
      <c r="BN2448" s="8">
        <v>1938011.319649118</v>
      </c>
      <c r="BO2448" s="8">
        <v>5461343.6780740805</v>
      </c>
      <c r="BP2448" s="8">
        <v>2354064.8410975598</v>
      </c>
      <c r="BQ2448" s="8">
        <v>-3107278.8369765207</v>
      </c>
      <c r="BR2448" s="8" t="str">
        <v>Yes</v>
      </c>
    </row>
    <row r="2449" spans="54:70" x14ac:dyDescent="0.2">
      <c r="BB2449" s="94"/>
      <c r="BL2449" s="8">
        <v>2400</v>
      </c>
      <c r="BM2449" s="8">
        <v>9022440.2724674176</v>
      </c>
      <c r="BN2449" s="8">
        <v>0</v>
      </c>
      <c r="BO2449" s="8">
        <v>9022440.2724674176</v>
      </c>
      <c r="BP2449" s="8">
        <v>2512517.6904091896</v>
      </c>
      <c r="BQ2449" s="8">
        <v>-6509922.5820582286</v>
      </c>
      <c r="BR2449" s="8" t="str">
        <v>Yes</v>
      </c>
    </row>
    <row r="2450" spans="54:70" x14ac:dyDescent="0.2">
      <c r="BB2450" s="94"/>
      <c r="BL2450" s="8">
        <v>2401</v>
      </c>
      <c r="BM2450" s="8">
        <v>5989217.5066750925</v>
      </c>
      <c r="BN2450" s="8">
        <v>3006658.5486761136</v>
      </c>
      <c r="BO2450" s="8">
        <v>8995876.0553512052</v>
      </c>
      <c r="BP2450" s="8">
        <v>2373412.1741123721</v>
      </c>
      <c r="BQ2450" s="8">
        <v>-6622463.8812388331</v>
      </c>
      <c r="BR2450" s="8" t="str">
        <v>Yes</v>
      </c>
    </row>
    <row r="2451" spans="54:70" x14ac:dyDescent="0.2">
      <c r="BB2451" s="94"/>
      <c r="BL2451" s="8">
        <v>2402</v>
      </c>
      <c r="BM2451" s="8">
        <v>6143683.1625853246</v>
      </c>
      <c r="BN2451" s="8">
        <v>5254654.167200516</v>
      </c>
      <c r="BO2451" s="8">
        <v>11398337.329785841</v>
      </c>
      <c r="BP2451" s="8">
        <v>3469197.4569592038</v>
      </c>
      <c r="BQ2451" s="8">
        <v>-7929139.8728266368</v>
      </c>
      <c r="BR2451" s="8" t="str">
        <v>Yes</v>
      </c>
    </row>
    <row r="2452" spans="54:70" x14ac:dyDescent="0.2">
      <c r="BB2452" s="94"/>
      <c r="BL2452" s="8">
        <v>2403</v>
      </c>
      <c r="BM2452" s="8">
        <v>6245123.1998855937</v>
      </c>
      <c r="BN2452" s="8">
        <v>0</v>
      </c>
      <c r="BO2452" s="8">
        <v>6245123.1998855937</v>
      </c>
      <c r="BP2452" s="8">
        <v>6735772.7556104856</v>
      </c>
      <c r="BQ2452" s="8">
        <v>490649.55572489183</v>
      </c>
      <c r="BR2452" s="8" t="str">
        <v>No</v>
      </c>
    </row>
    <row r="2453" spans="54:70" x14ac:dyDescent="0.2">
      <c r="BB2453" s="94"/>
      <c r="BL2453" s="8">
        <v>2404</v>
      </c>
      <c r="BM2453" s="8">
        <v>2707537.3128330819</v>
      </c>
      <c r="BN2453" s="8">
        <v>0</v>
      </c>
      <c r="BO2453" s="8">
        <v>2707537.3128330819</v>
      </c>
      <c r="BP2453" s="8">
        <v>4374082.6527555156</v>
      </c>
      <c r="BQ2453" s="8">
        <v>1666545.3399224337</v>
      </c>
      <c r="BR2453" s="8" t="str">
        <v>No</v>
      </c>
    </row>
    <row r="2454" spans="54:70" x14ac:dyDescent="0.2">
      <c r="BB2454" s="94"/>
      <c r="BL2454" s="8">
        <v>2405</v>
      </c>
      <c r="BM2454" s="8">
        <v>3067323.023116786</v>
      </c>
      <c r="BN2454" s="8">
        <v>3768993.6114057973</v>
      </c>
      <c r="BO2454" s="8">
        <v>6836316.6345225833</v>
      </c>
      <c r="BP2454" s="8">
        <v>3699069.8553935792</v>
      </c>
      <c r="BQ2454" s="8">
        <v>-3137246.7791290041</v>
      </c>
      <c r="BR2454" s="8" t="str">
        <v>Yes</v>
      </c>
    </row>
    <row r="2455" spans="54:70" x14ac:dyDescent="0.2">
      <c r="BB2455" s="94"/>
      <c r="BL2455" s="8">
        <v>2406</v>
      </c>
      <c r="BM2455" s="8">
        <v>4336348.1848840751</v>
      </c>
      <c r="BN2455" s="8">
        <v>4479941.5484984415</v>
      </c>
      <c r="BO2455" s="8">
        <v>8816289.7333825156</v>
      </c>
      <c r="BP2455" s="8">
        <v>3227932.0131300939</v>
      </c>
      <c r="BQ2455" s="8">
        <v>-5588357.7202524217</v>
      </c>
      <c r="BR2455" s="8" t="str">
        <v>Yes</v>
      </c>
    </row>
    <row r="2456" spans="54:70" x14ac:dyDescent="0.2">
      <c r="BB2456" s="94"/>
      <c r="BL2456" s="8">
        <v>2407</v>
      </c>
      <c r="BM2456" s="8">
        <v>10524000.153642463</v>
      </c>
      <c r="BN2456" s="8">
        <v>0</v>
      </c>
      <c r="BO2456" s="8">
        <v>10524000.153642463</v>
      </c>
      <c r="BP2456" s="8">
        <v>4204984.8403645977</v>
      </c>
      <c r="BQ2456" s="8">
        <v>-6319015.3132778648</v>
      </c>
      <c r="BR2456" s="8" t="str">
        <v>Yes</v>
      </c>
    </row>
    <row r="2457" spans="54:70" x14ac:dyDescent="0.2">
      <c r="BB2457" s="94"/>
      <c r="BL2457" s="8">
        <v>2408</v>
      </c>
      <c r="BM2457" s="8">
        <v>12283276.561878299</v>
      </c>
      <c r="BN2457" s="8">
        <v>0</v>
      </c>
      <c r="BO2457" s="8">
        <v>12283276.561878299</v>
      </c>
      <c r="BP2457" s="8">
        <v>3618597.625096702</v>
      </c>
      <c r="BQ2457" s="8">
        <v>-8664678.9367815964</v>
      </c>
      <c r="BR2457" s="8" t="str">
        <v>Yes</v>
      </c>
    </row>
    <row r="2458" spans="54:70" x14ac:dyDescent="0.2">
      <c r="BB2458" s="94"/>
      <c r="BL2458" s="8">
        <v>2409</v>
      </c>
      <c r="BM2458" s="8">
        <v>3602500.2349163918</v>
      </c>
      <c r="BN2458" s="8">
        <v>1632141.3487683202</v>
      </c>
      <c r="BO2458" s="8">
        <v>5234641.5836847117</v>
      </c>
      <c r="BP2458" s="8">
        <v>3384460.835243002</v>
      </c>
      <c r="BQ2458" s="8">
        <v>-1850180.7484417097</v>
      </c>
      <c r="BR2458" s="8" t="str">
        <v>Yes</v>
      </c>
    </row>
    <row r="2459" spans="54:70" x14ac:dyDescent="0.2">
      <c r="BB2459" s="94"/>
      <c r="BL2459" s="8">
        <v>2410</v>
      </c>
      <c r="BM2459" s="8">
        <v>2980785.4852585206</v>
      </c>
      <c r="BN2459" s="8">
        <v>516035.36418457312</v>
      </c>
      <c r="BO2459" s="8">
        <v>3496820.8494430939</v>
      </c>
      <c r="BP2459" s="8">
        <v>2238220.5166647695</v>
      </c>
      <c r="BQ2459" s="8">
        <v>-1258600.3327783244</v>
      </c>
      <c r="BR2459" s="8" t="str">
        <v>Yes</v>
      </c>
    </row>
    <row r="2460" spans="54:70" x14ac:dyDescent="0.2">
      <c r="BB2460" s="94"/>
      <c r="BL2460" s="8">
        <v>2411</v>
      </c>
      <c r="BM2460" s="8">
        <v>4098151.7796687302</v>
      </c>
      <c r="BN2460" s="8">
        <v>1872938.850036016</v>
      </c>
      <c r="BO2460" s="8">
        <v>5971090.6297047464</v>
      </c>
      <c r="BP2460" s="8">
        <v>6603037.0039564185</v>
      </c>
      <c r="BQ2460" s="8">
        <v>631946.37425167207</v>
      </c>
      <c r="BR2460" s="8" t="str">
        <v>No</v>
      </c>
    </row>
    <row r="2461" spans="54:70" x14ac:dyDescent="0.2">
      <c r="BB2461" s="94"/>
      <c r="BL2461" s="8">
        <v>2412</v>
      </c>
      <c r="BM2461" s="8">
        <v>4754618.4956199452</v>
      </c>
      <c r="BN2461" s="8">
        <v>5106055.2101206305</v>
      </c>
      <c r="BO2461" s="8">
        <v>9860673.7057405747</v>
      </c>
      <c r="BP2461" s="8">
        <v>4636232.2377542676</v>
      </c>
      <c r="BQ2461" s="8">
        <v>-5224441.4679863071</v>
      </c>
      <c r="BR2461" s="8" t="str">
        <v>Yes</v>
      </c>
    </row>
    <row r="2462" spans="54:70" x14ac:dyDescent="0.2">
      <c r="BB2462" s="94"/>
      <c r="BL2462" s="8">
        <v>2413</v>
      </c>
      <c r="BM2462" s="8">
        <v>2099354.8412712431</v>
      </c>
      <c r="BN2462" s="8">
        <v>458635.43283718009</v>
      </c>
      <c r="BO2462" s="8">
        <v>2557990.2741084229</v>
      </c>
      <c r="BP2462" s="8">
        <v>6462586.68763192</v>
      </c>
      <c r="BQ2462" s="8">
        <v>3904596.4135234971</v>
      </c>
      <c r="BR2462" s="8" t="str">
        <v>No</v>
      </c>
    </row>
    <row r="2463" spans="54:70" x14ac:dyDescent="0.2">
      <c r="BB2463" s="94"/>
      <c r="BL2463" s="8">
        <v>2414</v>
      </c>
      <c r="BM2463" s="8">
        <v>1912947.6015647254</v>
      </c>
      <c r="BN2463" s="8">
        <v>13239.483341131838</v>
      </c>
      <c r="BO2463" s="8">
        <v>1926187.0849058572</v>
      </c>
      <c r="BP2463" s="8">
        <v>6160488.9746196391</v>
      </c>
      <c r="BQ2463" s="8">
        <v>4234301.8897137819</v>
      </c>
      <c r="BR2463" s="8" t="str">
        <v>No</v>
      </c>
    </row>
    <row r="2464" spans="54:70" x14ac:dyDescent="0.2">
      <c r="BB2464" s="94"/>
      <c r="BL2464" s="8">
        <v>2415</v>
      </c>
      <c r="BM2464" s="8">
        <v>5142369.1806549057</v>
      </c>
      <c r="BN2464" s="8">
        <v>0</v>
      </c>
      <c r="BO2464" s="8">
        <v>5142369.1806549057</v>
      </c>
      <c r="BP2464" s="8">
        <v>4244261.5410600705</v>
      </c>
      <c r="BQ2464" s="8">
        <v>-898107.63959483523</v>
      </c>
      <c r="BR2464" s="8" t="str">
        <v>Yes</v>
      </c>
    </row>
    <row r="2465" spans="54:70" x14ac:dyDescent="0.2">
      <c r="BB2465" s="94"/>
      <c r="BL2465" s="8">
        <v>2416</v>
      </c>
      <c r="BM2465" s="8">
        <v>2293864.850855398</v>
      </c>
      <c r="BN2465" s="8">
        <v>908703.0597220714</v>
      </c>
      <c r="BO2465" s="8">
        <v>3202567.9105774695</v>
      </c>
      <c r="BP2465" s="8">
        <v>6826509.9096335769</v>
      </c>
      <c r="BQ2465" s="8">
        <v>3623941.9990561074</v>
      </c>
      <c r="BR2465" s="8" t="str">
        <v>No</v>
      </c>
    </row>
    <row r="2466" spans="54:70" x14ac:dyDescent="0.2">
      <c r="BB2466" s="94"/>
      <c r="BL2466" s="8">
        <v>2417</v>
      </c>
      <c r="BM2466" s="8">
        <v>1734932.1409453938</v>
      </c>
      <c r="BN2466" s="8">
        <v>0</v>
      </c>
      <c r="BO2466" s="8">
        <v>1734932.1409453938</v>
      </c>
      <c r="BP2466" s="8">
        <v>3445707.3645887296</v>
      </c>
      <c r="BQ2466" s="8">
        <v>1710775.2236433357</v>
      </c>
      <c r="BR2466" s="8" t="str">
        <v>No</v>
      </c>
    </row>
    <row r="2467" spans="54:70" x14ac:dyDescent="0.2">
      <c r="BB2467" s="94"/>
      <c r="BL2467" s="8">
        <v>2418</v>
      </c>
      <c r="BM2467" s="8">
        <v>8584680.7098737918</v>
      </c>
      <c r="BN2467" s="8">
        <v>8004571.100885517</v>
      </c>
      <c r="BO2467" s="8">
        <v>16589251.81075931</v>
      </c>
      <c r="BP2467" s="8">
        <v>6199602.3474360723</v>
      </c>
      <c r="BQ2467" s="8">
        <v>-10389649.463323237</v>
      </c>
      <c r="BR2467" s="8" t="str">
        <v>Yes</v>
      </c>
    </row>
    <row r="2468" spans="54:70" x14ac:dyDescent="0.2">
      <c r="BB2468" s="94"/>
      <c r="BL2468" s="8">
        <v>2419</v>
      </c>
      <c r="BM2468" s="8">
        <v>5146363.5006500501</v>
      </c>
      <c r="BN2468" s="8">
        <v>0</v>
      </c>
      <c r="BO2468" s="8">
        <v>5146363.5006500501</v>
      </c>
      <c r="BP2468" s="8">
        <v>5784079.9458595738</v>
      </c>
      <c r="BQ2468" s="8">
        <v>637716.44520952366</v>
      </c>
      <c r="BR2468" s="8" t="str">
        <v>No</v>
      </c>
    </row>
    <row r="2469" spans="54:70" x14ac:dyDescent="0.2">
      <c r="BB2469" s="94"/>
      <c r="BL2469" s="8">
        <v>2420</v>
      </c>
      <c r="BM2469" s="8">
        <v>4823409.7173460685</v>
      </c>
      <c r="BN2469" s="8">
        <v>0</v>
      </c>
      <c r="BO2469" s="8">
        <v>4823409.7173460685</v>
      </c>
      <c r="BP2469" s="8">
        <v>6315888.9622604521</v>
      </c>
      <c r="BQ2469" s="8">
        <v>1492479.2449143836</v>
      </c>
      <c r="BR2469" s="8" t="str">
        <v>No</v>
      </c>
    </row>
    <row r="2470" spans="54:70" x14ac:dyDescent="0.2">
      <c r="BB2470" s="94"/>
      <c r="BL2470" s="8">
        <v>2421</v>
      </c>
      <c r="BM2470" s="8">
        <v>9472810.7361447774</v>
      </c>
      <c r="BN2470" s="8">
        <v>7127528.2716069985</v>
      </c>
      <c r="BO2470" s="8">
        <v>16600339.007751776</v>
      </c>
      <c r="BP2470" s="8">
        <v>6763560.8806609362</v>
      </c>
      <c r="BQ2470" s="8">
        <v>-9836778.1270908397</v>
      </c>
      <c r="BR2470" s="8" t="str">
        <v>Yes</v>
      </c>
    </row>
    <row r="2471" spans="54:70" x14ac:dyDescent="0.2">
      <c r="BB2471" s="94"/>
      <c r="BL2471" s="8">
        <v>2422</v>
      </c>
      <c r="BM2471" s="8">
        <v>1709741.3563938446</v>
      </c>
      <c r="BN2471" s="8">
        <v>2790144.0754780713</v>
      </c>
      <c r="BO2471" s="8">
        <v>4499885.4318719162</v>
      </c>
      <c r="BP2471" s="8">
        <v>2313136.667392218</v>
      </c>
      <c r="BQ2471" s="8">
        <v>-2186748.7644796981</v>
      </c>
      <c r="BR2471" s="8" t="str">
        <v>Yes</v>
      </c>
    </row>
    <row r="2472" spans="54:70" x14ac:dyDescent="0.2">
      <c r="BB2472" s="94"/>
      <c r="BL2472" s="8">
        <v>2423</v>
      </c>
      <c r="BM2472" s="8">
        <v>5813014.0930700125</v>
      </c>
      <c r="BN2472" s="8">
        <v>8641330.74354483</v>
      </c>
      <c r="BO2472" s="8">
        <v>14454344.836614843</v>
      </c>
      <c r="BP2472" s="8">
        <v>3921906.2735254276</v>
      </c>
      <c r="BQ2472" s="8">
        <v>-10532438.563089415</v>
      </c>
      <c r="BR2472" s="8" t="str">
        <v>Yes</v>
      </c>
    </row>
    <row r="2473" spans="54:70" x14ac:dyDescent="0.2">
      <c r="BB2473" s="94"/>
      <c r="BL2473" s="8">
        <v>2424</v>
      </c>
      <c r="BM2473" s="8">
        <v>5053374.4413841786</v>
      </c>
      <c r="BN2473" s="8">
        <v>0</v>
      </c>
      <c r="BO2473" s="8">
        <v>5053374.4413841786</v>
      </c>
      <c r="BP2473" s="8">
        <v>6738624.0466748644</v>
      </c>
      <c r="BQ2473" s="8">
        <v>1685249.6052906858</v>
      </c>
      <c r="BR2473" s="8" t="str">
        <v>No</v>
      </c>
    </row>
    <row r="2474" spans="54:70" x14ac:dyDescent="0.2">
      <c r="BB2474" s="94"/>
      <c r="BL2474" s="8">
        <v>2425</v>
      </c>
      <c r="BM2474" s="8">
        <v>4735811.7149570966</v>
      </c>
      <c r="BN2474" s="8">
        <v>5278537.4035691805</v>
      </c>
      <c r="BO2474" s="8">
        <v>10014349.118526276</v>
      </c>
      <c r="BP2474" s="8">
        <v>2290514.4828149211</v>
      </c>
      <c r="BQ2474" s="8">
        <v>-7723834.6357113551</v>
      </c>
      <c r="BR2474" s="8" t="str">
        <v>Yes</v>
      </c>
    </row>
    <row r="2475" spans="54:70" x14ac:dyDescent="0.2">
      <c r="BB2475" s="94"/>
      <c r="BL2475" s="8">
        <v>2426</v>
      </c>
      <c r="BM2475" s="8">
        <v>2776599.1939953025</v>
      </c>
      <c r="BN2475" s="8">
        <v>0</v>
      </c>
      <c r="BO2475" s="8">
        <v>2776599.1939953025</v>
      </c>
      <c r="BP2475" s="8">
        <v>6534221.9054395026</v>
      </c>
      <c r="BQ2475" s="8">
        <v>3757622.7114442</v>
      </c>
      <c r="BR2475" s="8" t="str">
        <v>No</v>
      </c>
    </row>
    <row r="2476" spans="54:70" x14ac:dyDescent="0.2">
      <c r="BB2476" s="94"/>
      <c r="BL2476" s="8">
        <v>2427</v>
      </c>
      <c r="BM2476" s="8">
        <v>9615656.2561900709</v>
      </c>
      <c r="BN2476" s="8">
        <v>0</v>
      </c>
      <c r="BO2476" s="8">
        <v>9615656.2561900709</v>
      </c>
      <c r="BP2476" s="8">
        <v>6599260.1902812645</v>
      </c>
      <c r="BQ2476" s="8">
        <v>-3016396.0659088064</v>
      </c>
      <c r="BR2476" s="8" t="str">
        <v>Yes</v>
      </c>
    </row>
    <row r="2477" spans="54:70" x14ac:dyDescent="0.2">
      <c r="BB2477" s="94"/>
      <c r="BL2477" s="8">
        <v>2428</v>
      </c>
      <c r="BM2477" s="8">
        <v>2627475.9587971242</v>
      </c>
      <c r="BN2477" s="8">
        <v>0</v>
      </c>
      <c r="BO2477" s="8">
        <v>2627475.9587971242</v>
      </c>
      <c r="BP2477" s="8">
        <v>3260967.2198371314</v>
      </c>
      <c r="BQ2477" s="8">
        <v>633491.26104000723</v>
      </c>
      <c r="BR2477" s="8" t="str">
        <v>No</v>
      </c>
    </row>
    <row r="2478" spans="54:70" x14ac:dyDescent="0.2">
      <c r="BB2478" s="94"/>
      <c r="BL2478" s="8">
        <v>2429</v>
      </c>
      <c r="BM2478" s="8">
        <v>3043703.3784498996</v>
      </c>
      <c r="BN2478" s="8">
        <v>773374.67461171781</v>
      </c>
      <c r="BO2478" s="8">
        <v>3817078.0530616175</v>
      </c>
      <c r="BP2478" s="8">
        <v>4143790.1076362175</v>
      </c>
      <c r="BQ2478" s="8">
        <v>326712.05457459996</v>
      </c>
      <c r="BR2478" s="8" t="str">
        <v>No</v>
      </c>
    </row>
    <row r="2479" spans="54:70" x14ac:dyDescent="0.2">
      <c r="BB2479" s="94"/>
      <c r="BL2479" s="8">
        <v>2430</v>
      </c>
      <c r="BM2479" s="8">
        <v>2417443.7792602349</v>
      </c>
      <c r="BN2479" s="8">
        <v>990579.85667297686</v>
      </c>
      <c r="BO2479" s="8">
        <v>3408023.635933212</v>
      </c>
      <c r="BP2479" s="8">
        <v>6278773.6581057059</v>
      </c>
      <c r="BQ2479" s="8">
        <v>2870750.0221724939</v>
      </c>
      <c r="BR2479" s="8" t="str">
        <v>No</v>
      </c>
    </row>
    <row r="2480" spans="54:70" x14ac:dyDescent="0.2">
      <c r="BB2480" s="94"/>
      <c r="BL2480" s="8">
        <v>2431</v>
      </c>
      <c r="BM2480" s="8">
        <v>3883221.2887800545</v>
      </c>
      <c r="BN2480" s="8">
        <v>0</v>
      </c>
      <c r="BO2480" s="8">
        <v>3883221.2887800545</v>
      </c>
      <c r="BP2480" s="8">
        <v>3434238.3098893338</v>
      </c>
      <c r="BQ2480" s="8">
        <v>-448982.97889072075</v>
      </c>
      <c r="BR2480" s="8" t="str">
        <v>Yes</v>
      </c>
    </row>
    <row r="2481" spans="54:70" x14ac:dyDescent="0.2">
      <c r="BB2481" s="94"/>
      <c r="BL2481" s="8">
        <v>2432</v>
      </c>
      <c r="BM2481" s="8">
        <v>2565203.7580020241</v>
      </c>
      <c r="BN2481" s="8">
        <v>0</v>
      </c>
      <c r="BO2481" s="8">
        <v>2565203.7580020241</v>
      </c>
      <c r="BP2481" s="8">
        <v>4501500.1617327565</v>
      </c>
      <c r="BQ2481" s="8">
        <v>1936296.4037307324</v>
      </c>
      <c r="BR2481" s="8" t="str">
        <v>No</v>
      </c>
    </row>
    <row r="2482" spans="54:70" x14ac:dyDescent="0.2">
      <c r="BB2482" s="94"/>
      <c r="BL2482" s="8">
        <v>2433</v>
      </c>
      <c r="BM2482" s="8">
        <v>5439532.0585144144</v>
      </c>
      <c r="BN2482" s="8">
        <v>0</v>
      </c>
      <c r="BO2482" s="8">
        <v>5439532.0585144144</v>
      </c>
      <c r="BP2482" s="8">
        <v>3459876.2400052003</v>
      </c>
      <c r="BQ2482" s="8">
        <v>-1979655.8185092141</v>
      </c>
      <c r="BR2482" s="8" t="str">
        <v>Yes</v>
      </c>
    </row>
    <row r="2483" spans="54:70" x14ac:dyDescent="0.2">
      <c r="BB2483" s="94"/>
      <c r="BL2483" s="8">
        <v>2434</v>
      </c>
      <c r="BM2483" s="8">
        <v>3475822.1397393704</v>
      </c>
      <c r="BN2483" s="8">
        <v>367830.87871640216</v>
      </c>
      <c r="BO2483" s="8">
        <v>3843653.0184557727</v>
      </c>
      <c r="BP2483" s="8">
        <v>3253937.2179425391</v>
      </c>
      <c r="BQ2483" s="8">
        <v>-589715.80051323352</v>
      </c>
      <c r="BR2483" s="8" t="str">
        <v>Yes</v>
      </c>
    </row>
    <row r="2484" spans="54:70" x14ac:dyDescent="0.2">
      <c r="BB2484" s="94"/>
      <c r="BL2484" s="8">
        <v>2435</v>
      </c>
      <c r="BM2484" s="8">
        <v>1773489.4675816987</v>
      </c>
      <c r="BN2484" s="8">
        <v>0</v>
      </c>
      <c r="BO2484" s="8">
        <v>1773489.4675816987</v>
      </c>
      <c r="BP2484" s="8">
        <v>3022352.9310406381</v>
      </c>
      <c r="BQ2484" s="8">
        <v>1248863.4634589395</v>
      </c>
      <c r="BR2484" s="8" t="str">
        <v>No</v>
      </c>
    </row>
    <row r="2485" spans="54:70" x14ac:dyDescent="0.2">
      <c r="BB2485" s="94"/>
      <c r="BL2485" s="8">
        <v>2436</v>
      </c>
      <c r="BM2485" s="8">
        <v>3644192.7181378258</v>
      </c>
      <c r="BN2485" s="8">
        <v>0</v>
      </c>
      <c r="BO2485" s="8">
        <v>3644192.7181378258</v>
      </c>
      <c r="BP2485" s="8">
        <v>3279904.8405831526</v>
      </c>
      <c r="BQ2485" s="8">
        <v>-364287.87755467324</v>
      </c>
      <c r="BR2485" s="8" t="str">
        <v>Yes</v>
      </c>
    </row>
    <row r="2486" spans="54:70" x14ac:dyDescent="0.2">
      <c r="BB2486" s="94"/>
      <c r="BL2486" s="8">
        <v>2437</v>
      </c>
      <c r="BM2486" s="8">
        <v>3831164.1045609619</v>
      </c>
      <c r="BN2486" s="8">
        <v>825934.02215447742</v>
      </c>
      <c r="BO2486" s="8">
        <v>4657098.1267154394</v>
      </c>
      <c r="BP2486" s="8">
        <v>4257327.9683077503</v>
      </c>
      <c r="BQ2486" s="8">
        <v>-399770.15840768907</v>
      </c>
      <c r="BR2486" s="8" t="str">
        <v>Yes</v>
      </c>
    </row>
    <row r="2487" spans="54:70" x14ac:dyDescent="0.2">
      <c r="BB2487" s="94"/>
      <c r="BL2487" s="8">
        <v>2438</v>
      </c>
      <c r="BM2487" s="8">
        <v>8047952.3338668151</v>
      </c>
      <c r="BN2487" s="8">
        <v>0</v>
      </c>
      <c r="BO2487" s="8">
        <v>8047952.3338668151</v>
      </c>
      <c r="BP2487" s="8">
        <v>6021129.2920016022</v>
      </c>
      <c r="BQ2487" s="8">
        <v>-2026823.0418652128</v>
      </c>
      <c r="BR2487" s="8" t="str">
        <v>Yes</v>
      </c>
    </row>
    <row r="2488" spans="54:70" x14ac:dyDescent="0.2">
      <c r="BB2488" s="94"/>
      <c r="BL2488" s="8">
        <v>2439</v>
      </c>
      <c r="BM2488" s="8">
        <v>9509132.819686899</v>
      </c>
      <c r="BN2488" s="8">
        <v>0</v>
      </c>
      <c r="BO2488" s="8">
        <v>9509132.819686899</v>
      </c>
      <c r="BP2488" s="8">
        <v>4269389.4304056093</v>
      </c>
      <c r="BQ2488" s="8">
        <v>-5239743.3892812897</v>
      </c>
      <c r="BR2488" s="8" t="str">
        <v>Yes</v>
      </c>
    </row>
    <row r="2489" spans="54:70" x14ac:dyDescent="0.2">
      <c r="BB2489" s="94"/>
      <c r="BL2489" s="8">
        <v>2440</v>
      </c>
      <c r="BM2489" s="8">
        <v>3282674.348090414</v>
      </c>
      <c r="BN2489" s="8">
        <v>1618601.8932154328</v>
      </c>
      <c r="BO2489" s="8">
        <v>4901276.2413058467</v>
      </c>
      <c r="BP2489" s="8">
        <v>6207663.8532336801</v>
      </c>
      <c r="BQ2489" s="8">
        <v>1306387.6119278334</v>
      </c>
      <c r="BR2489" s="8" t="str">
        <v>No</v>
      </c>
    </row>
    <row r="2490" spans="54:70" x14ac:dyDescent="0.2">
      <c r="BB2490" s="94"/>
      <c r="BL2490" s="8">
        <v>2441</v>
      </c>
      <c r="BM2490" s="8">
        <v>2762019.3251044955</v>
      </c>
      <c r="BN2490" s="8">
        <v>0</v>
      </c>
      <c r="BO2490" s="8">
        <v>2762019.3251044955</v>
      </c>
      <c r="BP2490" s="8">
        <v>2186165.4215724398</v>
      </c>
      <c r="BQ2490" s="8">
        <v>-575853.90353205567</v>
      </c>
      <c r="BR2490" s="8" t="str">
        <v>Yes</v>
      </c>
    </row>
    <row r="2491" spans="54:70" x14ac:dyDescent="0.2">
      <c r="BB2491" s="94"/>
      <c r="BL2491" s="8">
        <v>2442</v>
      </c>
      <c r="BM2491" s="8">
        <v>4369569.0818236917</v>
      </c>
      <c r="BN2491" s="8">
        <v>3079052.3875383907</v>
      </c>
      <c r="BO2491" s="8">
        <v>7448621.469362082</v>
      </c>
      <c r="BP2491" s="8">
        <v>2483673.7486472791</v>
      </c>
      <c r="BQ2491" s="8">
        <v>-4964947.7207148029</v>
      </c>
      <c r="BR2491" s="8" t="str">
        <v>Yes</v>
      </c>
    </row>
    <row r="2492" spans="54:70" x14ac:dyDescent="0.2">
      <c r="BB2492" s="94"/>
      <c r="BL2492" s="8">
        <v>2443</v>
      </c>
      <c r="BM2492" s="8">
        <v>18791695.273927502</v>
      </c>
      <c r="BN2492" s="8">
        <v>18478489.734860051</v>
      </c>
      <c r="BO2492" s="8">
        <v>37270185.008787557</v>
      </c>
      <c r="BP2492" s="8">
        <v>4707603.252007667</v>
      </c>
      <c r="BQ2492" s="8">
        <v>-32562581.756779891</v>
      </c>
      <c r="BR2492" s="8" t="str">
        <v>Yes</v>
      </c>
    </row>
    <row r="2493" spans="54:70" x14ac:dyDescent="0.2">
      <c r="BB2493" s="94"/>
      <c r="BL2493" s="8">
        <v>2444</v>
      </c>
      <c r="BM2493" s="8">
        <v>6743638.2346705608</v>
      </c>
      <c r="BN2493" s="8">
        <v>0</v>
      </c>
      <c r="BO2493" s="8">
        <v>6743638.2346705608</v>
      </c>
      <c r="BP2493" s="8">
        <v>5771796.57164698</v>
      </c>
      <c r="BQ2493" s="8">
        <v>-971841.6630235808</v>
      </c>
      <c r="BR2493" s="8" t="str">
        <v>Yes</v>
      </c>
    </row>
    <row r="2494" spans="54:70" x14ac:dyDescent="0.2">
      <c r="BB2494" s="94"/>
      <c r="BL2494" s="8">
        <v>2445</v>
      </c>
      <c r="BM2494" s="8">
        <v>3475600.5329839042</v>
      </c>
      <c r="BN2494" s="8">
        <v>2196327.912596873</v>
      </c>
      <c r="BO2494" s="8">
        <v>5671928.4455807768</v>
      </c>
      <c r="BP2494" s="8">
        <v>5953576.9091433417</v>
      </c>
      <c r="BQ2494" s="8">
        <v>281648.46356256492</v>
      </c>
      <c r="BR2494" s="8" t="str">
        <v>No</v>
      </c>
    </row>
    <row r="2495" spans="54:70" x14ac:dyDescent="0.2">
      <c r="BB2495" s="94"/>
      <c r="BL2495" s="8">
        <v>2446</v>
      </c>
      <c r="BM2495" s="8">
        <v>3818016.2787968228</v>
      </c>
      <c r="BN2495" s="8">
        <v>2364866.0854060482</v>
      </c>
      <c r="BO2495" s="8">
        <v>6182882.364202871</v>
      </c>
      <c r="BP2495" s="8">
        <v>6284066.1555805262</v>
      </c>
      <c r="BQ2495" s="8">
        <v>101183.79137765523</v>
      </c>
      <c r="BR2495" s="8" t="str">
        <v>No</v>
      </c>
    </row>
    <row r="2496" spans="54:70" x14ac:dyDescent="0.2">
      <c r="BB2496" s="94"/>
      <c r="BL2496" s="8">
        <v>2447</v>
      </c>
      <c r="BM2496" s="8">
        <v>2765344.8025572835</v>
      </c>
      <c r="BN2496" s="8">
        <v>1617401.1536571064</v>
      </c>
      <c r="BO2496" s="8">
        <v>4382745.9562143898</v>
      </c>
      <c r="BP2496" s="8">
        <v>3061650.3227431909</v>
      </c>
      <c r="BQ2496" s="8">
        <v>-1321095.6334711988</v>
      </c>
      <c r="BR2496" s="8" t="str">
        <v>Yes</v>
      </c>
    </row>
    <row r="2497" spans="54:70" x14ac:dyDescent="0.2">
      <c r="BB2497" s="94"/>
      <c r="BL2497" s="8">
        <v>2448</v>
      </c>
      <c r="BM2497" s="8">
        <v>2941644.8014545259</v>
      </c>
      <c r="BN2497" s="8">
        <v>2065949.5910074927</v>
      </c>
      <c r="BO2497" s="8">
        <v>5007594.3924620189</v>
      </c>
      <c r="BP2497" s="8">
        <v>3041577.1089927293</v>
      </c>
      <c r="BQ2497" s="8">
        <v>-1966017.2834692895</v>
      </c>
      <c r="BR2497" s="8" t="str">
        <v>Yes</v>
      </c>
    </row>
    <row r="2498" spans="54:70" x14ac:dyDescent="0.2">
      <c r="BB2498" s="94"/>
      <c r="BL2498" s="8">
        <v>2449</v>
      </c>
      <c r="BM2498" s="8">
        <v>3123094.873686756</v>
      </c>
      <c r="BN2498" s="8">
        <v>1985283.3523547377</v>
      </c>
      <c r="BO2498" s="8">
        <v>5108378.2260414939</v>
      </c>
      <c r="BP2498" s="8">
        <v>3243643.9974070564</v>
      </c>
      <c r="BQ2498" s="8">
        <v>-1864734.2286344375</v>
      </c>
      <c r="BR2498" s="8" t="str">
        <v>Yes</v>
      </c>
    </row>
    <row r="2499" spans="54:70" x14ac:dyDescent="0.2">
      <c r="BB2499" s="94"/>
      <c r="BL2499" s="8">
        <v>2450</v>
      </c>
      <c r="BM2499" s="8">
        <v>5917079.6123231575</v>
      </c>
      <c r="BN2499" s="8">
        <v>0</v>
      </c>
      <c r="BO2499" s="8">
        <v>5917079.6123231575</v>
      </c>
      <c r="BP2499" s="8">
        <v>6664944.674454283</v>
      </c>
      <c r="BQ2499" s="8">
        <v>747865.06213112548</v>
      </c>
      <c r="BR2499" s="8" t="str">
        <v>No</v>
      </c>
    </row>
    <row r="2500" spans="54:70" x14ac:dyDescent="0.2">
      <c r="BB2500" s="94"/>
      <c r="BL2500" s="8">
        <v>2451</v>
      </c>
      <c r="BM2500" s="8">
        <v>6529895.8734846776</v>
      </c>
      <c r="BN2500" s="8">
        <v>0</v>
      </c>
      <c r="BO2500" s="8">
        <v>6529895.8734846776</v>
      </c>
      <c r="BP2500" s="8">
        <v>6504668.6521119075</v>
      </c>
      <c r="BQ2500" s="8">
        <v>-25227.221372770146</v>
      </c>
      <c r="BR2500" s="8" t="str">
        <v>Yes</v>
      </c>
    </row>
    <row r="2501" spans="54:70" x14ac:dyDescent="0.2">
      <c r="BB2501" s="94"/>
      <c r="BL2501" s="8">
        <v>2452</v>
      </c>
      <c r="BM2501" s="8">
        <v>2274141.7329740319</v>
      </c>
      <c r="BN2501" s="8">
        <v>0</v>
      </c>
      <c r="BO2501" s="8">
        <v>2274141.7329740319</v>
      </c>
      <c r="BP2501" s="8">
        <v>2815101.8689889712</v>
      </c>
      <c r="BQ2501" s="8">
        <v>540960.13601493929</v>
      </c>
      <c r="BR2501" s="8" t="str">
        <v>No</v>
      </c>
    </row>
    <row r="2502" spans="54:70" x14ac:dyDescent="0.2">
      <c r="BB2502" s="94"/>
      <c r="BL2502" s="8">
        <v>2453</v>
      </c>
      <c r="BM2502" s="8">
        <v>8890163.0838855952</v>
      </c>
      <c r="BN2502" s="8">
        <v>0</v>
      </c>
      <c r="BO2502" s="8">
        <v>8890163.0838855952</v>
      </c>
      <c r="BP2502" s="8">
        <v>3866528.7819952108</v>
      </c>
      <c r="BQ2502" s="8">
        <v>-5023634.3018903844</v>
      </c>
      <c r="BR2502" s="8" t="str">
        <v>Yes</v>
      </c>
    </row>
    <row r="2503" spans="54:70" x14ac:dyDescent="0.2">
      <c r="BB2503" s="94"/>
      <c r="BL2503" s="8">
        <v>2454</v>
      </c>
      <c r="BM2503" s="8">
        <v>3909248.0669164294</v>
      </c>
      <c r="BN2503" s="8">
        <v>0</v>
      </c>
      <c r="BO2503" s="8">
        <v>3909248.0669164294</v>
      </c>
      <c r="BP2503" s="8">
        <v>2182754.0803471254</v>
      </c>
      <c r="BQ2503" s="8">
        <v>-1726493.986569304</v>
      </c>
      <c r="BR2503" s="8" t="str">
        <v>Yes</v>
      </c>
    </row>
    <row r="2504" spans="54:70" x14ac:dyDescent="0.2">
      <c r="BB2504" s="94"/>
      <c r="BL2504" s="8">
        <v>2455</v>
      </c>
      <c r="BM2504" s="8">
        <v>2720876.9888724927</v>
      </c>
      <c r="BN2504" s="8">
        <v>3476972.579304453</v>
      </c>
      <c r="BO2504" s="8">
        <v>6197849.5681769457</v>
      </c>
      <c r="BP2504" s="8">
        <v>4442811.9153016424</v>
      </c>
      <c r="BQ2504" s="8">
        <v>-1755037.6528753033</v>
      </c>
      <c r="BR2504" s="8" t="str">
        <v>Yes</v>
      </c>
    </row>
    <row r="2505" spans="54:70" x14ac:dyDescent="0.2">
      <c r="BB2505" s="94"/>
      <c r="BL2505" s="8">
        <v>2456</v>
      </c>
      <c r="BM2505" s="8">
        <v>6175312.5213399865</v>
      </c>
      <c r="BN2505" s="8">
        <v>0</v>
      </c>
      <c r="BO2505" s="8">
        <v>6175312.5213399865</v>
      </c>
      <c r="BP2505" s="8">
        <v>6110077.4040307431</v>
      </c>
      <c r="BQ2505" s="8">
        <v>-65235.117309243418</v>
      </c>
      <c r="BR2505" s="8" t="str">
        <v>Yes</v>
      </c>
    </row>
    <row r="2506" spans="54:70" x14ac:dyDescent="0.2">
      <c r="BB2506" s="94"/>
      <c r="BL2506" s="8">
        <v>2457</v>
      </c>
      <c r="BM2506" s="8">
        <v>2501513.1768411081</v>
      </c>
      <c r="BN2506" s="8">
        <v>0</v>
      </c>
      <c r="BO2506" s="8">
        <v>2501513.1768411081</v>
      </c>
      <c r="BP2506" s="8">
        <v>3402225.8776640687</v>
      </c>
      <c r="BQ2506" s="8">
        <v>900712.70082296059</v>
      </c>
      <c r="BR2506" s="8" t="str">
        <v>No</v>
      </c>
    </row>
    <row r="2507" spans="54:70" x14ac:dyDescent="0.2">
      <c r="BB2507" s="94"/>
      <c r="BL2507" s="8">
        <v>2458</v>
      </c>
      <c r="BM2507" s="8">
        <v>5409532.5056291446</v>
      </c>
      <c r="BN2507" s="8">
        <v>0</v>
      </c>
      <c r="BO2507" s="8">
        <v>5409532.5056291446</v>
      </c>
      <c r="BP2507" s="8">
        <v>3937088.8054131358</v>
      </c>
      <c r="BQ2507" s="8">
        <v>-1472443.7002160088</v>
      </c>
      <c r="BR2507" s="8" t="str">
        <v>Yes</v>
      </c>
    </row>
    <row r="2508" spans="54:70" x14ac:dyDescent="0.2">
      <c r="BB2508" s="94"/>
      <c r="BL2508" s="8">
        <v>2459</v>
      </c>
      <c r="BM2508" s="8">
        <v>1803796.2558724205</v>
      </c>
      <c r="BN2508" s="8">
        <v>0</v>
      </c>
      <c r="BO2508" s="8">
        <v>1803796.2558724205</v>
      </c>
      <c r="BP2508" s="8">
        <v>3478043.7262114766</v>
      </c>
      <c r="BQ2508" s="8">
        <v>1674247.4703390561</v>
      </c>
      <c r="BR2508" s="8" t="str">
        <v>No</v>
      </c>
    </row>
    <row r="2509" spans="54:70" x14ac:dyDescent="0.2">
      <c r="BB2509" s="94"/>
      <c r="BL2509" s="8">
        <v>2460</v>
      </c>
      <c r="BM2509" s="8">
        <v>3699428.132838428</v>
      </c>
      <c r="BN2509" s="8">
        <v>3718139.5181277799</v>
      </c>
      <c r="BO2509" s="8">
        <v>7417567.6509662084</v>
      </c>
      <c r="BP2509" s="8">
        <v>6293196.313812281</v>
      </c>
      <c r="BQ2509" s="8">
        <v>-1124371.3371539274</v>
      </c>
      <c r="BR2509" s="8" t="str">
        <v>Yes</v>
      </c>
    </row>
    <row r="2510" spans="54:70" x14ac:dyDescent="0.2">
      <c r="BB2510" s="94"/>
      <c r="BL2510" s="8">
        <v>2461</v>
      </c>
      <c r="BM2510" s="8">
        <v>5571837.1178055052</v>
      </c>
      <c r="BN2510" s="8">
        <v>0</v>
      </c>
      <c r="BO2510" s="8">
        <v>5571837.1178055052</v>
      </c>
      <c r="BP2510" s="8">
        <v>6676709.2725869045</v>
      </c>
      <c r="BQ2510" s="8">
        <v>1104872.1547813993</v>
      </c>
      <c r="BR2510" s="8" t="str">
        <v>No</v>
      </c>
    </row>
    <row r="2511" spans="54:70" x14ac:dyDescent="0.2">
      <c r="BB2511" s="94"/>
      <c r="BL2511" s="8">
        <v>2462</v>
      </c>
      <c r="BM2511" s="8">
        <v>4764189.3471373571</v>
      </c>
      <c r="BN2511" s="8">
        <v>0</v>
      </c>
      <c r="BO2511" s="8">
        <v>4764189.3471373571</v>
      </c>
      <c r="BP2511" s="8">
        <v>3320932.4647989296</v>
      </c>
      <c r="BQ2511" s="8">
        <v>-1443256.8823384275</v>
      </c>
      <c r="BR2511" s="8" t="str">
        <v>Yes</v>
      </c>
    </row>
    <row r="2512" spans="54:70" x14ac:dyDescent="0.2">
      <c r="BB2512" s="94"/>
      <c r="BL2512" s="8">
        <v>2463</v>
      </c>
      <c r="BM2512" s="8">
        <v>2352962.5829976979</v>
      </c>
      <c r="BN2512" s="8">
        <v>0</v>
      </c>
      <c r="BO2512" s="8">
        <v>2352962.5829976979</v>
      </c>
      <c r="BP2512" s="8">
        <v>3613481.3721576077</v>
      </c>
      <c r="BQ2512" s="8">
        <v>1260518.7891599098</v>
      </c>
      <c r="BR2512" s="8" t="str">
        <v>No</v>
      </c>
    </row>
    <row r="2513" spans="54:70" x14ac:dyDescent="0.2">
      <c r="BB2513" s="94"/>
      <c r="BL2513" s="8">
        <v>2464</v>
      </c>
      <c r="BM2513" s="8">
        <v>9334734.956801137</v>
      </c>
      <c r="BN2513" s="8">
        <v>0</v>
      </c>
      <c r="BO2513" s="8">
        <v>9334734.956801137</v>
      </c>
      <c r="BP2513" s="8">
        <v>3187411.5444103107</v>
      </c>
      <c r="BQ2513" s="8">
        <v>-6147323.4123908263</v>
      </c>
      <c r="BR2513" s="8" t="str">
        <v>Yes</v>
      </c>
    </row>
    <row r="2514" spans="54:70" x14ac:dyDescent="0.2">
      <c r="BB2514" s="94"/>
      <c r="BL2514" s="8">
        <v>2465</v>
      </c>
      <c r="BM2514" s="8">
        <v>13197962.502738854</v>
      </c>
      <c r="BN2514" s="8">
        <v>0</v>
      </c>
      <c r="BO2514" s="8">
        <v>13197962.502738854</v>
      </c>
      <c r="BP2514" s="8">
        <v>6380769.0957781281</v>
      </c>
      <c r="BQ2514" s="8">
        <v>-6817193.4069607258</v>
      </c>
      <c r="BR2514" s="8" t="str">
        <v>Yes</v>
      </c>
    </row>
    <row r="2515" spans="54:70" x14ac:dyDescent="0.2">
      <c r="BB2515" s="94"/>
      <c r="BL2515" s="8">
        <v>2466</v>
      </c>
      <c r="BM2515" s="8">
        <v>2265733.5054952693</v>
      </c>
      <c r="BN2515" s="8">
        <v>2422211.1945228265</v>
      </c>
      <c r="BO2515" s="8">
        <v>4687944.7000180958</v>
      </c>
      <c r="BP2515" s="8">
        <v>3905931.3005979508</v>
      </c>
      <c r="BQ2515" s="8">
        <v>-782013.39942014497</v>
      </c>
      <c r="BR2515" s="8" t="str">
        <v>Yes</v>
      </c>
    </row>
    <row r="2516" spans="54:70" x14ac:dyDescent="0.2">
      <c r="BB2516" s="94"/>
      <c r="BL2516" s="8">
        <v>2467</v>
      </c>
      <c r="BM2516" s="8">
        <v>3117668.9868512554</v>
      </c>
      <c r="BN2516" s="8">
        <v>0</v>
      </c>
      <c r="BO2516" s="8">
        <v>3117668.9868512554</v>
      </c>
      <c r="BP2516" s="8">
        <v>6454685.5083257295</v>
      </c>
      <c r="BQ2516" s="8">
        <v>3337016.5214744741</v>
      </c>
      <c r="BR2516" s="8" t="str">
        <v>No</v>
      </c>
    </row>
    <row r="2517" spans="54:70" x14ac:dyDescent="0.2">
      <c r="BB2517" s="94"/>
      <c r="BL2517" s="8">
        <v>2468</v>
      </c>
      <c r="BM2517" s="8">
        <v>5922623.2471691873</v>
      </c>
      <c r="BN2517" s="8">
        <v>0</v>
      </c>
      <c r="BO2517" s="8">
        <v>5922623.2471691873</v>
      </c>
      <c r="BP2517" s="8">
        <v>2048142.7744599991</v>
      </c>
      <c r="BQ2517" s="8">
        <v>-3874480.4727091882</v>
      </c>
      <c r="BR2517" s="8" t="str">
        <v>Yes</v>
      </c>
    </row>
    <row r="2518" spans="54:70" x14ac:dyDescent="0.2">
      <c r="BB2518" s="94"/>
      <c r="BL2518" s="8">
        <v>2469</v>
      </c>
      <c r="BM2518" s="8">
        <v>4701904.6948406734</v>
      </c>
      <c r="BN2518" s="8">
        <v>0</v>
      </c>
      <c r="BO2518" s="8">
        <v>4701904.6948406734</v>
      </c>
      <c r="BP2518" s="8">
        <v>3297319.3238375168</v>
      </c>
      <c r="BQ2518" s="8">
        <v>-1404585.3710031565</v>
      </c>
      <c r="BR2518" s="8" t="str">
        <v>Yes</v>
      </c>
    </row>
    <row r="2519" spans="54:70" x14ac:dyDescent="0.2">
      <c r="BB2519" s="94"/>
      <c r="BL2519" s="8">
        <v>2470</v>
      </c>
      <c r="BM2519" s="8">
        <v>2800090.6505794409</v>
      </c>
      <c r="BN2519" s="8">
        <v>2157088.759493168</v>
      </c>
      <c r="BO2519" s="8">
        <v>4957179.4100726089</v>
      </c>
      <c r="BP2519" s="8">
        <v>3464290.8290107162</v>
      </c>
      <c r="BQ2519" s="8">
        <v>-1492888.5810618927</v>
      </c>
      <c r="BR2519" s="8" t="str">
        <v>Yes</v>
      </c>
    </row>
    <row r="2520" spans="54:70" x14ac:dyDescent="0.2">
      <c r="BB2520" s="94"/>
      <c r="BL2520" s="8">
        <v>2471</v>
      </c>
      <c r="BM2520" s="8">
        <v>9453859.2856681738</v>
      </c>
      <c r="BN2520" s="8">
        <v>3378737.4793519368</v>
      </c>
      <c r="BO2520" s="8">
        <v>12832596.76502011</v>
      </c>
      <c r="BP2520" s="8">
        <v>2389847.2948730746</v>
      </c>
      <c r="BQ2520" s="8">
        <v>-10442749.470147036</v>
      </c>
      <c r="BR2520" s="8" t="str">
        <v>Yes</v>
      </c>
    </row>
    <row r="2521" spans="54:70" x14ac:dyDescent="0.2">
      <c r="BB2521" s="94"/>
      <c r="BL2521" s="8">
        <v>2472</v>
      </c>
      <c r="BM2521" s="8">
        <v>3984982.9651661171</v>
      </c>
      <c r="BN2521" s="8">
        <v>3058884.0738468217</v>
      </c>
      <c r="BO2521" s="8">
        <v>7043867.0390129387</v>
      </c>
      <c r="BP2521" s="8">
        <v>2317999.2125697103</v>
      </c>
      <c r="BQ2521" s="8">
        <v>-4725867.8264432289</v>
      </c>
      <c r="BR2521" s="8" t="str">
        <v>Yes</v>
      </c>
    </row>
    <row r="2522" spans="54:70" x14ac:dyDescent="0.2">
      <c r="BB2522" s="94"/>
      <c r="BL2522" s="8">
        <v>2473</v>
      </c>
      <c r="BM2522" s="8">
        <v>4666317.2280462403</v>
      </c>
      <c r="BN2522" s="8">
        <v>0</v>
      </c>
      <c r="BO2522" s="8">
        <v>4666317.2280462403</v>
      </c>
      <c r="BP2522" s="8">
        <v>4227943.9364047078</v>
      </c>
      <c r="BQ2522" s="8">
        <v>-438373.29164153244</v>
      </c>
      <c r="BR2522" s="8" t="str">
        <v>Yes</v>
      </c>
    </row>
    <row r="2523" spans="54:70" x14ac:dyDescent="0.2">
      <c r="BB2523" s="94"/>
      <c r="BL2523" s="8">
        <v>2474</v>
      </c>
      <c r="BM2523" s="8">
        <v>1865675.2296494162</v>
      </c>
      <c r="BN2523" s="8">
        <v>0</v>
      </c>
      <c r="BO2523" s="8">
        <v>1865675.2296494162</v>
      </c>
      <c r="BP2523" s="8">
        <v>4270466.6279348433</v>
      </c>
      <c r="BQ2523" s="8">
        <v>2404791.3982854271</v>
      </c>
      <c r="BR2523" s="8" t="str">
        <v>No</v>
      </c>
    </row>
    <row r="2524" spans="54:70" x14ac:dyDescent="0.2">
      <c r="BB2524" s="94"/>
      <c r="BL2524" s="8">
        <v>2475</v>
      </c>
      <c r="BM2524" s="8">
        <v>3294166.7800370166</v>
      </c>
      <c r="BN2524" s="8">
        <v>0</v>
      </c>
      <c r="BO2524" s="8">
        <v>3294166.7800370166</v>
      </c>
      <c r="BP2524" s="8">
        <v>3099622.9771010182</v>
      </c>
      <c r="BQ2524" s="8">
        <v>-194543.80293599842</v>
      </c>
      <c r="BR2524" s="8" t="str">
        <v>Yes</v>
      </c>
    </row>
    <row r="2525" spans="54:70" x14ac:dyDescent="0.2">
      <c r="BB2525" s="94"/>
      <c r="BL2525" s="8">
        <v>2476</v>
      </c>
      <c r="BM2525" s="8">
        <v>5807580.2008464001</v>
      </c>
      <c r="BN2525" s="8">
        <v>0</v>
      </c>
      <c r="BO2525" s="8">
        <v>5807580.2008464001</v>
      </c>
      <c r="BP2525" s="8">
        <v>4611689.813032588</v>
      </c>
      <c r="BQ2525" s="8">
        <v>-1195890.3878138121</v>
      </c>
      <c r="BR2525" s="8" t="str">
        <v>Yes</v>
      </c>
    </row>
    <row r="2526" spans="54:70" x14ac:dyDescent="0.2">
      <c r="BB2526" s="94"/>
      <c r="BL2526" s="8">
        <v>2477</v>
      </c>
      <c r="BM2526" s="8">
        <v>3657063.4438037653</v>
      </c>
      <c r="BN2526" s="8">
        <v>0</v>
      </c>
      <c r="BO2526" s="8">
        <v>3657063.4438037653</v>
      </c>
      <c r="BP2526" s="8">
        <v>4288341.1821521008</v>
      </c>
      <c r="BQ2526" s="8">
        <v>631277.73834833549</v>
      </c>
      <c r="BR2526" s="8" t="str">
        <v>No</v>
      </c>
    </row>
    <row r="2527" spans="54:70" x14ac:dyDescent="0.2">
      <c r="BB2527" s="94"/>
      <c r="BL2527" s="8">
        <v>2478</v>
      </c>
      <c r="BM2527" s="8">
        <v>5483981.0704966467</v>
      </c>
      <c r="BN2527" s="8">
        <v>7206738.0394833982</v>
      </c>
      <c r="BO2527" s="8">
        <v>12690719.109980045</v>
      </c>
      <c r="BP2527" s="8">
        <v>4348601.1952418098</v>
      </c>
      <c r="BQ2527" s="8">
        <v>-8342117.9147382351</v>
      </c>
      <c r="BR2527" s="8" t="str">
        <v>Yes</v>
      </c>
    </row>
    <row r="2528" spans="54:70" x14ac:dyDescent="0.2">
      <c r="BB2528" s="94"/>
      <c r="BL2528" s="8">
        <v>2479</v>
      </c>
      <c r="BM2528" s="8">
        <v>6988745.4217272401</v>
      </c>
      <c r="BN2528" s="8">
        <v>4521885.9329012195</v>
      </c>
      <c r="BO2528" s="8">
        <v>11510631.354628459</v>
      </c>
      <c r="BP2528" s="8">
        <v>3335455.1618978619</v>
      </c>
      <c r="BQ2528" s="8">
        <v>-8175176.1927305963</v>
      </c>
      <c r="BR2528" s="8" t="str">
        <v>Yes</v>
      </c>
    </row>
    <row r="2529" spans="54:70" x14ac:dyDescent="0.2">
      <c r="BB2529" s="94"/>
      <c r="BL2529" s="8">
        <v>2480</v>
      </c>
      <c r="BM2529" s="8">
        <v>2878992.1118772617</v>
      </c>
      <c r="BN2529" s="8">
        <v>0</v>
      </c>
      <c r="BO2529" s="8">
        <v>2878992.1118772617</v>
      </c>
      <c r="BP2529" s="8">
        <v>6479184.939987693</v>
      </c>
      <c r="BQ2529" s="8">
        <v>3600192.8281104313</v>
      </c>
      <c r="BR2529" s="8" t="str">
        <v>No</v>
      </c>
    </row>
    <row r="2530" spans="54:70" x14ac:dyDescent="0.2">
      <c r="BB2530" s="94"/>
      <c r="BL2530" s="8">
        <v>2481</v>
      </c>
      <c r="BM2530" s="8">
        <v>4468484.3747110767</v>
      </c>
      <c r="BN2530" s="8">
        <v>0</v>
      </c>
      <c r="BO2530" s="8">
        <v>4468484.3747110767</v>
      </c>
      <c r="BP2530" s="8">
        <v>3527532.0851179697</v>
      </c>
      <c r="BQ2530" s="8">
        <v>-940952.28959310707</v>
      </c>
      <c r="BR2530" s="8" t="str">
        <v>Yes</v>
      </c>
    </row>
    <row r="2531" spans="54:70" x14ac:dyDescent="0.2">
      <c r="BB2531" s="94"/>
      <c r="BL2531" s="8">
        <v>2482</v>
      </c>
      <c r="BM2531" s="8">
        <v>7274521.5219928734</v>
      </c>
      <c r="BN2531" s="8">
        <v>0</v>
      </c>
      <c r="BO2531" s="8">
        <v>7274521.5219928734</v>
      </c>
      <c r="BP2531" s="8">
        <v>3419959.8292798349</v>
      </c>
      <c r="BQ2531" s="8">
        <v>-3854561.6927130385</v>
      </c>
      <c r="BR2531" s="8" t="str">
        <v>Yes</v>
      </c>
    </row>
    <row r="2532" spans="54:70" x14ac:dyDescent="0.2">
      <c r="BB2532" s="94"/>
      <c r="BL2532" s="8">
        <v>2483</v>
      </c>
      <c r="BM2532" s="8">
        <v>3384462.1254466902</v>
      </c>
      <c r="BN2532" s="8">
        <v>2047396.0512534094</v>
      </c>
      <c r="BO2532" s="8">
        <v>5431858.1767000994</v>
      </c>
      <c r="BP2532" s="8">
        <v>3394895.6937662656</v>
      </c>
      <c r="BQ2532" s="8">
        <v>-2036962.4829338337</v>
      </c>
      <c r="BR2532" s="8" t="str">
        <v>Yes</v>
      </c>
    </row>
    <row r="2533" spans="54:70" x14ac:dyDescent="0.2">
      <c r="BB2533" s="94"/>
      <c r="BL2533" s="8">
        <v>2484</v>
      </c>
      <c r="BM2533" s="8">
        <v>4746549.6097111432</v>
      </c>
      <c r="BN2533" s="8">
        <v>0</v>
      </c>
      <c r="BO2533" s="8">
        <v>4746549.6097111432</v>
      </c>
      <c r="BP2533" s="8">
        <v>3288543.9840511987</v>
      </c>
      <c r="BQ2533" s="8">
        <v>-1458005.6256599445</v>
      </c>
      <c r="BR2533" s="8" t="str">
        <v>Yes</v>
      </c>
    </row>
    <row r="2534" spans="54:70" x14ac:dyDescent="0.2">
      <c r="BB2534" s="94"/>
      <c r="BL2534" s="8">
        <v>2485</v>
      </c>
      <c r="BM2534" s="8">
        <v>3735320.1248061657</v>
      </c>
      <c r="BN2534" s="8">
        <v>0</v>
      </c>
      <c r="BO2534" s="8">
        <v>3735320.1248061657</v>
      </c>
      <c r="BP2534" s="8">
        <v>6541597.3729783716</v>
      </c>
      <c r="BQ2534" s="8">
        <v>2806277.2481722059</v>
      </c>
      <c r="BR2534" s="8" t="str">
        <v>No</v>
      </c>
    </row>
    <row r="2535" spans="54:70" x14ac:dyDescent="0.2">
      <c r="BB2535" s="94"/>
      <c r="BL2535" s="8">
        <v>2486</v>
      </c>
      <c r="BM2535" s="8">
        <v>6255913.7346989708</v>
      </c>
      <c r="BN2535" s="8">
        <v>0</v>
      </c>
      <c r="BO2535" s="8">
        <v>6255913.7346989708</v>
      </c>
      <c r="BP2535" s="8">
        <v>6348056.791345045</v>
      </c>
      <c r="BQ2535" s="8">
        <v>92143.056646074168</v>
      </c>
      <c r="BR2535" s="8" t="str">
        <v>No</v>
      </c>
    </row>
    <row r="2536" spans="54:70" x14ac:dyDescent="0.2">
      <c r="BB2536" s="94"/>
      <c r="BL2536" s="8">
        <v>2487</v>
      </c>
      <c r="BM2536" s="8">
        <v>6478373.4635871639</v>
      </c>
      <c r="BN2536" s="8">
        <v>3095408.483108087</v>
      </c>
      <c r="BO2536" s="8">
        <v>9573781.9466952514</v>
      </c>
      <c r="BP2536" s="8">
        <v>3455768.5600810233</v>
      </c>
      <c r="BQ2536" s="8">
        <v>-6118013.3866142277</v>
      </c>
      <c r="BR2536" s="8" t="str">
        <v>Yes</v>
      </c>
    </row>
    <row r="2537" spans="54:70" x14ac:dyDescent="0.2">
      <c r="BB2537" s="94"/>
      <c r="BL2537" s="8">
        <v>2488</v>
      </c>
      <c r="BM2537" s="8">
        <v>3506729.4642546978</v>
      </c>
      <c r="BN2537" s="8">
        <v>2170981.2101773177</v>
      </c>
      <c r="BO2537" s="8">
        <v>5677710.674432015</v>
      </c>
      <c r="BP2537" s="8">
        <v>4422865.3022850249</v>
      </c>
      <c r="BQ2537" s="8">
        <v>-1254845.3721469902</v>
      </c>
      <c r="BR2537" s="8" t="str">
        <v>Yes</v>
      </c>
    </row>
    <row r="2538" spans="54:70" x14ac:dyDescent="0.2">
      <c r="BB2538" s="94"/>
      <c r="BL2538" s="8">
        <v>2489</v>
      </c>
      <c r="BM2538" s="8">
        <v>5484775.8816840146</v>
      </c>
      <c r="BN2538" s="8">
        <v>0</v>
      </c>
      <c r="BO2538" s="8">
        <v>5484775.8816840146</v>
      </c>
      <c r="BP2538" s="8">
        <v>5621051.6045985948</v>
      </c>
      <c r="BQ2538" s="8">
        <v>136275.72291458026</v>
      </c>
      <c r="BR2538" s="8" t="str">
        <v>No</v>
      </c>
    </row>
    <row r="2539" spans="54:70" x14ac:dyDescent="0.2">
      <c r="BB2539" s="94"/>
      <c r="BL2539" s="8">
        <v>2490</v>
      </c>
      <c r="BM2539" s="8">
        <v>3245896.2356915567</v>
      </c>
      <c r="BN2539" s="8">
        <v>0</v>
      </c>
      <c r="BO2539" s="8">
        <v>3245896.2356915567</v>
      </c>
      <c r="BP2539" s="8">
        <v>2238331.9004116859</v>
      </c>
      <c r="BQ2539" s="8">
        <v>-1007564.3352798708</v>
      </c>
      <c r="BR2539" s="8" t="str">
        <v>Yes</v>
      </c>
    </row>
    <row r="2540" spans="54:70" x14ac:dyDescent="0.2">
      <c r="BB2540" s="94"/>
      <c r="BL2540" s="8">
        <v>2491</v>
      </c>
      <c r="BM2540" s="8">
        <v>3383981.8079079529</v>
      </c>
      <c r="BN2540" s="8">
        <v>1987265.296513086</v>
      </c>
      <c r="BO2540" s="8">
        <v>5371247.1044210391</v>
      </c>
      <c r="BP2540" s="8">
        <v>6157801.684623058</v>
      </c>
      <c r="BQ2540" s="8">
        <v>786554.58020201884</v>
      </c>
      <c r="BR2540" s="8" t="str">
        <v>No</v>
      </c>
    </row>
    <row r="2541" spans="54:70" x14ac:dyDescent="0.2">
      <c r="BB2541" s="94"/>
      <c r="BL2541" s="8">
        <v>2492</v>
      </c>
      <c r="BM2541" s="8">
        <v>3774218.000917173</v>
      </c>
      <c r="BN2541" s="8">
        <v>3543948.7585577923</v>
      </c>
      <c r="BO2541" s="8">
        <v>7318166.7594749648</v>
      </c>
      <c r="BP2541" s="8">
        <v>4191155.4316768837</v>
      </c>
      <c r="BQ2541" s="8">
        <v>-3127011.3277980811</v>
      </c>
      <c r="BR2541" s="8" t="str">
        <v>Yes</v>
      </c>
    </row>
    <row r="2542" spans="54:70" x14ac:dyDescent="0.2">
      <c r="BB2542" s="94"/>
      <c r="BL2542" s="8">
        <v>2493</v>
      </c>
      <c r="BM2542" s="8">
        <v>6453018.9298848752</v>
      </c>
      <c r="BN2542" s="8">
        <v>4935795.2068822365</v>
      </c>
      <c r="BO2542" s="8">
        <v>11388814.136767112</v>
      </c>
      <c r="BP2542" s="8">
        <v>3958909.1124806488</v>
      </c>
      <c r="BQ2542" s="8">
        <v>-7429905.0242864629</v>
      </c>
      <c r="BR2542" s="8" t="str">
        <v>Yes</v>
      </c>
    </row>
    <row r="2543" spans="54:70" x14ac:dyDescent="0.2">
      <c r="BB2543" s="94"/>
      <c r="BL2543" s="8">
        <v>2494</v>
      </c>
      <c r="BM2543" s="8">
        <v>3101171.7210683278</v>
      </c>
      <c r="BN2543" s="8">
        <v>0</v>
      </c>
      <c r="BO2543" s="8">
        <v>3101171.7210683278</v>
      </c>
      <c r="BP2543" s="8">
        <v>3212916.8116760324</v>
      </c>
      <c r="BQ2543" s="8">
        <v>111745.09060770459</v>
      </c>
      <c r="BR2543" s="8" t="str">
        <v>No</v>
      </c>
    </row>
    <row r="2544" spans="54:70" x14ac:dyDescent="0.2">
      <c r="BB2544" s="94"/>
      <c r="BL2544" s="8">
        <v>2495</v>
      </c>
      <c r="BM2544" s="8">
        <v>8508227.2668573428</v>
      </c>
      <c r="BN2544" s="8">
        <v>0</v>
      </c>
      <c r="BO2544" s="8">
        <v>8508227.2668573428</v>
      </c>
      <c r="BP2544" s="8">
        <v>3481532.8060502051</v>
      </c>
      <c r="BQ2544" s="8">
        <v>-5026694.4608071372</v>
      </c>
      <c r="BR2544" s="8" t="str">
        <v>Yes</v>
      </c>
    </row>
    <row r="2545" spans="54:70" x14ac:dyDescent="0.2">
      <c r="BB2545" s="94"/>
      <c r="BL2545" s="8">
        <v>2496</v>
      </c>
      <c r="BM2545" s="8">
        <v>3561983.1330320053</v>
      </c>
      <c r="BN2545" s="8">
        <v>0</v>
      </c>
      <c r="BO2545" s="8">
        <v>3561983.1330320053</v>
      </c>
      <c r="BP2545" s="8">
        <v>3502509.7374421959</v>
      </c>
      <c r="BQ2545" s="8">
        <v>-59473.395589809399</v>
      </c>
      <c r="BR2545" s="8" t="str">
        <v>Yes</v>
      </c>
    </row>
    <row r="2546" spans="54:70" x14ac:dyDescent="0.2">
      <c r="BB2546" s="94"/>
      <c r="BL2546" s="8">
        <v>2497</v>
      </c>
      <c r="BM2546" s="8">
        <v>7941935.112285262</v>
      </c>
      <c r="BN2546" s="8">
        <v>6626001.0182376383</v>
      </c>
      <c r="BO2546" s="8">
        <v>14567936.130522899</v>
      </c>
      <c r="BP2546" s="8">
        <v>3498294.3829711205</v>
      </c>
      <c r="BQ2546" s="8">
        <v>-11069641.747551778</v>
      </c>
      <c r="BR2546" s="8" t="str">
        <v>Yes</v>
      </c>
    </row>
    <row r="2547" spans="54:70" x14ac:dyDescent="0.2">
      <c r="BB2547" s="94"/>
      <c r="BL2547" s="8">
        <v>2498</v>
      </c>
      <c r="BM2547" s="8">
        <v>6140748.7468448859</v>
      </c>
      <c r="BN2547" s="8">
        <v>0</v>
      </c>
      <c r="BO2547" s="8">
        <v>6140748.7468448859</v>
      </c>
      <c r="BP2547" s="8">
        <v>4314200.1168734441</v>
      </c>
      <c r="BQ2547" s="8">
        <v>-1826548.6299714418</v>
      </c>
      <c r="BR2547" s="8" t="str">
        <v>Yes</v>
      </c>
    </row>
    <row r="2548" spans="54:70" x14ac:dyDescent="0.2">
      <c r="BB2548" s="94"/>
      <c r="BL2548" s="8">
        <v>2499</v>
      </c>
      <c r="BM2548" s="8">
        <v>5659859.5711360751</v>
      </c>
      <c r="BN2548" s="8">
        <v>0</v>
      </c>
      <c r="BO2548" s="8">
        <v>5659859.5711360751</v>
      </c>
      <c r="BP2548" s="8">
        <v>2217761.4421854122</v>
      </c>
      <c r="BQ2548" s="8">
        <v>-3442098.1289506629</v>
      </c>
      <c r="BR2548" s="8" t="str">
        <v>Yes</v>
      </c>
    </row>
    <row r="2549" spans="54:70" x14ac:dyDescent="0.2">
      <c r="BB2549" s="94"/>
      <c r="BL2549" s="8">
        <v>2500</v>
      </c>
      <c r="BM2549" s="8">
        <v>5195835.8633061247</v>
      </c>
      <c r="BN2549" s="8">
        <v>0</v>
      </c>
      <c r="BO2549" s="8">
        <v>5195835.8633061247</v>
      </c>
      <c r="BP2549" s="8">
        <v>6478407.7477239948</v>
      </c>
      <c r="BQ2549" s="8">
        <v>1282571.8844178701</v>
      </c>
      <c r="BR2549" s="8" t="str">
        <v>No</v>
      </c>
    </row>
    <row r="2550" spans="54:70" x14ac:dyDescent="0.2">
      <c r="BB2550" s="94"/>
      <c r="BL2550" s="8">
        <v>2501</v>
      </c>
      <c r="BM2550" s="8">
        <v>4965710.6693255324</v>
      </c>
      <c r="BN2550" s="8">
        <v>3072207.9983213185</v>
      </c>
      <c r="BO2550" s="8">
        <v>8037918.6676468514</v>
      </c>
      <c r="BP2550" s="8">
        <v>2217096.9122804352</v>
      </c>
      <c r="BQ2550" s="8">
        <v>-5820821.7553664166</v>
      </c>
      <c r="BR2550" s="8" t="str">
        <v>Yes</v>
      </c>
    </row>
    <row r="2551" spans="54:70" x14ac:dyDescent="0.2">
      <c r="BB2551" s="94"/>
      <c r="BL2551" s="8">
        <v>2502</v>
      </c>
      <c r="BM2551" s="8">
        <v>16134075.658153554</v>
      </c>
      <c r="BN2551" s="8">
        <v>0</v>
      </c>
      <c r="BO2551" s="8">
        <v>16134075.658153554</v>
      </c>
      <c r="BP2551" s="8">
        <v>4400407.3109757341</v>
      </c>
      <c r="BQ2551" s="8">
        <v>-11733668.34717782</v>
      </c>
      <c r="BR2551" s="8" t="str">
        <v>Yes</v>
      </c>
    </row>
    <row r="2552" spans="54:70" x14ac:dyDescent="0.2">
      <c r="BB2552" s="94"/>
      <c r="BL2552" s="8">
        <v>2503</v>
      </c>
      <c r="BM2552" s="8">
        <v>4611668.9373968458</v>
      </c>
      <c r="BN2552" s="8">
        <v>0</v>
      </c>
      <c r="BO2552" s="8">
        <v>4611668.9373968458</v>
      </c>
      <c r="BP2552" s="8">
        <v>3225163.8777422835</v>
      </c>
      <c r="BQ2552" s="8">
        <v>-1386505.0596545623</v>
      </c>
      <c r="BR2552" s="8" t="str">
        <v>Yes</v>
      </c>
    </row>
    <row r="2553" spans="54:70" x14ac:dyDescent="0.2">
      <c r="BB2553" s="94"/>
      <c r="BL2553" s="8">
        <v>2504</v>
      </c>
      <c r="BM2553" s="8">
        <v>2436911.357283459</v>
      </c>
      <c r="BN2553" s="8">
        <v>0</v>
      </c>
      <c r="BO2553" s="8">
        <v>2436911.357283459</v>
      </c>
      <c r="BP2553" s="8">
        <v>2300758.5179639966</v>
      </c>
      <c r="BQ2553" s="8">
        <v>-136152.83931946242</v>
      </c>
      <c r="BR2553" s="8" t="str">
        <v>Yes</v>
      </c>
    </row>
    <row r="2554" spans="54:70" x14ac:dyDescent="0.2">
      <c r="BB2554" s="94"/>
      <c r="BL2554" s="8">
        <v>2505</v>
      </c>
      <c r="BM2554" s="8">
        <v>3969780.2106895577</v>
      </c>
      <c r="BN2554" s="8">
        <v>3298876.0118478439</v>
      </c>
      <c r="BO2554" s="8">
        <v>7268656.2225374021</v>
      </c>
      <c r="BP2554" s="8">
        <v>4674987.5819498245</v>
      </c>
      <c r="BQ2554" s="8">
        <v>-2593668.6405875776</v>
      </c>
      <c r="BR2554" s="8" t="str">
        <v>Yes</v>
      </c>
    </row>
    <row r="2555" spans="54:70" x14ac:dyDescent="0.2">
      <c r="BB2555" s="94"/>
      <c r="BL2555" s="8">
        <v>2506</v>
      </c>
      <c r="BM2555" s="8">
        <v>6361150.2325364016</v>
      </c>
      <c r="BN2555" s="8">
        <v>5664542.1392884124</v>
      </c>
      <c r="BO2555" s="8">
        <v>12025692.371824814</v>
      </c>
      <c r="BP2555" s="8">
        <v>3177334.3955225837</v>
      </c>
      <c r="BQ2555" s="8">
        <v>-8848357.9763022307</v>
      </c>
      <c r="BR2555" s="8" t="str">
        <v>Yes</v>
      </c>
    </row>
    <row r="2556" spans="54:70" x14ac:dyDescent="0.2">
      <c r="BB2556" s="94"/>
      <c r="BL2556" s="8">
        <v>2507</v>
      </c>
      <c r="BM2556" s="8">
        <v>2809110.7010554313</v>
      </c>
      <c r="BN2556" s="8">
        <v>2761186.3171304232</v>
      </c>
      <c r="BO2556" s="8">
        <v>5570297.018185854</v>
      </c>
      <c r="BP2556" s="8">
        <v>3215018.093060656</v>
      </c>
      <c r="BQ2556" s="8">
        <v>-2355278.925125198</v>
      </c>
      <c r="BR2556" s="8" t="str">
        <v>Yes</v>
      </c>
    </row>
    <row r="2557" spans="54:70" x14ac:dyDescent="0.2">
      <c r="BB2557" s="94"/>
      <c r="BL2557" s="8">
        <v>2508</v>
      </c>
      <c r="BM2557" s="8">
        <v>2129557.3613383584</v>
      </c>
      <c r="BN2557" s="8">
        <v>0</v>
      </c>
      <c r="BO2557" s="8">
        <v>2129557.3613383584</v>
      </c>
      <c r="BP2557" s="8">
        <v>4099405.2295997292</v>
      </c>
      <c r="BQ2557" s="8">
        <v>1969847.8682613708</v>
      </c>
      <c r="BR2557" s="8" t="str">
        <v>No</v>
      </c>
    </row>
    <row r="2558" spans="54:70" x14ac:dyDescent="0.2">
      <c r="BB2558" s="94"/>
      <c r="BL2558" s="8">
        <v>2509</v>
      </c>
      <c r="BM2558" s="8">
        <v>7434352.9036874399</v>
      </c>
      <c r="BN2558" s="8">
        <v>5971372.7060067579</v>
      </c>
      <c r="BO2558" s="8">
        <v>13405725.609694198</v>
      </c>
      <c r="BP2558" s="8">
        <v>6406190.3370037861</v>
      </c>
      <c r="BQ2558" s="8">
        <v>-6999535.2726904117</v>
      </c>
      <c r="BR2558" s="8" t="str">
        <v>Yes</v>
      </c>
    </row>
    <row r="2559" spans="54:70" x14ac:dyDescent="0.2">
      <c r="BB2559" s="94"/>
      <c r="BL2559" s="8">
        <v>2510</v>
      </c>
      <c r="BM2559" s="8">
        <v>3246081.4904144863</v>
      </c>
      <c r="BN2559" s="8">
        <v>4605345.006240787</v>
      </c>
      <c r="BO2559" s="8">
        <v>7851426.4966552733</v>
      </c>
      <c r="BP2559" s="8">
        <v>2306320.3056524685</v>
      </c>
      <c r="BQ2559" s="8">
        <v>-5545106.1910028048</v>
      </c>
      <c r="BR2559" s="8" t="str">
        <v>Yes</v>
      </c>
    </row>
    <row r="2560" spans="54:70" x14ac:dyDescent="0.2">
      <c r="BB2560" s="94"/>
      <c r="BL2560" s="8">
        <v>2511</v>
      </c>
      <c r="BM2560" s="8">
        <v>2982217.4696083651</v>
      </c>
      <c r="BN2560" s="8">
        <v>0</v>
      </c>
      <c r="BO2560" s="8">
        <v>2982217.4696083651</v>
      </c>
      <c r="BP2560" s="8">
        <v>3895384.3006050321</v>
      </c>
      <c r="BQ2560" s="8">
        <v>913166.83099666703</v>
      </c>
      <c r="BR2560" s="8" t="str">
        <v>No</v>
      </c>
    </row>
    <row r="2561" spans="54:70" x14ac:dyDescent="0.2">
      <c r="BB2561" s="94"/>
      <c r="BL2561" s="8">
        <v>2512</v>
      </c>
      <c r="BM2561" s="8">
        <v>3741734.7644204563</v>
      </c>
      <c r="BN2561" s="8">
        <v>0</v>
      </c>
      <c r="BO2561" s="8">
        <v>3741734.7644204563</v>
      </c>
      <c r="BP2561" s="8">
        <v>2138889.8934584395</v>
      </c>
      <c r="BQ2561" s="8">
        <v>-1602844.8709620168</v>
      </c>
      <c r="BR2561" s="8" t="str">
        <v>Yes</v>
      </c>
    </row>
    <row r="2562" spans="54:70" x14ac:dyDescent="0.2">
      <c r="BB2562" s="94"/>
      <c r="BL2562" s="8">
        <v>2513</v>
      </c>
      <c r="BM2562" s="8">
        <v>1905048.3611958763</v>
      </c>
      <c r="BN2562" s="8">
        <v>0</v>
      </c>
      <c r="BO2562" s="8">
        <v>1905048.3611958763</v>
      </c>
      <c r="BP2562" s="8">
        <v>5739830.7457789974</v>
      </c>
      <c r="BQ2562" s="8">
        <v>3834782.3845831212</v>
      </c>
      <c r="BR2562" s="8" t="str">
        <v>No</v>
      </c>
    </row>
    <row r="2563" spans="54:70" x14ac:dyDescent="0.2">
      <c r="BB2563" s="94"/>
      <c r="BL2563" s="8">
        <v>2514</v>
      </c>
      <c r="BM2563" s="8">
        <v>6400923.1664974652</v>
      </c>
      <c r="BN2563" s="8">
        <v>0</v>
      </c>
      <c r="BO2563" s="8">
        <v>6400923.1664974652</v>
      </c>
      <c r="BP2563" s="8">
        <v>3058738.16170274</v>
      </c>
      <c r="BQ2563" s="8">
        <v>-3342185.0047947252</v>
      </c>
      <c r="BR2563" s="8" t="str">
        <v>Yes</v>
      </c>
    </row>
    <row r="2564" spans="54:70" x14ac:dyDescent="0.2">
      <c r="BB2564" s="94"/>
      <c r="BL2564" s="8">
        <v>2515</v>
      </c>
      <c r="BM2564" s="8">
        <v>4990828.0482355766</v>
      </c>
      <c r="BN2564" s="8">
        <v>3567636.2706138231</v>
      </c>
      <c r="BO2564" s="8">
        <v>8558464.3188493997</v>
      </c>
      <c r="BP2564" s="8">
        <v>4205065.8359348662</v>
      </c>
      <c r="BQ2564" s="8">
        <v>-4353398.4829145335</v>
      </c>
      <c r="BR2564" s="8" t="str">
        <v>Yes</v>
      </c>
    </row>
    <row r="2565" spans="54:70" x14ac:dyDescent="0.2">
      <c r="BB2565" s="94"/>
      <c r="BL2565" s="8">
        <v>2516</v>
      </c>
      <c r="BM2565" s="8">
        <v>5715699.3898317674</v>
      </c>
      <c r="BN2565" s="8">
        <v>3282267.5357873901</v>
      </c>
      <c r="BO2565" s="8">
        <v>8997966.925619157</v>
      </c>
      <c r="BP2565" s="8">
        <v>5959314.1167631978</v>
      </c>
      <c r="BQ2565" s="8">
        <v>-3038652.8088559592</v>
      </c>
      <c r="BR2565" s="8" t="str">
        <v>Yes</v>
      </c>
    </row>
    <row r="2566" spans="54:70" x14ac:dyDescent="0.2">
      <c r="BB2566" s="94"/>
      <c r="BL2566" s="8">
        <v>2517</v>
      </c>
      <c r="BM2566" s="8">
        <v>1700972.2954584949</v>
      </c>
      <c r="BN2566" s="8">
        <v>366075.89398739964</v>
      </c>
      <c r="BO2566" s="8">
        <v>2067048.1894458947</v>
      </c>
      <c r="BP2566" s="8">
        <v>6029940.6160366898</v>
      </c>
      <c r="BQ2566" s="8">
        <v>3962892.4265907952</v>
      </c>
      <c r="BR2566" s="8" t="str">
        <v>No</v>
      </c>
    </row>
    <row r="2567" spans="54:70" x14ac:dyDescent="0.2">
      <c r="BB2567" s="94"/>
      <c r="BL2567" s="8">
        <v>2518</v>
      </c>
      <c r="BM2567" s="8">
        <v>1327708.6404109646</v>
      </c>
      <c r="BN2567" s="8">
        <v>522399.53503327986</v>
      </c>
      <c r="BO2567" s="8">
        <v>1850108.1754442444</v>
      </c>
      <c r="BP2567" s="8">
        <v>3167846.3832287383</v>
      </c>
      <c r="BQ2567" s="8">
        <v>1317738.2077844939</v>
      </c>
      <c r="BR2567" s="8" t="str">
        <v>No</v>
      </c>
    </row>
    <row r="2568" spans="54:70" x14ac:dyDescent="0.2">
      <c r="BB2568" s="94"/>
      <c r="BL2568" s="8">
        <v>2519</v>
      </c>
      <c r="BM2568" s="8">
        <v>5482260.7066507302</v>
      </c>
      <c r="BN2568" s="8">
        <v>2119715.841432455</v>
      </c>
      <c r="BO2568" s="8">
        <v>7601976.5480831852</v>
      </c>
      <c r="BP2568" s="8">
        <v>2340900.0381680061</v>
      </c>
      <c r="BQ2568" s="8">
        <v>-5261076.5099151786</v>
      </c>
      <c r="BR2568" s="8" t="str">
        <v>Yes</v>
      </c>
    </row>
    <row r="2569" spans="54:70" x14ac:dyDescent="0.2">
      <c r="BB2569" s="94"/>
      <c r="BL2569" s="8">
        <v>2520</v>
      </c>
      <c r="BM2569" s="8">
        <v>21670592.489617731</v>
      </c>
      <c r="BN2569" s="8">
        <v>18597208.541350648</v>
      </c>
      <c r="BO2569" s="8">
        <v>40267801.030968383</v>
      </c>
      <c r="BP2569" s="8">
        <v>4168922.9817222282</v>
      </c>
      <c r="BQ2569" s="8">
        <v>-36098878.049246155</v>
      </c>
      <c r="BR2569" s="8" t="str">
        <v>Yes</v>
      </c>
    </row>
    <row r="2570" spans="54:70" x14ac:dyDescent="0.2">
      <c r="BB2570" s="94"/>
      <c r="BL2570" s="8">
        <v>2521</v>
      </c>
      <c r="BM2570" s="8">
        <v>18110774.079224318</v>
      </c>
      <c r="BN2570" s="8">
        <v>0</v>
      </c>
      <c r="BO2570" s="8">
        <v>18110774.079224318</v>
      </c>
      <c r="BP2570" s="8">
        <v>3893519.8359205588</v>
      </c>
      <c r="BQ2570" s="8">
        <v>-14217254.243303759</v>
      </c>
      <c r="BR2570" s="8" t="str">
        <v>Yes</v>
      </c>
    </row>
    <row r="2571" spans="54:70" x14ac:dyDescent="0.2">
      <c r="BB2571" s="94"/>
      <c r="BL2571" s="8">
        <v>2522</v>
      </c>
      <c r="BM2571" s="8">
        <v>2014471.7120231343</v>
      </c>
      <c r="BN2571" s="8">
        <v>1587725.5129183009</v>
      </c>
      <c r="BO2571" s="8">
        <v>3602197.2249414353</v>
      </c>
      <c r="BP2571" s="8">
        <v>3523105.9712932883</v>
      </c>
      <c r="BQ2571" s="8">
        <v>-79091.253648146987</v>
      </c>
      <c r="BR2571" s="8" t="str">
        <v>Yes</v>
      </c>
    </row>
    <row r="2572" spans="54:70" x14ac:dyDescent="0.2">
      <c r="BB2572" s="94"/>
      <c r="BL2572" s="8">
        <v>2523</v>
      </c>
      <c r="BM2572" s="8">
        <v>3806536.0382238356</v>
      </c>
      <c r="BN2572" s="8">
        <v>3215695.3850222803</v>
      </c>
      <c r="BO2572" s="8">
        <v>7022231.4232461154</v>
      </c>
      <c r="BP2572" s="8">
        <v>4069840.9153205948</v>
      </c>
      <c r="BQ2572" s="8">
        <v>-2952390.5079255207</v>
      </c>
      <c r="BR2572" s="8" t="str">
        <v>Yes</v>
      </c>
    </row>
    <row r="2573" spans="54:70" x14ac:dyDescent="0.2">
      <c r="BB2573" s="94"/>
      <c r="BL2573" s="8">
        <v>2524</v>
      </c>
      <c r="BM2573" s="8">
        <v>7579178.3083206983</v>
      </c>
      <c r="BN2573" s="8">
        <v>12944484.713691782</v>
      </c>
      <c r="BO2573" s="8">
        <v>20523663.02201248</v>
      </c>
      <c r="BP2573" s="8">
        <v>3523921.967646915</v>
      </c>
      <c r="BQ2573" s="8">
        <v>-16999741.054365564</v>
      </c>
      <c r="BR2573" s="8" t="str">
        <v>Yes</v>
      </c>
    </row>
    <row r="2574" spans="54:70" x14ac:dyDescent="0.2">
      <c r="BB2574" s="94"/>
      <c r="BL2574" s="8">
        <v>2525</v>
      </c>
      <c r="BM2574" s="8">
        <v>6493445.6058315728</v>
      </c>
      <c r="BN2574" s="8">
        <v>2548945.3816335374</v>
      </c>
      <c r="BO2574" s="8">
        <v>9042390.9874651097</v>
      </c>
      <c r="BP2574" s="8">
        <v>4026326.4391962001</v>
      </c>
      <c r="BQ2574" s="8">
        <v>-5016064.5482689096</v>
      </c>
      <c r="BR2574" s="8" t="str">
        <v>Yes</v>
      </c>
    </row>
    <row r="2575" spans="54:70" x14ac:dyDescent="0.2">
      <c r="BB2575" s="94"/>
      <c r="BL2575" s="8">
        <v>2526</v>
      </c>
      <c r="BM2575" s="8">
        <v>4078893.6188251097</v>
      </c>
      <c r="BN2575" s="8">
        <v>0</v>
      </c>
      <c r="BO2575" s="8">
        <v>4078893.6188251097</v>
      </c>
      <c r="BP2575" s="8">
        <v>5898767.0153763872</v>
      </c>
      <c r="BQ2575" s="8">
        <v>1819873.3965512775</v>
      </c>
      <c r="BR2575" s="8" t="str">
        <v>No</v>
      </c>
    </row>
    <row r="2576" spans="54:70" x14ac:dyDescent="0.2">
      <c r="BB2576" s="94"/>
      <c r="BL2576" s="8">
        <v>2527</v>
      </c>
      <c r="BM2576" s="8">
        <v>3188114.884041775</v>
      </c>
      <c r="BN2576" s="8">
        <v>0</v>
      </c>
      <c r="BO2576" s="8">
        <v>3188114.884041775</v>
      </c>
      <c r="BP2576" s="8">
        <v>4354763.2201364804</v>
      </c>
      <c r="BQ2576" s="8">
        <v>1166648.3360947054</v>
      </c>
      <c r="BR2576" s="8" t="str">
        <v>No</v>
      </c>
    </row>
    <row r="2577" spans="54:70" x14ac:dyDescent="0.2">
      <c r="BB2577" s="94"/>
      <c r="BL2577" s="8">
        <v>2528</v>
      </c>
      <c r="BM2577" s="8">
        <v>6877702.1328510307</v>
      </c>
      <c r="BN2577" s="8">
        <v>0</v>
      </c>
      <c r="BO2577" s="8">
        <v>6877702.1328510307</v>
      </c>
      <c r="BP2577" s="8">
        <v>2130560.2737542139</v>
      </c>
      <c r="BQ2577" s="8">
        <v>-4747141.8590968167</v>
      </c>
      <c r="BR2577" s="8" t="str">
        <v>Yes</v>
      </c>
    </row>
    <row r="2578" spans="54:70" x14ac:dyDescent="0.2">
      <c r="BB2578" s="94"/>
      <c r="BL2578" s="8">
        <v>2529</v>
      </c>
      <c r="BM2578" s="8">
        <v>3832049.147684624</v>
      </c>
      <c r="BN2578" s="8">
        <v>4360569.6342688035</v>
      </c>
      <c r="BO2578" s="8">
        <v>8192618.7819534279</v>
      </c>
      <c r="BP2578" s="8">
        <v>2511413.1846606378</v>
      </c>
      <c r="BQ2578" s="8">
        <v>-5681205.5972927902</v>
      </c>
      <c r="BR2578" s="8" t="str">
        <v>Yes</v>
      </c>
    </row>
    <row r="2579" spans="54:70" x14ac:dyDescent="0.2">
      <c r="BB2579" s="94"/>
      <c r="BL2579" s="8">
        <v>2530</v>
      </c>
      <c r="BM2579" s="8">
        <v>3911305.4751784001</v>
      </c>
      <c r="BN2579" s="8">
        <v>4658901.1144026844</v>
      </c>
      <c r="BO2579" s="8">
        <v>8570206.5895810835</v>
      </c>
      <c r="BP2579" s="8">
        <v>2376933.547286706</v>
      </c>
      <c r="BQ2579" s="8">
        <v>-6193273.0422943775</v>
      </c>
      <c r="BR2579" s="8" t="str">
        <v>Yes</v>
      </c>
    </row>
    <row r="2580" spans="54:70" x14ac:dyDescent="0.2">
      <c r="BB2580" s="94"/>
      <c r="BL2580" s="8">
        <v>2531</v>
      </c>
      <c r="BM2580" s="8">
        <v>5136152.322160433</v>
      </c>
      <c r="BN2580" s="8">
        <v>0</v>
      </c>
      <c r="BO2580" s="8">
        <v>5136152.322160433</v>
      </c>
      <c r="BP2580" s="8">
        <v>3394883.3747876114</v>
      </c>
      <c r="BQ2580" s="8">
        <v>-1741268.9473728216</v>
      </c>
      <c r="BR2580" s="8" t="str">
        <v>Yes</v>
      </c>
    </row>
    <row r="2581" spans="54:70" x14ac:dyDescent="0.2">
      <c r="BB2581" s="94"/>
      <c r="BL2581" s="8">
        <v>2532</v>
      </c>
      <c r="BM2581" s="8">
        <v>4172942.6395394746</v>
      </c>
      <c r="BN2581" s="8">
        <v>0</v>
      </c>
      <c r="BO2581" s="8">
        <v>4172942.6395394746</v>
      </c>
      <c r="BP2581" s="8">
        <v>3360813.1690088362</v>
      </c>
      <c r="BQ2581" s="8">
        <v>-812129.47053063847</v>
      </c>
      <c r="BR2581" s="8" t="str">
        <v>Yes</v>
      </c>
    </row>
    <row r="2582" spans="54:70" x14ac:dyDescent="0.2">
      <c r="BB2582" s="94"/>
      <c r="BL2582" s="8">
        <v>2533</v>
      </c>
      <c r="BM2582" s="8">
        <v>3825724.8140639383</v>
      </c>
      <c r="BN2582" s="8">
        <v>0</v>
      </c>
      <c r="BO2582" s="8">
        <v>3825724.8140639383</v>
      </c>
      <c r="BP2582" s="8">
        <v>3333047.6686831694</v>
      </c>
      <c r="BQ2582" s="8">
        <v>-492677.14538076892</v>
      </c>
      <c r="BR2582" s="8" t="str">
        <v>Yes</v>
      </c>
    </row>
    <row r="2583" spans="54:70" x14ac:dyDescent="0.2">
      <c r="BB2583" s="94"/>
      <c r="BL2583" s="8">
        <v>2534</v>
      </c>
      <c r="BM2583" s="8">
        <v>3087985.4805045482</v>
      </c>
      <c r="BN2583" s="8">
        <v>0</v>
      </c>
      <c r="BO2583" s="8">
        <v>3087985.4805045482</v>
      </c>
      <c r="BP2583" s="8">
        <v>3543378.6923469212</v>
      </c>
      <c r="BQ2583" s="8">
        <v>455393.21184237301</v>
      </c>
      <c r="BR2583" s="8" t="str">
        <v>No</v>
      </c>
    </row>
    <row r="2584" spans="54:70" x14ac:dyDescent="0.2">
      <c r="BB2584" s="94"/>
      <c r="BL2584" s="8">
        <v>2535</v>
      </c>
      <c r="BM2584" s="8">
        <v>3555343.6942266822</v>
      </c>
      <c r="BN2584" s="8">
        <v>1302665.3436748448</v>
      </c>
      <c r="BO2584" s="8">
        <v>4858009.0379015272</v>
      </c>
      <c r="BP2584" s="8">
        <v>6079114.7461517965</v>
      </c>
      <c r="BQ2584" s="8">
        <v>1221105.7082502693</v>
      </c>
      <c r="BR2584" s="8" t="str">
        <v>No</v>
      </c>
    </row>
    <row r="2585" spans="54:70" x14ac:dyDescent="0.2">
      <c r="BB2585" s="94"/>
      <c r="BL2585" s="8">
        <v>2536</v>
      </c>
      <c r="BM2585" s="8">
        <v>4792587.5561081078</v>
      </c>
      <c r="BN2585" s="8">
        <v>1937311.9525080139</v>
      </c>
      <c r="BO2585" s="8">
        <v>6729899.5086161215</v>
      </c>
      <c r="BP2585" s="8">
        <v>6383977.0534410011</v>
      </c>
      <c r="BQ2585" s="8">
        <v>-345922.45517512038</v>
      </c>
      <c r="BR2585" s="8" t="str">
        <v>Yes</v>
      </c>
    </row>
    <row r="2586" spans="54:70" x14ac:dyDescent="0.2">
      <c r="BB2586" s="94"/>
      <c r="BL2586" s="8">
        <v>2537</v>
      </c>
      <c r="BM2586" s="8">
        <v>4431930.9155962672</v>
      </c>
      <c r="BN2586" s="8">
        <v>4939795.6937414454</v>
      </c>
      <c r="BO2586" s="8">
        <v>9371726.6093377136</v>
      </c>
      <c r="BP2586" s="8">
        <v>3366549.9543342614</v>
      </c>
      <c r="BQ2586" s="8">
        <v>-6005176.6550034527</v>
      </c>
      <c r="BR2586" s="8" t="str">
        <v>Yes</v>
      </c>
    </row>
    <row r="2587" spans="54:70" x14ac:dyDescent="0.2">
      <c r="BB2587" s="94"/>
      <c r="BL2587" s="8">
        <v>2538</v>
      </c>
      <c r="BM2587" s="8">
        <v>4391740.531075309</v>
      </c>
      <c r="BN2587" s="8">
        <v>5222813.361088139</v>
      </c>
      <c r="BO2587" s="8">
        <v>9614553.892163448</v>
      </c>
      <c r="BP2587" s="8">
        <v>2427730.4529588921</v>
      </c>
      <c r="BQ2587" s="8">
        <v>-7186823.4392045559</v>
      </c>
      <c r="BR2587" s="8" t="str">
        <v>Yes</v>
      </c>
    </row>
    <row r="2588" spans="54:70" x14ac:dyDescent="0.2">
      <c r="BB2588" s="94"/>
      <c r="BL2588" s="8">
        <v>2539</v>
      </c>
      <c r="BM2588" s="8">
        <v>5196655.0608776575</v>
      </c>
      <c r="BN2588" s="8">
        <v>3329122.9994419669</v>
      </c>
      <c r="BO2588" s="8">
        <v>8525778.0603196248</v>
      </c>
      <c r="BP2588" s="8">
        <v>2105687.1801268272</v>
      </c>
      <c r="BQ2588" s="8">
        <v>-6420090.8801927976</v>
      </c>
      <c r="BR2588" s="8" t="str">
        <v>Yes</v>
      </c>
    </row>
    <row r="2589" spans="54:70" x14ac:dyDescent="0.2">
      <c r="BB2589" s="94"/>
      <c r="BL2589" s="8">
        <v>2540</v>
      </c>
      <c r="BM2589" s="8">
        <v>5534913.1135379234</v>
      </c>
      <c r="BN2589" s="8">
        <v>0</v>
      </c>
      <c r="BO2589" s="8">
        <v>5534913.1135379234</v>
      </c>
      <c r="BP2589" s="8">
        <v>3934919.9226019722</v>
      </c>
      <c r="BQ2589" s="8">
        <v>-1599993.1909359512</v>
      </c>
      <c r="BR2589" s="8" t="str">
        <v>Yes</v>
      </c>
    </row>
    <row r="2590" spans="54:70" x14ac:dyDescent="0.2">
      <c r="BB2590" s="94"/>
      <c r="BL2590" s="8">
        <v>2541</v>
      </c>
      <c r="BM2590" s="8">
        <v>3328555.7009141534</v>
      </c>
      <c r="BN2590" s="8">
        <v>0</v>
      </c>
      <c r="BO2590" s="8">
        <v>3328555.7009141534</v>
      </c>
      <c r="BP2590" s="8">
        <v>2087850.941605777</v>
      </c>
      <c r="BQ2590" s="8">
        <v>-1240704.7593083763</v>
      </c>
      <c r="BR2590" s="8" t="str">
        <v>Yes</v>
      </c>
    </row>
    <row r="2591" spans="54:70" x14ac:dyDescent="0.2">
      <c r="BB2591" s="94"/>
      <c r="BL2591" s="8">
        <v>2542</v>
      </c>
      <c r="BM2591" s="8">
        <v>3384110.729153337</v>
      </c>
      <c r="BN2591" s="8">
        <v>3287026.648397679</v>
      </c>
      <c r="BO2591" s="8">
        <v>6671137.3775510155</v>
      </c>
      <c r="BP2591" s="8">
        <v>3577341.62365421</v>
      </c>
      <c r="BQ2591" s="8">
        <v>-3093795.7538968055</v>
      </c>
      <c r="BR2591" s="8" t="str">
        <v>Yes</v>
      </c>
    </row>
    <row r="2592" spans="54:70" x14ac:dyDescent="0.2">
      <c r="BB2592" s="94"/>
      <c r="BL2592" s="8">
        <v>2543</v>
      </c>
      <c r="BM2592" s="8">
        <v>3896237.4935395326</v>
      </c>
      <c r="BN2592" s="8">
        <v>2711219.997730806</v>
      </c>
      <c r="BO2592" s="8">
        <v>6607457.4912703391</v>
      </c>
      <c r="BP2592" s="8">
        <v>4705880.9970432837</v>
      </c>
      <c r="BQ2592" s="8">
        <v>-1901576.4942270555</v>
      </c>
      <c r="BR2592" s="8" t="str">
        <v>Yes</v>
      </c>
    </row>
    <row r="2593" spans="54:70" x14ac:dyDescent="0.2">
      <c r="BB2593" s="94"/>
      <c r="BL2593" s="8">
        <v>2544</v>
      </c>
      <c r="BM2593" s="8">
        <v>4484962.1427433928</v>
      </c>
      <c r="BN2593" s="8">
        <v>0</v>
      </c>
      <c r="BO2593" s="8">
        <v>4484962.1427433928</v>
      </c>
      <c r="BP2593" s="8">
        <v>4657227.5088893957</v>
      </c>
      <c r="BQ2593" s="8">
        <v>172265.3661460029</v>
      </c>
      <c r="BR2593" s="8" t="str">
        <v>No</v>
      </c>
    </row>
    <row r="2594" spans="54:70" x14ac:dyDescent="0.2">
      <c r="BB2594" s="94"/>
      <c r="BL2594" s="8">
        <v>2545</v>
      </c>
      <c r="BM2594" s="8">
        <v>1647869.1899954132</v>
      </c>
      <c r="BN2594" s="8">
        <v>822956.99856714613</v>
      </c>
      <c r="BO2594" s="8">
        <v>2470826.1885625594</v>
      </c>
      <c r="BP2594" s="8">
        <v>4371383.4130107583</v>
      </c>
      <c r="BQ2594" s="8">
        <v>1900557.2244481989</v>
      </c>
      <c r="BR2594" s="8" t="str">
        <v>No</v>
      </c>
    </row>
    <row r="2595" spans="54:70" x14ac:dyDescent="0.2">
      <c r="BB2595" s="94"/>
      <c r="BL2595" s="8">
        <v>2546</v>
      </c>
      <c r="BM2595" s="8">
        <v>10333385.288272254</v>
      </c>
      <c r="BN2595" s="8">
        <v>6029443.4907100983</v>
      </c>
      <c r="BO2595" s="8">
        <v>16362828.778982352</v>
      </c>
      <c r="BP2595" s="8">
        <v>6830373.666799007</v>
      </c>
      <c r="BQ2595" s="8">
        <v>-9532455.1121833455</v>
      </c>
      <c r="BR2595" s="8" t="str">
        <v>Yes</v>
      </c>
    </row>
    <row r="2596" spans="54:70" x14ac:dyDescent="0.2">
      <c r="BB2596" s="94"/>
      <c r="BL2596" s="8">
        <v>2547</v>
      </c>
      <c r="BM2596" s="8">
        <v>6231807.5863231393</v>
      </c>
      <c r="BN2596" s="8">
        <v>0</v>
      </c>
      <c r="BO2596" s="8">
        <v>6231807.5863231393</v>
      </c>
      <c r="BP2596" s="8">
        <v>4336973.7199845994</v>
      </c>
      <c r="BQ2596" s="8">
        <v>-1894833.8663385399</v>
      </c>
      <c r="BR2596" s="8" t="str">
        <v>Yes</v>
      </c>
    </row>
    <row r="2597" spans="54:70" x14ac:dyDescent="0.2">
      <c r="BB2597" s="94"/>
      <c r="BL2597" s="8">
        <v>2548</v>
      </c>
      <c r="BM2597" s="8">
        <v>4244596.9339757524</v>
      </c>
      <c r="BN2597" s="8">
        <v>3867303.3826557188</v>
      </c>
      <c r="BO2597" s="8">
        <v>8111900.3166314717</v>
      </c>
      <c r="BP2597" s="8">
        <v>4140623.6343457978</v>
      </c>
      <c r="BQ2597" s="8">
        <v>-3971276.6822856739</v>
      </c>
      <c r="BR2597" s="8" t="str">
        <v>Yes</v>
      </c>
    </row>
    <row r="2598" spans="54:70" x14ac:dyDescent="0.2">
      <c r="BB2598" s="94"/>
      <c r="BL2598" s="8">
        <v>2549</v>
      </c>
      <c r="BM2598" s="8">
        <v>7002315.5782726295</v>
      </c>
      <c r="BN2598" s="8">
        <v>0</v>
      </c>
      <c r="BO2598" s="8">
        <v>7002315.5782726295</v>
      </c>
      <c r="BP2598" s="8">
        <v>6697320.0138869891</v>
      </c>
      <c r="BQ2598" s="8">
        <v>-304995.56438564043</v>
      </c>
      <c r="BR2598" s="8" t="str">
        <v>Yes</v>
      </c>
    </row>
    <row r="2599" spans="54:70" x14ac:dyDescent="0.2">
      <c r="BB2599" s="94"/>
      <c r="BL2599" s="8">
        <v>2550</v>
      </c>
      <c r="BM2599" s="8">
        <v>2761347.2761581568</v>
      </c>
      <c r="BN2599" s="8">
        <v>0</v>
      </c>
      <c r="BO2599" s="8">
        <v>2761347.2761581568</v>
      </c>
      <c r="BP2599" s="8">
        <v>2974788.1744937324</v>
      </c>
      <c r="BQ2599" s="8">
        <v>213440.89833557559</v>
      </c>
      <c r="BR2599" s="8" t="str">
        <v>No</v>
      </c>
    </row>
    <row r="2600" spans="54:70" x14ac:dyDescent="0.2">
      <c r="BB2600" s="94"/>
      <c r="BL2600" s="8">
        <v>2551</v>
      </c>
      <c r="BM2600" s="8">
        <v>8818972.2036856376</v>
      </c>
      <c r="BN2600" s="8">
        <v>5428768.2423003633</v>
      </c>
      <c r="BO2600" s="8">
        <v>14247740.445986001</v>
      </c>
      <c r="BP2600" s="8">
        <v>6418516.9268591926</v>
      </c>
      <c r="BQ2600" s="8">
        <v>-7829223.5191268083</v>
      </c>
      <c r="BR2600" s="8" t="str">
        <v>Yes</v>
      </c>
    </row>
    <row r="2601" spans="54:70" x14ac:dyDescent="0.2">
      <c r="BB2601" s="94"/>
      <c r="BL2601" s="8">
        <v>2552</v>
      </c>
      <c r="BM2601" s="8">
        <v>6861055.3472275892</v>
      </c>
      <c r="BN2601" s="8">
        <v>5566565.1064306553</v>
      </c>
      <c r="BO2601" s="8">
        <v>12427620.453658246</v>
      </c>
      <c r="BP2601" s="8">
        <v>3997450.9748936468</v>
      </c>
      <c r="BQ2601" s="8">
        <v>-8430169.4787645992</v>
      </c>
      <c r="BR2601" s="8" t="str">
        <v>Yes</v>
      </c>
    </row>
    <row r="2602" spans="54:70" x14ac:dyDescent="0.2">
      <c r="BB2602" s="94"/>
      <c r="BL2602" s="8">
        <v>2553</v>
      </c>
      <c r="BM2602" s="8">
        <v>5070069.8194852173</v>
      </c>
      <c r="BN2602" s="8">
        <v>6364628.2058396805</v>
      </c>
      <c r="BO2602" s="8">
        <v>11434698.025324898</v>
      </c>
      <c r="BP2602" s="8">
        <v>6977326.5017998433</v>
      </c>
      <c r="BQ2602" s="8">
        <v>-4457371.5235250546</v>
      </c>
      <c r="BR2602" s="8" t="str">
        <v>Yes</v>
      </c>
    </row>
    <row r="2603" spans="54:70" x14ac:dyDescent="0.2">
      <c r="BB2603" s="94"/>
      <c r="BL2603" s="8">
        <v>2554</v>
      </c>
      <c r="BM2603" s="8">
        <v>2229754.8200189695</v>
      </c>
      <c r="BN2603" s="8">
        <v>1982007.5930976679</v>
      </c>
      <c r="BO2603" s="8">
        <v>4211762.4131166376</v>
      </c>
      <c r="BP2603" s="8">
        <v>2326463.3958009593</v>
      </c>
      <c r="BQ2603" s="8">
        <v>-1885299.0173156783</v>
      </c>
      <c r="BR2603" s="8" t="str">
        <v>Yes</v>
      </c>
    </row>
    <row r="2604" spans="54:70" x14ac:dyDescent="0.2">
      <c r="BB2604" s="94"/>
      <c r="BL2604" s="8">
        <v>2555</v>
      </c>
      <c r="BM2604" s="8">
        <v>4295892.4448892502</v>
      </c>
      <c r="BN2604" s="8">
        <v>2628164.2574318005</v>
      </c>
      <c r="BO2604" s="8">
        <v>6924056.7023210507</v>
      </c>
      <c r="BP2604" s="8">
        <v>4472388.2583381366</v>
      </c>
      <c r="BQ2604" s="8">
        <v>-2451668.4439829141</v>
      </c>
      <c r="BR2604" s="8" t="str">
        <v>Yes</v>
      </c>
    </row>
    <row r="2605" spans="54:70" x14ac:dyDescent="0.2">
      <c r="BB2605" s="94"/>
      <c r="BL2605" s="8">
        <v>2556</v>
      </c>
      <c r="BM2605" s="8">
        <v>7279758.0969212102</v>
      </c>
      <c r="BN2605" s="8">
        <v>0</v>
      </c>
      <c r="BO2605" s="8">
        <v>7279758.0969212102</v>
      </c>
      <c r="BP2605" s="8">
        <v>3578184.5261110119</v>
      </c>
      <c r="BQ2605" s="8">
        <v>-3701573.5708101983</v>
      </c>
      <c r="BR2605" s="8" t="str">
        <v>Yes</v>
      </c>
    </row>
    <row r="2606" spans="54:70" x14ac:dyDescent="0.2">
      <c r="BB2606" s="94"/>
      <c r="BL2606" s="8">
        <v>2557</v>
      </c>
      <c r="BM2606" s="8">
        <v>5052142.0864737015</v>
      </c>
      <c r="BN2606" s="8">
        <v>3242882.1014147867</v>
      </c>
      <c r="BO2606" s="8">
        <v>8295024.1878884882</v>
      </c>
      <c r="BP2606" s="8">
        <v>4059294.7183600767</v>
      </c>
      <c r="BQ2606" s="8">
        <v>-4235729.4695284115</v>
      </c>
      <c r="BR2606" s="8" t="str">
        <v>Yes</v>
      </c>
    </row>
    <row r="2607" spans="54:70" x14ac:dyDescent="0.2">
      <c r="BB2607" s="94"/>
      <c r="BL2607" s="8">
        <v>2558</v>
      </c>
      <c r="BM2607" s="8">
        <v>8945963.8841171488</v>
      </c>
      <c r="BN2607" s="8">
        <v>11417607.992780382</v>
      </c>
      <c r="BO2607" s="8">
        <v>20363571.876897529</v>
      </c>
      <c r="BP2607" s="8">
        <v>2325076.8846876947</v>
      </c>
      <c r="BQ2607" s="8">
        <v>-18038494.992209833</v>
      </c>
      <c r="BR2607" s="8" t="str">
        <v>Yes</v>
      </c>
    </row>
    <row r="2608" spans="54:70" x14ac:dyDescent="0.2">
      <c r="BB2608" s="94"/>
      <c r="BL2608" s="8">
        <v>2559</v>
      </c>
      <c r="BM2608" s="8">
        <v>13069985.917077065</v>
      </c>
      <c r="BN2608" s="8">
        <v>8014175.6974099847</v>
      </c>
      <c r="BO2608" s="8">
        <v>21084161.614487048</v>
      </c>
      <c r="BP2608" s="8">
        <v>3017317.9508523671</v>
      </c>
      <c r="BQ2608" s="8">
        <v>-18066843.66363468</v>
      </c>
      <c r="BR2608" s="8" t="str">
        <v>Yes</v>
      </c>
    </row>
    <row r="2609" spans="54:70" x14ac:dyDescent="0.2">
      <c r="BB2609" s="94"/>
      <c r="BL2609" s="8">
        <v>2560</v>
      </c>
      <c r="BM2609" s="8">
        <v>4291643.0262874234</v>
      </c>
      <c r="BN2609" s="8">
        <v>0</v>
      </c>
      <c r="BO2609" s="8">
        <v>4291643.0262874234</v>
      </c>
      <c r="BP2609" s="8">
        <v>4530894.8124636859</v>
      </c>
      <c r="BQ2609" s="8">
        <v>239251.78617626242</v>
      </c>
      <c r="BR2609" s="8" t="str">
        <v>No</v>
      </c>
    </row>
    <row r="2610" spans="54:70" x14ac:dyDescent="0.2">
      <c r="BB2610" s="94"/>
      <c r="BL2610" s="8">
        <v>2561</v>
      </c>
      <c r="BM2610" s="8">
        <v>2141012.1339555001</v>
      </c>
      <c r="BN2610" s="8">
        <v>784874.05977184756</v>
      </c>
      <c r="BO2610" s="8">
        <v>2925886.1937273475</v>
      </c>
      <c r="BP2610" s="8">
        <v>3462607.2281026393</v>
      </c>
      <c r="BQ2610" s="8">
        <v>536721.03437529178</v>
      </c>
      <c r="BR2610" s="8" t="str">
        <v>No</v>
      </c>
    </row>
    <row r="2611" spans="54:70" x14ac:dyDescent="0.2">
      <c r="BB2611" s="94"/>
      <c r="BL2611" s="8">
        <v>2562</v>
      </c>
      <c r="BM2611" s="8">
        <v>3761544.3850307832</v>
      </c>
      <c r="BN2611" s="8">
        <v>4492374.7840532744</v>
      </c>
      <c r="BO2611" s="8">
        <v>8253919.1690840572</v>
      </c>
      <c r="BP2611" s="8">
        <v>3550510.3122295104</v>
      </c>
      <c r="BQ2611" s="8">
        <v>-4703408.8568545468</v>
      </c>
      <c r="BR2611" s="8" t="str">
        <v>Yes</v>
      </c>
    </row>
    <row r="2612" spans="54:70" x14ac:dyDescent="0.2">
      <c r="BB2612" s="94"/>
      <c r="BL2612" s="8">
        <v>2563</v>
      </c>
      <c r="BM2612" s="8">
        <v>3485615.67293627</v>
      </c>
      <c r="BN2612" s="8">
        <v>3390384.7540163207</v>
      </c>
      <c r="BO2612" s="8">
        <v>6876000.4269525912</v>
      </c>
      <c r="BP2612" s="8">
        <v>5164447.7660798784</v>
      </c>
      <c r="BQ2612" s="8">
        <v>-1711552.6608727127</v>
      </c>
      <c r="BR2612" s="8" t="str">
        <v>Yes</v>
      </c>
    </row>
    <row r="2613" spans="54:70" x14ac:dyDescent="0.2">
      <c r="BB2613" s="94"/>
      <c r="BL2613" s="8">
        <v>2564</v>
      </c>
      <c r="BM2613" s="8">
        <v>4410506.7418025658</v>
      </c>
      <c r="BN2613" s="8">
        <v>0</v>
      </c>
      <c r="BO2613" s="8">
        <v>4410506.7418025658</v>
      </c>
      <c r="BP2613" s="8">
        <v>3547880.3687407863</v>
      </c>
      <c r="BQ2613" s="8">
        <v>-862626.37306177942</v>
      </c>
      <c r="BR2613" s="8" t="str">
        <v>Yes</v>
      </c>
    </row>
    <row r="2614" spans="54:70" x14ac:dyDescent="0.2">
      <c r="BB2614" s="94"/>
      <c r="BL2614" s="8">
        <v>2565</v>
      </c>
      <c r="BM2614" s="8">
        <v>4698920.4766486362</v>
      </c>
      <c r="BN2614" s="8">
        <v>4265255.6231828062</v>
      </c>
      <c r="BO2614" s="8">
        <v>8964176.0998314433</v>
      </c>
      <c r="BP2614" s="8">
        <v>3898292.4949950785</v>
      </c>
      <c r="BQ2614" s="8">
        <v>-5065883.6048363652</v>
      </c>
      <c r="BR2614" s="8" t="str">
        <v>Yes</v>
      </c>
    </row>
    <row r="2615" spans="54:70" x14ac:dyDescent="0.2">
      <c r="BB2615" s="94"/>
      <c r="BL2615" s="8">
        <v>2566</v>
      </c>
      <c r="BM2615" s="8">
        <v>2262016.9713350339</v>
      </c>
      <c r="BN2615" s="8">
        <v>2078263.9385259876</v>
      </c>
      <c r="BO2615" s="8">
        <v>4340280.9098610217</v>
      </c>
      <c r="BP2615" s="8">
        <v>3562730.4907368487</v>
      </c>
      <c r="BQ2615" s="8">
        <v>-777550.419124173</v>
      </c>
      <c r="BR2615" s="8" t="str">
        <v>Yes</v>
      </c>
    </row>
    <row r="2616" spans="54:70" x14ac:dyDescent="0.2">
      <c r="BB2616" s="94"/>
      <c r="BL2616" s="8">
        <v>2567</v>
      </c>
      <c r="BM2616" s="8">
        <v>2682552.2045886908</v>
      </c>
      <c r="BN2616" s="8">
        <v>0</v>
      </c>
      <c r="BO2616" s="8">
        <v>2682552.2045886908</v>
      </c>
      <c r="BP2616" s="8">
        <v>2458287.1533546196</v>
      </c>
      <c r="BQ2616" s="8">
        <v>-224265.05123407114</v>
      </c>
      <c r="BR2616" s="8" t="str">
        <v>Yes</v>
      </c>
    </row>
    <row r="2617" spans="54:70" x14ac:dyDescent="0.2">
      <c r="BB2617" s="94"/>
      <c r="BL2617" s="8">
        <v>2568</v>
      </c>
      <c r="BM2617" s="8">
        <v>2932507.4945400478</v>
      </c>
      <c r="BN2617" s="8">
        <v>1343820.0741165162</v>
      </c>
      <c r="BO2617" s="8">
        <v>4276327.5686565638</v>
      </c>
      <c r="BP2617" s="8">
        <v>2351895.4223943031</v>
      </c>
      <c r="BQ2617" s="8">
        <v>-1924432.1462622606</v>
      </c>
      <c r="BR2617" s="8" t="str">
        <v>Yes</v>
      </c>
    </row>
    <row r="2618" spans="54:70" x14ac:dyDescent="0.2">
      <c r="BB2618" s="94"/>
      <c r="BL2618" s="8">
        <v>2569</v>
      </c>
      <c r="BM2618" s="8">
        <v>4663127.7478167033</v>
      </c>
      <c r="BN2618" s="8">
        <v>6112775.1263217274</v>
      </c>
      <c r="BO2618" s="8">
        <v>10775902.87413843</v>
      </c>
      <c r="BP2618" s="8">
        <v>6864968.7381267855</v>
      </c>
      <c r="BQ2618" s="8">
        <v>-3910934.1360116443</v>
      </c>
      <c r="BR2618" s="8" t="str">
        <v>Yes</v>
      </c>
    </row>
    <row r="2619" spans="54:70" x14ac:dyDescent="0.2">
      <c r="BB2619" s="94"/>
      <c r="BL2619" s="8">
        <v>2570</v>
      </c>
      <c r="BM2619" s="8">
        <v>8747419.4155607205</v>
      </c>
      <c r="BN2619" s="8">
        <v>0</v>
      </c>
      <c r="BO2619" s="8">
        <v>8747419.4155607205</v>
      </c>
      <c r="BP2619" s="8">
        <v>4717379.9188127602</v>
      </c>
      <c r="BQ2619" s="8">
        <v>-4030039.4967479603</v>
      </c>
      <c r="BR2619" s="8" t="str">
        <v>Yes</v>
      </c>
    </row>
    <row r="2620" spans="54:70" x14ac:dyDescent="0.2">
      <c r="BB2620" s="94"/>
      <c r="BL2620" s="8">
        <v>2571</v>
      </c>
      <c r="BM2620" s="8">
        <v>3286400.1896741176</v>
      </c>
      <c r="BN2620" s="8">
        <v>2414320.060000875</v>
      </c>
      <c r="BO2620" s="8">
        <v>5700720.2496749926</v>
      </c>
      <c r="BP2620" s="8">
        <v>4875920.2674657824</v>
      </c>
      <c r="BQ2620" s="8">
        <v>-824799.98220921028</v>
      </c>
      <c r="BR2620" s="8" t="str">
        <v>Yes</v>
      </c>
    </row>
    <row r="2621" spans="54:70" x14ac:dyDescent="0.2">
      <c r="BB2621" s="94"/>
      <c r="BL2621" s="8">
        <v>2572</v>
      </c>
      <c r="BM2621" s="8">
        <v>4635300.3177364469</v>
      </c>
      <c r="BN2621" s="8">
        <v>5042684.0559671372</v>
      </c>
      <c r="BO2621" s="8">
        <v>9677984.3737035841</v>
      </c>
      <c r="BP2621" s="8">
        <v>3503997.5501751727</v>
      </c>
      <c r="BQ2621" s="8">
        <v>-6173986.8235284109</v>
      </c>
      <c r="BR2621" s="8" t="str">
        <v>Yes</v>
      </c>
    </row>
    <row r="2622" spans="54:70" x14ac:dyDescent="0.2">
      <c r="BB2622" s="94"/>
      <c r="BL2622" s="8">
        <v>2573</v>
      </c>
      <c r="BM2622" s="8">
        <v>4291999.7157978099</v>
      </c>
      <c r="BN2622" s="8">
        <v>0</v>
      </c>
      <c r="BO2622" s="8">
        <v>4291999.7157978099</v>
      </c>
      <c r="BP2622" s="8">
        <v>2359884.3955450314</v>
      </c>
      <c r="BQ2622" s="8">
        <v>-1932115.3202527785</v>
      </c>
      <c r="BR2622" s="8" t="str">
        <v>Yes</v>
      </c>
    </row>
    <row r="2623" spans="54:70" x14ac:dyDescent="0.2">
      <c r="BB2623" s="94"/>
      <c r="BL2623" s="8">
        <v>2574</v>
      </c>
      <c r="BM2623" s="8">
        <v>3776559.096523894</v>
      </c>
      <c r="BN2623" s="8">
        <v>0</v>
      </c>
      <c r="BO2623" s="8">
        <v>3776559.096523894</v>
      </c>
      <c r="BP2623" s="8">
        <v>2133707.8913461445</v>
      </c>
      <c r="BQ2623" s="8">
        <v>-1642851.2051777495</v>
      </c>
      <c r="BR2623" s="8" t="str">
        <v>Yes</v>
      </c>
    </row>
    <row r="2624" spans="54:70" x14ac:dyDescent="0.2">
      <c r="BB2624" s="94"/>
      <c r="BL2624" s="8">
        <v>2575</v>
      </c>
      <c r="BM2624" s="8">
        <v>3682246.2918478609</v>
      </c>
      <c r="BN2624" s="8">
        <v>3507542.8529940918</v>
      </c>
      <c r="BO2624" s="8">
        <v>7189789.1448419522</v>
      </c>
      <c r="BP2624" s="8">
        <v>6746364.6261880063</v>
      </c>
      <c r="BQ2624" s="8">
        <v>-443424.518653946</v>
      </c>
      <c r="BR2624" s="8" t="str">
        <v>Yes</v>
      </c>
    </row>
    <row r="2625" spans="54:70" x14ac:dyDescent="0.2">
      <c r="BB2625" s="94"/>
      <c r="BL2625" s="8">
        <v>2576</v>
      </c>
      <c r="BM2625" s="8">
        <v>1874470.9996079784</v>
      </c>
      <c r="BN2625" s="8">
        <v>0</v>
      </c>
      <c r="BO2625" s="8">
        <v>1874470.9996079784</v>
      </c>
      <c r="BP2625" s="8">
        <v>5817495.3586314637</v>
      </c>
      <c r="BQ2625" s="8">
        <v>3943024.3590234853</v>
      </c>
      <c r="BR2625" s="8" t="str">
        <v>No</v>
      </c>
    </row>
    <row r="2626" spans="54:70" x14ac:dyDescent="0.2">
      <c r="BB2626" s="94"/>
      <c r="BL2626" s="8">
        <v>2577</v>
      </c>
      <c r="BM2626" s="8">
        <v>4087708.6211526487</v>
      </c>
      <c r="BN2626" s="8">
        <v>2238582.0524901845</v>
      </c>
      <c r="BO2626" s="8">
        <v>6326290.6736428328</v>
      </c>
      <c r="BP2626" s="8">
        <v>5545708.974095121</v>
      </c>
      <c r="BQ2626" s="8">
        <v>-780581.69954771176</v>
      </c>
      <c r="BR2626" s="8" t="str">
        <v>Yes</v>
      </c>
    </row>
    <row r="2627" spans="54:70" x14ac:dyDescent="0.2">
      <c r="BB2627" s="94"/>
      <c r="BL2627" s="8">
        <v>2578</v>
      </c>
      <c r="BM2627" s="8">
        <v>4865150.2850944288</v>
      </c>
      <c r="BN2627" s="8">
        <v>0</v>
      </c>
      <c r="BO2627" s="8">
        <v>4865150.2850944288</v>
      </c>
      <c r="BP2627" s="8">
        <v>6710584.6818512622</v>
      </c>
      <c r="BQ2627" s="8">
        <v>1845434.3967568334</v>
      </c>
      <c r="BR2627" s="8" t="str">
        <v>No</v>
      </c>
    </row>
    <row r="2628" spans="54:70" x14ac:dyDescent="0.2">
      <c r="BB2628" s="94"/>
      <c r="BL2628" s="8">
        <v>2579</v>
      </c>
      <c r="BM2628" s="8">
        <v>3742084.4354959754</v>
      </c>
      <c r="BN2628" s="8">
        <v>0</v>
      </c>
      <c r="BO2628" s="8">
        <v>3742084.4354959754</v>
      </c>
      <c r="BP2628" s="8">
        <v>2309235.715670466</v>
      </c>
      <c r="BQ2628" s="8">
        <v>-1432848.7198255095</v>
      </c>
      <c r="BR2628" s="8" t="str">
        <v>Yes</v>
      </c>
    </row>
    <row r="2629" spans="54:70" x14ac:dyDescent="0.2">
      <c r="BB2629" s="94"/>
      <c r="BL2629" s="8">
        <v>2580</v>
      </c>
      <c r="BM2629" s="8">
        <v>5397115.8277628059</v>
      </c>
      <c r="BN2629" s="8">
        <v>0</v>
      </c>
      <c r="BO2629" s="8">
        <v>5397115.8277628059</v>
      </c>
      <c r="BP2629" s="8">
        <v>3926212.9225465236</v>
      </c>
      <c r="BQ2629" s="8">
        <v>-1470902.9052162822</v>
      </c>
      <c r="BR2629" s="8" t="str">
        <v>Yes</v>
      </c>
    </row>
    <row r="2630" spans="54:70" x14ac:dyDescent="0.2">
      <c r="BB2630" s="94"/>
      <c r="BL2630" s="8">
        <v>2581</v>
      </c>
      <c r="BM2630" s="8">
        <v>4337813.1418239474</v>
      </c>
      <c r="BN2630" s="8">
        <v>5416358.5692011481</v>
      </c>
      <c r="BO2630" s="8">
        <v>9754171.7110250965</v>
      </c>
      <c r="BP2630" s="8">
        <v>6115704.4822070273</v>
      </c>
      <c r="BQ2630" s="8">
        <v>-3638467.2288180692</v>
      </c>
      <c r="BR2630" s="8" t="str">
        <v>Yes</v>
      </c>
    </row>
    <row r="2631" spans="54:70" x14ac:dyDescent="0.2">
      <c r="BB2631" s="94"/>
      <c r="BL2631" s="8">
        <v>2582</v>
      </c>
      <c r="BM2631" s="8">
        <v>4571628.7391789714</v>
      </c>
      <c r="BN2631" s="8">
        <v>0</v>
      </c>
      <c r="BO2631" s="8">
        <v>4571628.7391789714</v>
      </c>
      <c r="BP2631" s="8">
        <v>2464886.4290651376</v>
      </c>
      <c r="BQ2631" s="8">
        <v>-2106742.3101138338</v>
      </c>
      <c r="BR2631" s="8" t="str">
        <v>Yes</v>
      </c>
    </row>
    <row r="2632" spans="54:70" x14ac:dyDescent="0.2">
      <c r="BB2632" s="94"/>
      <c r="BL2632" s="8">
        <v>2583</v>
      </c>
      <c r="BM2632" s="8">
        <v>1991593.2919214247</v>
      </c>
      <c r="BN2632" s="8">
        <v>857249.16954822023</v>
      </c>
      <c r="BO2632" s="8">
        <v>2848842.4614696447</v>
      </c>
      <c r="BP2632" s="8">
        <v>2416224.1342512039</v>
      </c>
      <c r="BQ2632" s="8">
        <v>-432618.32721844083</v>
      </c>
      <c r="BR2632" s="8" t="str">
        <v>Yes</v>
      </c>
    </row>
    <row r="2633" spans="54:70" x14ac:dyDescent="0.2">
      <c r="BB2633" s="94"/>
      <c r="BL2633" s="8">
        <v>2584</v>
      </c>
      <c r="BM2633" s="8">
        <v>3669959.4717979599</v>
      </c>
      <c r="BN2633" s="8">
        <v>0</v>
      </c>
      <c r="BO2633" s="8">
        <v>3669959.4717979599</v>
      </c>
      <c r="BP2633" s="8">
        <v>4245706.9067037106</v>
      </c>
      <c r="BQ2633" s="8">
        <v>575747.43490575068</v>
      </c>
      <c r="BR2633" s="8" t="str">
        <v>No</v>
      </c>
    </row>
    <row r="2634" spans="54:70" x14ac:dyDescent="0.2">
      <c r="BB2634" s="94"/>
      <c r="BL2634" s="8">
        <v>2585</v>
      </c>
      <c r="BM2634" s="8">
        <v>3175324.483591889</v>
      </c>
      <c r="BN2634" s="8">
        <v>0</v>
      </c>
      <c r="BO2634" s="8">
        <v>3175324.483591889</v>
      </c>
      <c r="BP2634" s="8">
        <v>4231819.84117564</v>
      </c>
      <c r="BQ2634" s="8">
        <v>1056495.357583751</v>
      </c>
      <c r="BR2634" s="8" t="str">
        <v>No</v>
      </c>
    </row>
    <row r="2635" spans="54:70" x14ac:dyDescent="0.2">
      <c r="BB2635" s="94"/>
      <c r="BL2635" s="8">
        <v>2586</v>
      </c>
      <c r="BM2635" s="8">
        <v>3136234.9698126051</v>
      </c>
      <c r="BN2635" s="8">
        <v>0</v>
      </c>
      <c r="BO2635" s="8">
        <v>3136234.9698126051</v>
      </c>
      <c r="BP2635" s="8">
        <v>4588790.604987259</v>
      </c>
      <c r="BQ2635" s="8">
        <v>1452555.635174654</v>
      </c>
      <c r="BR2635" s="8" t="str">
        <v>No</v>
      </c>
    </row>
    <row r="2636" spans="54:70" x14ac:dyDescent="0.2">
      <c r="BB2636" s="94"/>
      <c r="BL2636" s="8">
        <v>2587</v>
      </c>
      <c r="BM2636" s="8">
        <v>6707356.9282223796</v>
      </c>
      <c r="BN2636" s="8">
        <v>0</v>
      </c>
      <c r="BO2636" s="8">
        <v>6707356.9282223796</v>
      </c>
      <c r="BP2636" s="8">
        <v>6078877.5102698868</v>
      </c>
      <c r="BQ2636" s="8">
        <v>-628479.41795249283</v>
      </c>
      <c r="BR2636" s="8" t="str">
        <v>Yes</v>
      </c>
    </row>
    <row r="2637" spans="54:70" x14ac:dyDescent="0.2">
      <c r="BB2637" s="94"/>
      <c r="BL2637" s="8">
        <v>2588</v>
      </c>
      <c r="BM2637" s="8">
        <v>2963502.3593897726</v>
      </c>
      <c r="BN2637" s="8">
        <v>2556935.5878200815</v>
      </c>
      <c r="BO2637" s="8">
        <v>5520437.9472098537</v>
      </c>
      <c r="BP2637" s="8">
        <v>2414070.0223344713</v>
      </c>
      <c r="BQ2637" s="8">
        <v>-3106367.9248753823</v>
      </c>
      <c r="BR2637" s="8" t="str">
        <v>Yes</v>
      </c>
    </row>
    <row r="2638" spans="54:70" x14ac:dyDescent="0.2">
      <c r="BB2638" s="94"/>
      <c r="BL2638" s="8">
        <v>2589</v>
      </c>
      <c r="BM2638" s="8">
        <v>6240787.8827598672</v>
      </c>
      <c r="BN2638" s="8">
        <v>0</v>
      </c>
      <c r="BO2638" s="8">
        <v>6240787.8827598672</v>
      </c>
      <c r="BP2638" s="8">
        <v>6074976.5051302155</v>
      </c>
      <c r="BQ2638" s="8">
        <v>-165811.37762965169</v>
      </c>
      <c r="BR2638" s="8" t="str">
        <v>Yes</v>
      </c>
    </row>
    <row r="2639" spans="54:70" x14ac:dyDescent="0.2">
      <c r="BB2639" s="94"/>
      <c r="BL2639" s="8">
        <v>2590</v>
      </c>
      <c r="BM2639" s="8">
        <v>3515618.3620636705</v>
      </c>
      <c r="BN2639" s="8">
        <v>0</v>
      </c>
      <c r="BO2639" s="8">
        <v>3515618.3620636705</v>
      </c>
      <c r="BP2639" s="8">
        <v>2456986.9453650452</v>
      </c>
      <c r="BQ2639" s="8">
        <v>-1058631.4166986253</v>
      </c>
      <c r="BR2639" s="8" t="str">
        <v>Yes</v>
      </c>
    </row>
    <row r="2640" spans="54:70" x14ac:dyDescent="0.2">
      <c r="BB2640" s="94"/>
      <c r="BL2640" s="8">
        <v>2591</v>
      </c>
      <c r="BM2640" s="8">
        <v>4101166.4171166159</v>
      </c>
      <c r="BN2640" s="8">
        <v>742209.66978321597</v>
      </c>
      <c r="BO2640" s="8">
        <v>4843376.0868998319</v>
      </c>
      <c r="BP2640" s="8">
        <v>6539580.0779841682</v>
      </c>
      <c r="BQ2640" s="8">
        <v>1696203.9910843363</v>
      </c>
      <c r="BR2640" s="8" t="str">
        <v>No</v>
      </c>
    </row>
    <row r="2641" spans="54:70" x14ac:dyDescent="0.2">
      <c r="BB2641" s="94"/>
      <c r="BL2641" s="8">
        <v>2592</v>
      </c>
      <c r="BM2641" s="8">
        <v>4021595.6101814946</v>
      </c>
      <c r="BN2641" s="8">
        <v>0</v>
      </c>
      <c r="BO2641" s="8">
        <v>4021595.6101814946</v>
      </c>
      <c r="BP2641" s="8">
        <v>3413764.2789000147</v>
      </c>
      <c r="BQ2641" s="8">
        <v>-607831.33128147991</v>
      </c>
      <c r="BR2641" s="8" t="str">
        <v>Yes</v>
      </c>
    </row>
    <row r="2642" spans="54:70" x14ac:dyDescent="0.2">
      <c r="BB2642" s="94"/>
      <c r="BL2642" s="8">
        <v>2593</v>
      </c>
      <c r="BM2642" s="8">
        <v>11927365.898771811</v>
      </c>
      <c r="BN2642" s="8">
        <v>0</v>
      </c>
      <c r="BO2642" s="8">
        <v>11927365.898771811</v>
      </c>
      <c r="BP2642" s="8">
        <v>3990582.797546966</v>
      </c>
      <c r="BQ2642" s="8">
        <v>-7936783.1012248453</v>
      </c>
      <c r="BR2642" s="8" t="str">
        <v>Yes</v>
      </c>
    </row>
    <row r="2643" spans="54:70" x14ac:dyDescent="0.2">
      <c r="BB2643" s="94"/>
      <c r="BL2643" s="8">
        <v>2594</v>
      </c>
      <c r="BM2643" s="8">
        <v>4982815.6983043877</v>
      </c>
      <c r="BN2643" s="8">
        <v>1174364.4360508446</v>
      </c>
      <c r="BO2643" s="8">
        <v>6157180.1343552321</v>
      </c>
      <c r="BP2643" s="8">
        <v>5951704.2640783014</v>
      </c>
      <c r="BQ2643" s="8">
        <v>-205475.87027693074</v>
      </c>
      <c r="BR2643" s="8" t="str">
        <v>Yes</v>
      </c>
    </row>
    <row r="2644" spans="54:70" x14ac:dyDescent="0.2">
      <c r="BB2644" s="94"/>
      <c r="BL2644" s="8">
        <v>2595</v>
      </c>
      <c r="BM2644" s="8">
        <v>12865307.856202902</v>
      </c>
      <c r="BN2644" s="8">
        <v>0</v>
      </c>
      <c r="BO2644" s="8">
        <v>12865307.856202902</v>
      </c>
      <c r="BP2644" s="8">
        <v>4230005.4147917246</v>
      </c>
      <c r="BQ2644" s="8">
        <v>-8635302.4414111786</v>
      </c>
      <c r="BR2644" s="8" t="str">
        <v>Yes</v>
      </c>
    </row>
    <row r="2645" spans="54:70" x14ac:dyDescent="0.2">
      <c r="BB2645" s="94"/>
      <c r="BL2645" s="8">
        <v>2596</v>
      </c>
      <c r="BM2645" s="8">
        <v>2432403.6805008901</v>
      </c>
      <c r="BN2645" s="8">
        <v>0</v>
      </c>
      <c r="BO2645" s="8">
        <v>2432403.6805008901</v>
      </c>
      <c r="BP2645" s="8">
        <v>6258255.1271653827</v>
      </c>
      <c r="BQ2645" s="8">
        <v>3825851.4466644926</v>
      </c>
      <c r="BR2645" s="8" t="str">
        <v>No</v>
      </c>
    </row>
    <row r="2646" spans="54:70" x14ac:dyDescent="0.2">
      <c r="BB2646" s="94"/>
      <c r="BL2646" s="8">
        <v>2597</v>
      </c>
      <c r="BM2646" s="8">
        <v>5184040.27152838</v>
      </c>
      <c r="BN2646" s="8">
        <v>6431322.2608022373</v>
      </c>
      <c r="BO2646" s="8">
        <v>11615362.532330617</v>
      </c>
      <c r="BP2646" s="8">
        <v>3174587.7087633354</v>
      </c>
      <c r="BQ2646" s="8">
        <v>-8440774.8235672824</v>
      </c>
      <c r="BR2646" s="8" t="str">
        <v>Yes</v>
      </c>
    </row>
    <row r="2647" spans="54:70" x14ac:dyDescent="0.2">
      <c r="BB2647" s="94"/>
      <c r="BL2647" s="8">
        <v>2598</v>
      </c>
      <c r="BM2647" s="8">
        <v>7655571.9110777685</v>
      </c>
      <c r="BN2647" s="8">
        <v>6495966.6501736622</v>
      </c>
      <c r="BO2647" s="8">
        <v>14151538.561251432</v>
      </c>
      <c r="BP2647" s="8">
        <v>6097065.263413487</v>
      </c>
      <c r="BQ2647" s="8">
        <v>-8054473.2978379447</v>
      </c>
      <c r="BR2647" s="8" t="str">
        <v>Yes</v>
      </c>
    </row>
    <row r="2648" spans="54:70" x14ac:dyDescent="0.2">
      <c r="BB2648" s="94"/>
      <c r="BL2648" s="8">
        <v>2599</v>
      </c>
      <c r="BM2648" s="8">
        <v>3994630.519235475</v>
      </c>
      <c r="BN2648" s="8">
        <v>1813510.4001910849</v>
      </c>
      <c r="BO2648" s="8">
        <v>5808140.9194265604</v>
      </c>
      <c r="BP2648" s="8">
        <v>4955088.6341216872</v>
      </c>
      <c r="BQ2648" s="8">
        <v>-853052.28530487325</v>
      </c>
      <c r="BR2648" s="8" t="str">
        <v>Yes</v>
      </c>
    </row>
    <row r="2649" spans="54:70" x14ac:dyDescent="0.2">
      <c r="BB2649" s="94"/>
      <c r="BL2649" s="8">
        <v>2600</v>
      </c>
      <c r="BM2649" s="8">
        <v>9545057.7907875776</v>
      </c>
      <c r="BN2649" s="8">
        <v>9948005.2231616676</v>
      </c>
      <c r="BO2649" s="8">
        <v>19493063.013949245</v>
      </c>
      <c r="BP2649" s="8">
        <v>3709853.1979910093</v>
      </c>
      <c r="BQ2649" s="8">
        <v>-15783209.815958235</v>
      </c>
      <c r="BR2649" s="8" t="str">
        <v>Yes</v>
      </c>
    </row>
    <row r="2650" spans="54:70" x14ac:dyDescent="0.2">
      <c r="BB2650" s="94"/>
      <c r="BL2650" s="8">
        <v>2601</v>
      </c>
      <c r="BM2650" s="8">
        <v>5207782.6343905898</v>
      </c>
      <c r="BN2650" s="8">
        <v>0</v>
      </c>
      <c r="BO2650" s="8">
        <v>5207782.6343905898</v>
      </c>
      <c r="BP2650" s="8">
        <v>4138302.7809392884</v>
      </c>
      <c r="BQ2650" s="8">
        <v>-1069479.8534513013</v>
      </c>
      <c r="BR2650" s="8" t="str">
        <v>Yes</v>
      </c>
    </row>
    <row r="2651" spans="54:70" x14ac:dyDescent="0.2">
      <c r="BB2651" s="94"/>
      <c r="BL2651" s="8">
        <v>2602</v>
      </c>
      <c r="BM2651" s="8">
        <v>3936217.9146009372</v>
      </c>
      <c r="BN2651" s="8">
        <v>0</v>
      </c>
      <c r="BO2651" s="8">
        <v>3936217.9146009372</v>
      </c>
      <c r="BP2651" s="8">
        <v>4309859.6049830029</v>
      </c>
      <c r="BQ2651" s="8">
        <v>373641.69038206572</v>
      </c>
      <c r="BR2651" s="8" t="str">
        <v>No</v>
      </c>
    </row>
    <row r="2652" spans="54:70" x14ac:dyDescent="0.2">
      <c r="BB2652" s="94"/>
      <c r="BL2652" s="8">
        <v>2603</v>
      </c>
      <c r="BM2652" s="8">
        <v>3207425.335461122</v>
      </c>
      <c r="BN2652" s="8">
        <v>612191.34042195661</v>
      </c>
      <c r="BO2652" s="8">
        <v>3819616.6758830785</v>
      </c>
      <c r="BP2652" s="8">
        <v>6867648.5422302084</v>
      </c>
      <c r="BQ2652" s="8">
        <v>3048031.8663471299</v>
      </c>
      <c r="BR2652" s="8" t="str">
        <v>No</v>
      </c>
    </row>
    <row r="2653" spans="54:70" x14ac:dyDescent="0.2">
      <c r="BB2653" s="94"/>
      <c r="BL2653" s="8">
        <v>2604</v>
      </c>
      <c r="BM2653" s="8">
        <v>4544326.1392976632</v>
      </c>
      <c r="BN2653" s="8">
        <v>0</v>
      </c>
      <c r="BO2653" s="8">
        <v>4544326.1392976632</v>
      </c>
      <c r="BP2653" s="8">
        <v>2262811.9337810436</v>
      </c>
      <c r="BQ2653" s="8">
        <v>-2281514.2055166196</v>
      </c>
      <c r="BR2653" s="8" t="str">
        <v>Yes</v>
      </c>
    </row>
    <row r="2654" spans="54:70" x14ac:dyDescent="0.2">
      <c r="BB2654" s="94"/>
      <c r="BL2654" s="8">
        <v>2605</v>
      </c>
      <c r="BM2654" s="8">
        <v>5347379.2011503223</v>
      </c>
      <c r="BN2654" s="8">
        <v>3017859.5360539048</v>
      </c>
      <c r="BO2654" s="8">
        <v>8365238.7372042276</v>
      </c>
      <c r="BP2654" s="8">
        <v>5823727.6348069124</v>
      </c>
      <c r="BQ2654" s="8">
        <v>-2541511.1023973152</v>
      </c>
      <c r="BR2654" s="8" t="str">
        <v>Yes</v>
      </c>
    </row>
    <row r="2655" spans="54:70" x14ac:dyDescent="0.2">
      <c r="BB2655" s="94"/>
      <c r="BL2655" s="8">
        <v>2606</v>
      </c>
      <c r="BM2655" s="8">
        <v>2014627.9482034049</v>
      </c>
      <c r="BN2655" s="8">
        <v>0</v>
      </c>
      <c r="BO2655" s="8">
        <v>2014627.9482034049</v>
      </c>
      <c r="BP2655" s="8">
        <v>2271065.6059127687</v>
      </c>
      <c r="BQ2655" s="8">
        <v>256437.65770936385</v>
      </c>
      <c r="BR2655" s="8" t="str">
        <v>No</v>
      </c>
    </row>
    <row r="2656" spans="54:70" x14ac:dyDescent="0.2">
      <c r="BB2656" s="94"/>
      <c r="BL2656" s="8">
        <v>2607</v>
      </c>
      <c r="BM2656" s="8">
        <v>2605957.5673456099</v>
      </c>
      <c r="BN2656" s="8">
        <v>0</v>
      </c>
      <c r="BO2656" s="8">
        <v>2605957.5673456099</v>
      </c>
      <c r="BP2656" s="8">
        <v>2969524.1280561518</v>
      </c>
      <c r="BQ2656" s="8">
        <v>363566.5607105419</v>
      </c>
      <c r="BR2656" s="8" t="str">
        <v>No</v>
      </c>
    </row>
    <row r="2657" spans="54:70" x14ac:dyDescent="0.2">
      <c r="BB2657" s="94"/>
      <c r="BL2657" s="8">
        <v>2608</v>
      </c>
      <c r="BM2657" s="8">
        <v>3083319.9835661692</v>
      </c>
      <c r="BN2657" s="8">
        <v>2251507.931903366</v>
      </c>
      <c r="BO2657" s="8">
        <v>5334827.9154695347</v>
      </c>
      <c r="BP2657" s="8">
        <v>6121028.1948273834</v>
      </c>
      <c r="BQ2657" s="8">
        <v>786200.27935784869</v>
      </c>
      <c r="BR2657" s="8" t="str">
        <v>No</v>
      </c>
    </row>
    <row r="2658" spans="54:70" x14ac:dyDescent="0.2">
      <c r="BB2658" s="94"/>
      <c r="BL2658" s="8">
        <v>2609</v>
      </c>
      <c r="BM2658" s="8">
        <v>4659854.1799661946</v>
      </c>
      <c r="BN2658" s="8">
        <v>8381383.7941336613</v>
      </c>
      <c r="BO2658" s="8">
        <v>13041237.974099856</v>
      </c>
      <c r="BP2658" s="8">
        <v>3334625.8507601419</v>
      </c>
      <c r="BQ2658" s="8">
        <v>-9706612.1233397145</v>
      </c>
      <c r="BR2658" s="8" t="str">
        <v>Yes</v>
      </c>
    </row>
    <row r="2659" spans="54:70" x14ac:dyDescent="0.2">
      <c r="BB2659" s="94"/>
      <c r="BL2659" s="8">
        <v>2610</v>
      </c>
      <c r="BM2659" s="8">
        <v>7339478.3507756647</v>
      </c>
      <c r="BN2659" s="8">
        <v>8025071.2144348621</v>
      </c>
      <c r="BO2659" s="8">
        <v>15364549.565210527</v>
      </c>
      <c r="BP2659" s="8">
        <v>6477805.4026108291</v>
      </c>
      <c r="BQ2659" s="8">
        <v>-8886744.1625996977</v>
      </c>
      <c r="BR2659" s="8" t="str">
        <v>Yes</v>
      </c>
    </row>
    <row r="2660" spans="54:70" x14ac:dyDescent="0.2">
      <c r="BB2660" s="94"/>
      <c r="BL2660" s="8">
        <v>2611</v>
      </c>
      <c r="BM2660" s="8">
        <v>2653296.5415896308</v>
      </c>
      <c r="BN2660" s="8">
        <v>3738288.3327515763</v>
      </c>
      <c r="BO2660" s="8">
        <v>6391584.8743412066</v>
      </c>
      <c r="BP2660" s="8">
        <v>2259602.4837274747</v>
      </c>
      <c r="BQ2660" s="8">
        <v>-4131982.3906137319</v>
      </c>
      <c r="BR2660" s="8" t="str">
        <v>Yes</v>
      </c>
    </row>
    <row r="2661" spans="54:70" x14ac:dyDescent="0.2">
      <c r="BB2661" s="94"/>
      <c r="BL2661" s="8">
        <v>2612</v>
      </c>
      <c r="BM2661" s="8">
        <v>3755008.3863824671</v>
      </c>
      <c r="BN2661" s="8">
        <v>0</v>
      </c>
      <c r="BO2661" s="8">
        <v>3755008.3863824671</v>
      </c>
      <c r="BP2661" s="8">
        <v>4045798.3195378184</v>
      </c>
      <c r="BQ2661" s="8">
        <v>290789.93315535132</v>
      </c>
      <c r="BR2661" s="8" t="str">
        <v>No</v>
      </c>
    </row>
    <row r="2662" spans="54:70" x14ac:dyDescent="0.2">
      <c r="BB2662" s="94"/>
      <c r="BL2662" s="8">
        <v>2613</v>
      </c>
      <c r="BM2662" s="8">
        <v>5025404.6299746316</v>
      </c>
      <c r="BN2662" s="8">
        <v>0</v>
      </c>
      <c r="BO2662" s="8">
        <v>5025404.6299746316</v>
      </c>
      <c r="BP2662" s="8">
        <v>3260604.5637628147</v>
      </c>
      <c r="BQ2662" s="8">
        <v>-1764800.0662118169</v>
      </c>
      <c r="BR2662" s="8" t="str">
        <v>Yes</v>
      </c>
    </row>
    <row r="2663" spans="54:70" x14ac:dyDescent="0.2">
      <c r="BB2663" s="94"/>
      <c r="BL2663" s="8">
        <v>2614</v>
      </c>
      <c r="BM2663" s="8">
        <v>3706206.4506956013</v>
      </c>
      <c r="BN2663" s="8">
        <v>6634474.980720114</v>
      </c>
      <c r="BO2663" s="8">
        <v>10340681.431415714</v>
      </c>
      <c r="BP2663" s="8">
        <v>6484031.4017551281</v>
      </c>
      <c r="BQ2663" s="8">
        <v>-3856650.0296605863</v>
      </c>
      <c r="BR2663" s="8" t="str">
        <v>Yes</v>
      </c>
    </row>
    <row r="2664" spans="54:70" x14ac:dyDescent="0.2">
      <c r="BB2664" s="94"/>
      <c r="BL2664" s="8">
        <v>2615</v>
      </c>
      <c r="BM2664" s="8">
        <v>13850584.181843979</v>
      </c>
      <c r="BN2664" s="8">
        <v>0</v>
      </c>
      <c r="BO2664" s="8">
        <v>13850584.181843979</v>
      </c>
      <c r="BP2664" s="8">
        <v>6014986.7470888896</v>
      </c>
      <c r="BQ2664" s="8">
        <v>-7835597.4347550897</v>
      </c>
      <c r="BR2664" s="8" t="str">
        <v>Yes</v>
      </c>
    </row>
    <row r="2665" spans="54:70" x14ac:dyDescent="0.2">
      <c r="BB2665" s="94"/>
      <c r="BL2665" s="8">
        <v>2616</v>
      </c>
      <c r="BM2665" s="8">
        <v>2936424.6812280118</v>
      </c>
      <c r="BN2665" s="8">
        <v>0</v>
      </c>
      <c r="BO2665" s="8">
        <v>2936424.6812280118</v>
      </c>
      <c r="BP2665" s="8">
        <v>4095506.1692048805</v>
      </c>
      <c r="BQ2665" s="8">
        <v>1159081.4879768686</v>
      </c>
      <c r="BR2665" s="8" t="str">
        <v>No</v>
      </c>
    </row>
    <row r="2666" spans="54:70" x14ac:dyDescent="0.2">
      <c r="BB2666" s="94"/>
      <c r="BL2666" s="8">
        <v>2617</v>
      </c>
      <c r="BM2666" s="8">
        <v>4581212.9623525804</v>
      </c>
      <c r="BN2666" s="8">
        <v>0</v>
      </c>
      <c r="BO2666" s="8">
        <v>4581212.9623525804</v>
      </c>
      <c r="BP2666" s="8">
        <v>6342192.509975886</v>
      </c>
      <c r="BQ2666" s="8">
        <v>1760979.5476233056</v>
      </c>
      <c r="BR2666" s="8" t="str">
        <v>No</v>
      </c>
    </row>
    <row r="2667" spans="54:70" x14ac:dyDescent="0.2">
      <c r="BB2667" s="94"/>
      <c r="BL2667" s="8">
        <v>2618</v>
      </c>
      <c r="BM2667" s="8">
        <v>4338153.286779752</v>
      </c>
      <c r="BN2667" s="8">
        <v>0</v>
      </c>
      <c r="BO2667" s="8">
        <v>4338153.286779752</v>
      </c>
      <c r="BP2667" s="8">
        <v>3812365.1761652818</v>
      </c>
      <c r="BQ2667" s="8">
        <v>-525788.11061447021</v>
      </c>
      <c r="BR2667" s="8" t="str">
        <v>Yes</v>
      </c>
    </row>
    <row r="2668" spans="54:70" x14ac:dyDescent="0.2">
      <c r="BB2668" s="94"/>
      <c r="BL2668" s="8">
        <v>2619</v>
      </c>
      <c r="BM2668" s="8">
        <v>3316840.3263592324</v>
      </c>
      <c r="BN2668" s="8">
        <v>0</v>
      </c>
      <c r="BO2668" s="8">
        <v>3316840.3263592324</v>
      </c>
      <c r="BP2668" s="8">
        <v>2254971.7916913666</v>
      </c>
      <c r="BQ2668" s="8">
        <v>-1061868.5346678658</v>
      </c>
      <c r="BR2668" s="8" t="str">
        <v>Yes</v>
      </c>
    </row>
    <row r="2669" spans="54:70" x14ac:dyDescent="0.2">
      <c r="BB2669" s="94"/>
      <c r="BL2669" s="8">
        <v>2620</v>
      </c>
      <c r="BM2669" s="8">
        <v>3496261.5926609505</v>
      </c>
      <c r="BN2669" s="8">
        <v>0</v>
      </c>
      <c r="BO2669" s="8">
        <v>3496261.5926609505</v>
      </c>
      <c r="BP2669" s="8">
        <v>3358809.804753677</v>
      </c>
      <c r="BQ2669" s="8">
        <v>-137451.78790727351</v>
      </c>
      <c r="BR2669" s="8" t="str">
        <v>Yes</v>
      </c>
    </row>
    <row r="2670" spans="54:70" x14ac:dyDescent="0.2">
      <c r="BB2670" s="94"/>
      <c r="BL2670" s="8">
        <v>2621</v>
      </c>
      <c r="BM2670" s="8">
        <v>6150187.5141429715</v>
      </c>
      <c r="BN2670" s="8">
        <v>3486998.4632160729</v>
      </c>
      <c r="BO2670" s="8">
        <v>9637185.9773590453</v>
      </c>
      <c r="BP2670" s="8">
        <v>3324114.6745107281</v>
      </c>
      <c r="BQ2670" s="8">
        <v>-6313071.3028483167</v>
      </c>
      <c r="BR2670" s="8" t="str">
        <v>Yes</v>
      </c>
    </row>
    <row r="2671" spans="54:70" x14ac:dyDescent="0.2">
      <c r="BB2671" s="94"/>
      <c r="BL2671" s="8">
        <v>2622</v>
      </c>
      <c r="BM2671" s="8">
        <v>1868728.3552677578</v>
      </c>
      <c r="BN2671" s="8">
        <v>639227.37345932657</v>
      </c>
      <c r="BO2671" s="8">
        <v>2507955.7287270846</v>
      </c>
      <c r="BP2671" s="8">
        <v>4226187.2402535537</v>
      </c>
      <c r="BQ2671" s="8">
        <v>1718231.5115264691</v>
      </c>
      <c r="BR2671" s="8" t="str">
        <v>No</v>
      </c>
    </row>
    <row r="2672" spans="54:70" x14ac:dyDescent="0.2">
      <c r="BB2672" s="94"/>
      <c r="BL2672" s="8">
        <v>2623</v>
      </c>
      <c r="BM2672" s="8">
        <v>8514586.9959071837</v>
      </c>
      <c r="BN2672" s="8">
        <v>0</v>
      </c>
      <c r="BO2672" s="8">
        <v>8514586.9959071837</v>
      </c>
      <c r="BP2672" s="8">
        <v>3071135.500071642</v>
      </c>
      <c r="BQ2672" s="8">
        <v>-5443451.4958355417</v>
      </c>
      <c r="BR2672" s="8" t="str">
        <v>Yes</v>
      </c>
    </row>
    <row r="2673" spans="54:70" x14ac:dyDescent="0.2">
      <c r="BB2673" s="94"/>
      <c r="BL2673" s="8">
        <v>2624</v>
      </c>
      <c r="BM2673" s="8">
        <v>6984367.2687675189</v>
      </c>
      <c r="BN2673" s="8">
        <v>4930774.2908375366</v>
      </c>
      <c r="BO2673" s="8">
        <v>11915141.559605055</v>
      </c>
      <c r="BP2673" s="8">
        <v>6287784.2409909358</v>
      </c>
      <c r="BQ2673" s="8">
        <v>-5627357.3186141187</v>
      </c>
      <c r="BR2673" s="8" t="str">
        <v>Yes</v>
      </c>
    </row>
    <row r="2674" spans="54:70" x14ac:dyDescent="0.2">
      <c r="BB2674" s="94"/>
      <c r="BL2674" s="8">
        <v>2625</v>
      </c>
      <c r="BM2674" s="8">
        <v>30091218.651366577</v>
      </c>
      <c r="BN2674" s="8">
        <v>0</v>
      </c>
      <c r="BO2674" s="8">
        <v>30091218.651366577</v>
      </c>
      <c r="BP2674" s="8">
        <v>3943798.8213032424</v>
      </c>
      <c r="BQ2674" s="8">
        <v>-26147419.830063336</v>
      </c>
      <c r="BR2674" s="8" t="str">
        <v>Yes</v>
      </c>
    </row>
    <row r="2675" spans="54:70" x14ac:dyDescent="0.2">
      <c r="BB2675" s="94"/>
      <c r="BL2675" s="8">
        <v>2626</v>
      </c>
      <c r="BM2675" s="8">
        <v>5832672.6214164384</v>
      </c>
      <c r="BN2675" s="8">
        <v>0</v>
      </c>
      <c r="BO2675" s="8">
        <v>5832672.6214164384</v>
      </c>
      <c r="BP2675" s="8">
        <v>6562559.8758130977</v>
      </c>
      <c r="BQ2675" s="8">
        <v>729887.25439665932</v>
      </c>
      <c r="BR2675" s="8" t="str">
        <v>No</v>
      </c>
    </row>
    <row r="2676" spans="54:70" x14ac:dyDescent="0.2">
      <c r="BB2676" s="94"/>
      <c r="BL2676" s="8">
        <v>2627</v>
      </c>
      <c r="BM2676" s="8">
        <v>2962248.2221350954</v>
      </c>
      <c r="BN2676" s="8">
        <v>2485559.0361814429</v>
      </c>
      <c r="BO2676" s="8">
        <v>5447807.2583165383</v>
      </c>
      <c r="BP2676" s="8">
        <v>2300037.2827914623</v>
      </c>
      <c r="BQ2676" s="8">
        <v>-3147769.975525076</v>
      </c>
      <c r="BR2676" s="8" t="str">
        <v>Yes</v>
      </c>
    </row>
    <row r="2677" spans="54:70" x14ac:dyDescent="0.2">
      <c r="BB2677" s="94"/>
      <c r="BL2677" s="8">
        <v>2628</v>
      </c>
      <c r="BM2677" s="8">
        <v>8193217.5191002432</v>
      </c>
      <c r="BN2677" s="8">
        <v>8594424.8947600722</v>
      </c>
      <c r="BO2677" s="8">
        <v>16787642.413860314</v>
      </c>
      <c r="BP2677" s="8">
        <v>6469971.2453393927</v>
      </c>
      <c r="BQ2677" s="8">
        <v>-10317671.16852092</v>
      </c>
      <c r="BR2677" s="8" t="str">
        <v>Yes</v>
      </c>
    </row>
    <row r="2678" spans="54:70" x14ac:dyDescent="0.2">
      <c r="BB2678" s="94"/>
      <c r="BL2678" s="8">
        <v>2629</v>
      </c>
      <c r="BM2678" s="8">
        <v>2188974.9916741028</v>
      </c>
      <c r="BN2678" s="8">
        <v>1500120.0033344009</v>
      </c>
      <c r="BO2678" s="8">
        <v>3689094.995008504</v>
      </c>
      <c r="BP2678" s="8">
        <v>2177521.5660003424</v>
      </c>
      <c r="BQ2678" s="8">
        <v>-1511573.4290081616</v>
      </c>
      <c r="BR2678" s="8" t="str">
        <v>Yes</v>
      </c>
    </row>
    <row r="2679" spans="54:70" x14ac:dyDescent="0.2">
      <c r="BB2679" s="94"/>
      <c r="BL2679" s="8">
        <v>2630</v>
      </c>
      <c r="BM2679" s="8">
        <v>2652444.76370377</v>
      </c>
      <c r="BN2679" s="8">
        <v>4190896.2084959424</v>
      </c>
      <c r="BO2679" s="8">
        <v>6843340.9721997119</v>
      </c>
      <c r="BP2679" s="8">
        <v>2314831.3121921713</v>
      </c>
      <c r="BQ2679" s="8">
        <v>-4528509.6600075401</v>
      </c>
      <c r="BR2679" s="8" t="str">
        <v>Yes</v>
      </c>
    </row>
    <row r="2680" spans="54:70" x14ac:dyDescent="0.2">
      <c r="BB2680" s="94"/>
      <c r="BL2680" s="8">
        <v>2631</v>
      </c>
      <c r="BM2680" s="8">
        <v>5795101.0971673355</v>
      </c>
      <c r="BN2680" s="8">
        <v>0</v>
      </c>
      <c r="BO2680" s="8">
        <v>5795101.0971673355</v>
      </c>
      <c r="BP2680" s="8">
        <v>2386180.5083372113</v>
      </c>
      <c r="BQ2680" s="8">
        <v>-3408920.5888301241</v>
      </c>
      <c r="BR2680" s="8" t="str">
        <v>Yes</v>
      </c>
    </row>
    <row r="2681" spans="54:70" x14ac:dyDescent="0.2">
      <c r="BB2681" s="94"/>
      <c r="BL2681" s="8">
        <v>2632</v>
      </c>
      <c r="BM2681" s="8">
        <v>2515885.0741455448</v>
      </c>
      <c r="BN2681" s="8">
        <v>1306012.8632283011</v>
      </c>
      <c r="BO2681" s="8">
        <v>3821897.9373738458</v>
      </c>
      <c r="BP2681" s="8">
        <v>2251579.9212523536</v>
      </c>
      <c r="BQ2681" s="8">
        <v>-1570318.0161214923</v>
      </c>
      <c r="BR2681" s="8" t="str">
        <v>Yes</v>
      </c>
    </row>
    <row r="2682" spans="54:70" x14ac:dyDescent="0.2">
      <c r="BB2682" s="94"/>
      <c r="BL2682" s="8">
        <v>2633</v>
      </c>
      <c r="BM2682" s="8">
        <v>2298108.2090047747</v>
      </c>
      <c r="BN2682" s="8">
        <v>0</v>
      </c>
      <c r="BO2682" s="8">
        <v>2298108.2090047747</v>
      </c>
      <c r="BP2682" s="8">
        <v>3396377.761834912</v>
      </c>
      <c r="BQ2682" s="8">
        <v>1098269.5528301373</v>
      </c>
      <c r="BR2682" s="8" t="str">
        <v>No</v>
      </c>
    </row>
    <row r="2683" spans="54:70" x14ac:dyDescent="0.2">
      <c r="BB2683" s="94"/>
      <c r="BL2683" s="8">
        <v>2634</v>
      </c>
      <c r="BM2683" s="8">
        <v>12475819.539756622</v>
      </c>
      <c r="BN2683" s="8">
        <v>19825821.589503609</v>
      </c>
      <c r="BO2683" s="8">
        <v>32301641.129260231</v>
      </c>
      <c r="BP2683" s="8">
        <v>6284263.9222394852</v>
      </c>
      <c r="BQ2683" s="8">
        <v>-26017377.207020745</v>
      </c>
      <c r="BR2683" s="8" t="str">
        <v>Yes</v>
      </c>
    </row>
    <row r="2684" spans="54:70" x14ac:dyDescent="0.2">
      <c r="BB2684" s="94"/>
      <c r="BL2684" s="8">
        <v>2635</v>
      </c>
      <c r="BM2684" s="8">
        <v>3798929.5589949582</v>
      </c>
      <c r="BN2684" s="8">
        <v>4006227.9213015418</v>
      </c>
      <c r="BO2684" s="8">
        <v>7805157.4802965</v>
      </c>
      <c r="BP2684" s="8">
        <v>3424549.7028365661</v>
      </c>
      <c r="BQ2684" s="8">
        <v>-4380607.7774599344</v>
      </c>
      <c r="BR2684" s="8" t="str">
        <v>Yes</v>
      </c>
    </row>
    <row r="2685" spans="54:70" x14ac:dyDescent="0.2">
      <c r="BB2685" s="94"/>
      <c r="BL2685" s="8">
        <v>2636</v>
      </c>
      <c r="BM2685" s="8">
        <v>4148434.9186317725</v>
      </c>
      <c r="BN2685" s="8">
        <v>5294078.5837835036</v>
      </c>
      <c r="BO2685" s="8">
        <v>9442513.5024152771</v>
      </c>
      <c r="BP2685" s="8">
        <v>2455443.1931401663</v>
      </c>
      <c r="BQ2685" s="8">
        <v>-6987070.3092751112</v>
      </c>
      <c r="BR2685" s="8" t="str">
        <v>Yes</v>
      </c>
    </row>
    <row r="2686" spans="54:70" x14ac:dyDescent="0.2">
      <c r="BB2686" s="94"/>
      <c r="BL2686" s="8">
        <v>2637</v>
      </c>
      <c r="BM2686" s="8">
        <v>3514719.0326134944</v>
      </c>
      <c r="BN2686" s="8">
        <v>0</v>
      </c>
      <c r="BO2686" s="8">
        <v>3514719.0326134944</v>
      </c>
      <c r="BP2686" s="8">
        <v>6842319.1128855171</v>
      </c>
      <c r="BQ2686" s="8">
        <v>3327600.0802720226</v>
      </c>
      <c r="BR2686" s="8" t="str">
        <v>No</v>
      </c>
    </row>
    <row r="2687" spans="54:70" x14ac:dyDescent="0.2">
      <c r="BB2687" s="94"/>
      <c r="BL2687" s="8">
        <v>2638</v>
      </c>
      <c r="BM2687" s="8">
        <v>2231083.0450376957</v>
      </c>
      <c r="BN2687" s="8">
        <v>0</v>
      </c>
      <c r="BO2687" s="8">
        <v>2231083.0450376957</v>
      </c>
      <c r="BP2687" s="8">
        <v>2259877.0640580649</v>
      </c>
      <c r="BQ2687" s="8">
        <v>28794.019020369276</v>
      </c>
      <c r="BR2687" s="8" t="str">
        <v>No</v>
      </c>
    </row>
    <row r="2688" spans="54:70" x14ac:dyDescent="0.2">
      <c r="BB2688" s="94"/>
      <c r="BL2688" s="8">
        <v>2639</v>
      </c>
      <c r="BM2688" s="8">
        <v>4512418.9568579169</v>
      </c>
      <c r="BN2688" s="8">
        <v>2142206.2150570061</v>
      </c>
      <c r="BO2688" s="8">
        <v>6654625.171914923</v>
      </c>
      <c r="BP2688" s="8">
        <v>6276280.1621304937</v>
      </c>
      <c r="BQ2688" s="8">
        <v>-378345.00978442933</v>
      </c>
      <c r="BR2688" s="8" t="str">
        <v>Yes</v>
      </c>
    </row>
    <row r="2689" spans="54:70" x14ac:dyDescent="0.2">
      <c r="BB2689" s="94"/>
      <c r="BL2689" s="8">
        <v>2640</v>
      </c>
      <c r="BM2689" s="8">
        <v>3090723.4169066809</v>
      </c>
      <c r="BN2689" s="8">
        <v>1081585.7794673974</v>
      </c>
      <c r="BO2689" s="8">
        <v>4172309.1963740783</v>
      </c>
      <c r="BP2689" s="8">
        <v>6186166.2886227053</v>
      </c>
      <c r="BQ2689" s="8">
        <v>2013857.092248627</v>
      </c>
      <c r="BR2689" s="8" t="str">
        <v>No</v>
      </c>
    </row>
    <row r="2690" spans="54:70" x14ac:dyDescent="0.2">
      <c r="BB2690" s="94"/>
      <c r="BL2690" s="8">
        <v>2641</v>
      </c>
      <c r="BM2690" s="8">
        <v>3289875.4626955781</v>
      </c>
      <c r="BN2690" s="8">
        <v>-26195.957123615808</v>
      </c>
      <c r="BO2690" s="8">
        <v>3263679.5055719623</v>
      </c>
      <c r="BP2690" s="8">
        <v>6051239.5762516111</v>
      </c>
      <c r="BQ2690" s="8">
        <v>2787560.0706796488</v>
      </c>
      <c r="BR2690" s="8" t="str">
        <v>No</v>
      </c>
    </row>
    <row r="2691" spans="54:70" x14ac:dyDescent="0.2">
      <c r="BB2691" s="94"/>
      <c r="BL2691" s="8">
        <v>2642</v>
      </c>
      <c r="BM2691" s="8">
        <v>2376726.9388112086</v>
      </c>
      <c r="BN2691" s="8">
        <v>606353.13232052908</v>
      </c>
      <c r="BO2691" s="8">
        <v>2983080.0711317379</v>
      </c>
      <c r="BP2691" s="8">
        <v>6471810.6663272325</v>
      </c>
      <c r="BQ2691" s="8">
        <v>3488730.5951954946</v>
      </c>
      <c r="BR2691" s="8" t="str">
        <v>No</v>
      </c>
    </row>
    <row r="2692" spans="54:70" x14ac:dyDescent="0.2">
      <c r="BB2692" s="94"/>
      <c r="BL2692" s="8">
        <v>2643</v>
      </c>
      <c r="BM2692" s="8">
        <v>2823898.9616599185</v>
      </c>
      <c r="BN2692" s="8">
        <v>4359560.9788931068</v>
      </c>
      <c r="BO2692" s="8">
        <v>7183459.9405530253</v>
      </c>
      <c r="BP2692" s="8">
        <v>3316503.2115383302</v>
      </c>
      <c r="BQ2692" s="8">
        <v>-3866956.7290146952</v>
      </c>
      <c r="BR2692" s="8" t="str">
        <v>Yes</v>
      </c>
    </row>
    <row r="2693" spans="54:70" x14ac:dyDescent="0.2">
      <c r="BB2693" s="94"/>
      <c r="BL2693" s="8">
        <v>2644</v>
      </c>
      <c r="BM2693" s="8">
        <v>3957329.0102774715</v>
      </c>
      <c r="BN2693" s="8">
        <v>1893083.3371610944</v>
      </c>
      <c r="BO2693" s="8">
        <v>5850412.3474385664</v>
      </c>
      <c r="BP2693" s="8">
        <v>4210640.5182038667</v>
      </c>
      <c r="BQ2693" s="8">
        <v>-1639771.8292346997</v>
      </c>
      <c r="BR2693" s="8" t="str">
        <v>Yes</v>
      </c>
    </row>
    <row r="2694" spans="54:70" x14ac:dyDescent="0.2">
      <c r="BB2694" s="94"/>
      <c r="BL2694" s="8">
        <v>2645</v>
      </c>
      <c r="BM2694" s="8">
        <v>2217569.5635236586</v>
      </c>
      <c r="BN2694" s="8">
        <v>0</v>
      </c>
      <c r="BO2694" s="8">
        <v>2217569.5635236586</v>
      </c>
      <c r="BP2694" s="8">
        <v>2185545.2560259555</v>
      </c>
      <c r="BQ2694" s="8">
        <v>-32024.307497703005</v>
      </c>
      <c r="BR2694" s="8" t="str">
        <v>Yes</v>
      </c>
    </row>
    <row r="2695" spans="54:70" x14ac:dyDescent="0.2">
      <c r="BB2695" s="94"/>
      <c r="BL2695" s="8">
        <v>2646</v>
      </c>
      <c r="BM2695" s="8">
        <v>5435030.9149992429</v>
      </c>
      <c r="BN2695" s="8">
        <v>4416928.9125211257</v>
      </c>
      <c r="BO2695" s="8">
        <v>9851959.8275203686</v>
      </c>
      <c r="BP2695" s="8">
        <v>2222215.0605548024</v>
      </c>
      <c r="BQ2695" s="8">
        <v>-7629744.7669655662</v>
      </c>
      <c r="BR2695" s="8" t="str">
        <v>Yes</v>
      </c>
    </row>
    <row r="2696" spans="54:70" x14ac:dyDescent="0.2">
      <c r="BB2696" s="94"/>
      <c r="BL2696" s="8">
        <v>2647</v>
      </c>
      <c r="BM2696" s="8">
        <v>2113250.1676721051</v>
      </c>
      <c r="BN2696" s="8">
        <v>2056685.7108285623</v>
      </c>
      <c r="BO2696" s="8">
        <v>4169935.8785006674</v>
      </c>
      <c r="BP2696" s="8">
        <v>2292917.3236321243</v>
      </c>
      <c r="BQ2696" s="8">
        <v>-1877018.5548685431</v>
      </c>
      <c r="BR2696" s="8" t="str">
        <v>Yes</v>
      </c>
    </row>
    <row r="2697" spans="54:70" x14ac:dyDescent="0.2">
      <c r="BB2697" s="94"/>
      <c r="BL2697" s="8">
        <v>2648</v>
      </c>
      <c r="BM2697" s="8">
        <v>3472180.6788722677</v>
      </c>
      <c r="BN2697" s="8">
        <v>0</v>
      </c>
      <c r="BO2697" s="8">
        <v>3472180.6788722677</v>
      </c>
      <c r="BP2697" s="8">
        <v>2426726.5169570823</v>
      </c>
      <c r="BQ2697" s="8">
        <v>-1045454.1619151854</v>
      </c>
      <c r="BR2697" s="8" t="str">
        <v>Yes</v>
      </c>
    </row>
    <row r="2698" spans="54:70" x14ac:dyDescent="0.2">
      <c r="BB2698" s="94"/>
      <c r="BL2698" s="8">
        <v>2649</v>
      </c>
      <c r="BM2698" s="8">
        <v>4689052.3744916944</v>
      </c>
      <c r="BN2698" s="8">
        <v>2041315.4052280656</v>
      </c>
      <c r="BO2698" s="8">
        <v>6730367.7797197597</v>
      </c>
      <c r="BP2698" s="8">
        <v>4064307.6474968176</v>
      </c>
      <c r="BQ2698" s="8">
        <v>-2666060.1322229421</v>
      </c>
      <c r="BR2698" s="8" t="str">
        <v>Yes</v>
      </c>
    </row>
    <row r="2699" spans="54:70" x14ac:dyDescent="0.2">
      <c r="BB2699" s="94"/>
      <c r="BL2699" s="8">
        <v>2650</v>
      </c>
      <c r="BM2699" s="8">
        <v>2290229.5511724292</v>
      </c>
      <c r="BN2699" s="8">
        <v>0</v>
      </c>
      <c r="BO2699" s="8">
        <v>2290229.5511724292</v>
      </c>
      <c r="BP2699" s="8">
        <v>2412592.2111704457</v>
      </c>
      <c r="BQ2699" s="8">
        <v>122362.65999801643</v>
      </c>
      <c r="BR2699" s="8" t="str">
        <v>No</v>
      </c>
    </row>
    <row r="2700" spans="54:70" x14ac:dyDescent="0.2">
      <c r="BB2700" s="94"/>
      <c r="BL2700" s="8">
        <v>2651</v>
      </c>
      <c r="BM2700" s="8">
        <v>8553099.1759707145</v>
      </c>
      <c r="BN2700" s="8">
        <v>0</v>
      </c>
      <c r="BO2700" s="8">
        <v>8553099.1759707145</v>
      </c>
      <c r="BP2700" s="8">
        <v>4089366.0366056343</v>
      </c>
      <c r="BQ2700" s="8">
        <v>-4463733.1393650807</v>
      </c>
      <c r="BR2700" s="8" t="str">
        <v>Yes</v>
      </c>
    </row>
    <row r="2701" spans="54:70" x14ac:dyDescent="0.2">
      <c r="BB2701" s="94"/>
      <c r="BL2701" s="8">
        <v>2652</v>
      </c>
      <c r="BM2701" s="8">
        <v>4663135.2076320658</v>
      </c>
      <c r="BN2701" s="8">
        <v>0</v>
      </c>
      <c r="BO2701" s="8">
        <v>4663135.2076320658</v>
      </c>
      <c r="BP2701" s="8">
        <v>3353098.2359073898</v>
      </c>
      <c r="BQ2701" s="8">
        <v>-1310036.971724676</v>
      </c>
      <c r="BR2701" s="8" t="str">
        <v>Yes</v>
      </c>
    </row>
    <row r="2702" spans="54:70" x14ac:dyDescent="0.2">
      <c r="BB2702" s="94"/>
      <c r="BL2702" s="8">
        <v>2653</v>
      </c>
      <c r="BM2702" s="8">
        <v>3027917.7947957534</v>
      </c>
      <c r="BN2702" s="8">
        <v>0</v>
      </c>
      <c r="BO2702" s="8">
        <v>3027917.7947957534</v>
      </c>
      <c r="BP2702" s="8">
        <v>6250027.4547617408</v>
      </c>
      <c r="BQ2702" s="8">
        <v>3222109.6599659873</v>
      </c>
      <c r="BR2702" s="8" t="str">
        <v>No</v>
      </c>
    </row>
    <row r="2703" spans="54:70" x14ac:dyDescent="0.2">
      <c r="BB2703" s="94"/>
      <c r="BL2703" s="8">
        <v>2654</v>
      </c>
      <c r="BM2703" s="8">
        <v>5531059.0791024212</v>
      </c>
      <c r="BN2703" s="8">
        <v>0</v>
      </c>
      <c r="BO2703" s="8">
        <v>5531059.0791024212</v>
      </c>
      <c r="BP2703" s="8">
        <v>3398512.4598170784</v>
      </c>
      <c r="BQ2703" s="8">
        <v>-2132546.6192853427</v>
      </c>
      <c r="BR2703" s="8" t="str">
        <v>Yes</v>
      </c>
    </row>
    <row r="2704" spans="54:70" x14ac:dyDescent="0.2">
      <c r="BB2704" s="94"/>
      <c r="BL2704" s="8">
        <v>2655</v>
      </c>
      <c r="BM2704" s="8">
        <v>2592930.2335267435</v>
      </c>
      <c r="BN2704" s="8">
        <v>1192153.4410463253</v>
      </c>
      <c r="BO2704" s="8">
        <v>3785083.6745730685</v>
      </c>
      <c r="BP2704" s="8">
        <v>3270597.0021135798</v>
      </c>
      <c r="BQ2704" s="8">
        <v>-514486.67245948873</v>
      </c>
      <c r="BR2704" s="8" t="str">
        <v>Yes</v>
      </c>
    </row>
    <row r="2705" spans="54:70" x14ac:dyDescent="0.2">
      <c r="BB2705" s="94"/>
      <c r="BL2705" s="8">
        <v>2656</v>
      </c>
      <c r="BM2705" s="8">
        <v>2098621.7752001099</v>
      </c>
      <c r="BN2705" s="8">
        <v>0</v>
      </c>
      <c r="BO2705" s="8">
        <v>2098621.7752001099</v>
      </c>
      <c r="BP2705" s="8">
        <v>3218889.0454028058</v>
      </c>
      <c r="BQ2705" s="8">
        <v>1120267.2702026959</v>
      </c>
      <c r="BR2705" s="8" t="str">
        <v>No</v>
      </c>
    </row>
    <row r="2706" spans="54:70" x14ac:dyDescent="0.2">
      <c r="BB2706" s="94"/>
      <c r="BL2706" s="8">
        <v>2657</v>
      </c>
      <c r="BM2706" s="8">
        <v>4716317.7085129833</v>
      </c>
      <c r="BN2706" s="8">
        <v>5524599.6115655787</v>
      </c>
      <c r="BO2706" s="8">
        <v>10240917.320078563</v>
      </c>
      <c r="BP2706" s="8">
        <v>2050320.1478231216</v>
      </c>
      <c r="BQ2706" s="8">
        <v>-8190597.1722554415</v>
      </c>
      <c r="BR2706" s="8" t="str">
        <v>Yes</v>
      </c>
    </row>
    <row r="2707" spans="54:70" x14ac:dyDescent="0.2">
      <c r="BB2707" s="94"/>
      <c r="BL2707" s="8">
        <v>2658</v>
      </c>
      <c r="BM2707" s="8">
        <v>6834152.1315205712</v>
      </c>
      <c r="BN2707" s="8">
        <v>0</v>
      </c>
      <c r="BO2707" s="8">
        <v>6834152.1315205712</v>
      </c>
      <c r="BP2707" s="8">
        <v>6377283.8402617648</v>
      </c>
      <c r="BQ2707" s="8">
        <v>-456868.29125880636</v>
      </c>
      <c r="BR2707" s="8" t="str">
        <v>Yes</v>
      </c>
    </row>
    <row r="2708" spans="54:70" x14ac:dyDescent="0.2">
      <c r="BB2708" s="94"/>
      <c r="BL2708" s="8">
        <v>2659</v>
      </c>
      <c r="BM2708" s="8">
        <v>3460882.5334741846</v>
      </c>
      <c r="BN2708" s="8">
        <v>0</v>
      </c>
      <c r="BO2708" s="8">
        <v>3460882.5334741846</v>
      </c>
      <c r="BP2708" s="8">
        <v>3981941.8668073965</v>
      </c>
      <c r="BQ2708" s="8">
        <v>521059.33333321195</v>
      </c>
      <c r="BR2708" s="8" t="str">
        <v>No</v>
      </c>
    </row>
    <row r="2709" spans="54:70" x14ac:dyDescent="0.2">
      <c r="BB2709" s="94"/>
      <c r="BL2709" s="8">
        <v>2660</v>
      </c>
      <c r="BM2709" s="8">
        <v>4157563.02190392</v>
      </c>
      <c r="BN2709" s="8">
        <v>3338870.0492842905</v>
      </c>
      <c r="BO2709" s="8">
        <v>7496433.0711882105</v>
      </c>
      <c r="BP2709" s="8">
        <v>3286039.9413375128</v>
      </c>
      <c r="BQ2709" s="8">
        <v>-4210393.1298506977</v>
      </c>
      <c r="BR2709" s="8" t="str">
        <v>Yes</v>
      </c>
    </row>
    <row r="2710" spans="54:70" x14ac:dyDescent="0.2">
      <c r="BB2710" s="94"/>
      <c r="BL2710" s="8">
        <v>2661</v>
      </c>
      <c r="BM2710" s="8">
        <v>3906551.9008046407</v>
      </c>
      <c r="BN2710" s="8">
        <v>4369078.9444114463</v>
      </c>
      <c r="BO2710" s="8">
        <v>8275630.8452160871</v>
      </c>
      <c r="BP2710" s="8">
        <v>4129898.04317423</v>
      </c>
      <c r="BQ2710" s="8">
        <v>-4145732.802041857</v>
      </c>
      <c r="BR2710" s="8" t="str">
        <v>Yes</v>
      </c>
    </row>
    <row r="2711" spans="54:70" x14ac:dyDescent="0.2">
      <c r="BB2711" s="94"/>
      <c r="BL2711" s="8">
        <v>2662</v>
      </c>
      <c r="BM2711" s="8">
        <v>4877869.7704754984</v>
      </c>
      <c r="BN2711" s="8">
        <v>0</v>
      </c>
      <c r="BO2711" s="8">
        <v>4877869.7704754984</v>
      </c>
      <c r="BP2711" s="8">
        <v>6524898.4900423968</v>
      </c>
      <c r="BQ2711" s="8">
        <v>1647028.7195668984</v>
      </c>
      <c r="BR2711" s="8" t="str">
        <v>No</v>
      </c>
    </row>
    <row r="2712" spans="54:70" x14ac:dyDescent="0.2">
      <c r="BB2712" s="94"/>
      <c r="BL2712" s="8">
        <v>2663</v>
      </c>
      <c r="BM2712" s="8">
        <v>2566528.3596033151</v>
      </c>
      <c r="BN2712" s="8">
        <v>2911135.1713167331</v>
      </c>
      <c r="BO2712" s="8">
        <v>5477663.5309200482</v>
      </c>
      <c r="BP2712" s="8">
        <v>3222838.6241870741</v>
      </c>
      <c r="BQ2712" s="8">
        <v>-2254824.9067329741</v>
      </c>
      <c r="BR2712" s="8" t="str">
        <v>Yes</v>
      </c>
    </row>
    <row r="2713" spans="54:70" x14ac:dyDescent="0.2">
      <c r="BB2713" s="94"/>
      <c r="BL2713" s="8">
        <v>2664</v>
      </c>
      <c r="BM2713" s="8">
        <v>11894852.432832645</v>
      </c>
      <c r="BN2713" s="8">
        <v>11911682.003916046</v>
      </c>
      <c r="BO2713" s="8">
        <v>23806534.436748691</v>
      </c>
      <c r="BP2713" s="8">
        <v>3504526.262588534</v>
      </c>
      <c r="BQ2713" s="8">
        <v>-20302008.174160156</v>
      </c>
      <c r="BR2713" s="8" t="str">
        <v>Yes</v>
      </c>
    </row>
    <row r="2714" spans="54:70" x14ac:dyDescent="0.2">
      <c r="BB2714" s="94"/>
      <c r="BL2714" s="8">
        <v>2665</v>
      </c>
      <c r="BM2714" s="8">
        <v>5566480.554843761</v>
      </c>
      <c r="BN2714" s="8">
        <v>0</v>
      </c>
      <c r="BO2714" s="8">
        <v>5566480.554843761</v>
      </c>
      <c r="BP2714" s="8">
        <v>4484509.0232381821</v>
      </c>
      <c r="BQ2714" s="8">
        <v>-1081971.531605579</v>
      </c>
      <c r="BR2714" s="8" t="str">
        <v>Yes</v>
      </c>
    </row>
    <row r="2715" spans="54:70" x14ac:dyDescent="0.2">
      <c r="BB2715" s="94"/>
      <c r="BL2715" s="8">
        <v>2666</v>
      </c>
      <c r="BM2715" s="8">
        <v>3248846.4831727352</v>
      </c>
      <c r="BN2715" s="8">
        <v>0</v>
      </c>
      <c r="BO2715" s="8">
        <v>3248846.4831727352</v>
      </c>
      <c r="BP2715" s="8">
        <v>3510876.4043678655</v>
      </c>
      <c r="BQ2715" s="8">
        <v>262029.92119513033</v>
      </c>
      <c r="BR2715" s="8" t="str">
        <v>No</v>
      </c>
    </row>
    <row r="2716" spans="54:70" x14ac:dyDescent="0.2">
      <c r="BB2716" s="94"/>
      <c r="BL2716" s="8">
        <v>2667</v>
      </c>
      <c r="BM2716" s="8">
        <v>1797470.249363329</v>
      </c>
      <c r="BN2716" s="8">
        <v>0</v>
      </c>
      <c r="BO2716" s="8">
        <v>1797470.249363329</v>
      </c>
      <c r="BP2716" s="8">
        <v>3656663.6316532083</v>
      </c>
      <c r="BQ2716" s="8">
        <v>1859193.3822898793</v>
      </c>
      <c r="BR2716" s="8" t="str">
        <v>No</v>
      </c>
    </row>
    <row r="2717" spans="54:70" x14ac:dyDescent="0.2">
      <c r="BB2717" s="94"/>
      <c r="BL2717" s="8">
        <v>2668</v>
      </c>
      <c r="BM2717" s="8">
        <v>3384827.2707032138</v>
      </c>
      <c r="BN2717" s="8">
        <v>0</v>
      </c>
      <c r="BO2717" s="8">
        <v>3384827.2707032138</v>
      </c>
      <c r="BP2717" s="8">
        <v>6322702.2817943553</v>
      </c>
      <c r="BQ2717" s="8">
        <v>2937875.0110911415</v>
      </c>
      <c r="BR2717" s="8" t="str">
        <v>No</v>
      </c>
    </row>
    <row r="2718" spans="54:70" x14ac:dyDescent="0.2">
      <c r="BB2718" s="94"/>
      <c r="BL2718" s="8">
        <v>2669</v>
      </c>
      <c r="BM2718" s="8">
        <v>3220312.7986719003</v>
      </c>
      <c r="BN2718" s="8">
        <v>2929963.6986308973</v>
      </c>
      <c r="BO2718" s="8">
        <v>6150276.4973027976</v>
      </c>
      <c r="BP2718" s="8">
        <v>3193784.6895110086</v>
      </c>
      <c r="BQ2718" s="8">
        <v>-2956491.8077917891</v>
      </c>
      <c r="BR2718" s="8" t="str">
        <v>Yes</v>
      </c>
    </row>
    <row r="2719" spans="54:70" x14ac:dyDescent="0.2">
      <c r="BB2719" s="94"/>
      <c r="BL2719" s="8">
        <v>2670</v>
      </c>
      <c r="BM2719" s="8">
        <v>2814032.4976493744</v>
      </c>
      <c r="BN2719" s="8">
        <v>0</v>
      </c>
      <c r="BO2719" s="8">
        <v>2814032.4976493744</v>
      </c>
      <c r="BP2719" s="8">
        <v>3257269.8162201117</v>
      </c>
      <c r="BQ2719" s="8">
        <v>443237.31857073726</v>
      </c>
      <c r="BR2719" s="8" t="str">
        <v>No</v>
      </c>
    </row>
    <row r="2720" spans="54:70" x14ac:dyDescent="0.2">
      <c r="BB2720" s="94"/>
      <c r="BL2720" s="8">
        <v>2671</v>
      </c>
      <c r="BM2720" s="8">
        <v>3331220.2066275468</v>
      </c>
      <c r="BN2720" s="8">
        <v>2692018.8010719805</v>
      </c>
      <c r="BO2720" s="8">
        <v>6023239.0076995268</v>
      </c>
      <c r="BP2720" s="8">
        <v>4568004.7678719796</v>
      </c>
      <c r="BQ2720" s="8">
        <v>-1455234.2398275472</v>
      </c>
      <c r="BR2720" s="8" t="str">
        <v>Yes</v>
      </c>
    </row>
    <row r="2721" spans="54:70" x14ac:dyDescent="0.2">
      <c r="BB2721" s="94"/>
      <c r="BL2721" s="8">
        <v>2672</v>
      </c>
      <c r="BM2721" s="8">
        <v>6909103.8297817735</v>
      </c>
      <c r="BN2721" s="8">
        <v>0</v>
      </c>
      <c r="BO2721" s="8">
        <v>6909103.8297817735</v>
      </c>
      <c r="BP2721" s="8">
        <v>4177459.4484857409</v>
      </c>
      <c r="BQ2721" s="8">
        <v>-2731644.3812960326</v>
      </c>
      <c r="BR2721" s="8" t="str">
        <v>Yes</v>
      </c>
    </row>
    <row r="2722" spans="54:70" x14ac:dyDescent="0.2">
      <c r="BB2722" s="94"/>
      <c r="BL2722" s="8">
        <v>2673</v>
      </c>
      <c r="BM2722" s="8">
        <v>3623177.2099342453</v>
      </c>
      <c r="BN2722" s="8">
        <v>6197607.0700841611</v>
      </c>
      <c r="BO2722" s="8">
        <v>9820784.280018406</v>
      </c>
      <c r="BP2722" s="8">
        <v>3403424.3100448954</v>
      </c>
      <c r="BQ2722" s="8">
        <v>-6417359.9699735101</v>
      </c>
      <c r="BR2722" s="8" t="str">
        <v>Yes</v>
      </c>
    </row>
    <row r="2723" spans="54:70" x14ac:dyDescent="0.2">
      <c r="BB2723" s="94"/>
      <c r="BL2723" s="8">
        <v>2674</v>
      </c>
      <c r="BM2723" s="8">
        <v>4290159.9005458616</v>
      </c>
      <c r="BN2723" s="8">
        <v>3147269.7245889157</v>
      </c>
      <c r="BO2723" s="8">
        <v>7437429.6251347773</v>
      </c>
      <c r="BP2723" s="8">
        <v>6281895.031009173</v>
      </c>
      <c r="BQ2723" s="8">
        <v>-1155534.5941256043</v>
      </c>
      <c r="BR2723" s="8" t="str">
        <v>Yes</v>
      </c>
    </row>
    <row r="2724" spans="54:70" x14ac:dyDescent="0.2">
      <c r="BB2724" s="94"/>
      <c r="BL2724" s="8">
        <v>2675</v>
      </c>
      <c r="BM2724" s="8">
        <v>5339690.9107784368</v>
      </c>
      <c r="BN2724" s="8">
        <v>0</v>
      </c>
      <c r="BO2724" s="8">
        <v>5339690.9107784368</v>
      </c>
      <c r="BP2724" s="8">
        <v>3875850.4700099593</v>
      </c>
      <c r="BQ2724" s="8">
        <v>-1463840.4407684775</v>
      </c>
      <c r="BR2724" s="8" t="str">
        <v>Yes</v>
      </c>
    </row>
    <row r="2725" spans="54:70" x14ac:dyDescent="0.2">
      <c r="BB2725" s="94"/>
      <c r="BL2725" s="8">
        <v>2676</v>
      </c>
      <c r="BM2725" s="8">
        <v>3409176.5672747735</v>
      </c>
      <c r="BN2725" s="8">
        <v>1842405.8871250018</v>
      </c>
      <c r="BO2725" s="8">
        <v>5251582.4543997757</v>
      </c>
      <c r="BP2725" s="8">
        <v>4046660.312548779</v>
      </c>
      <c r="BQ2725" s="8">
        <v>-1204922.1418509968</v>
      </c>
      <c r="BR2725" s="8" t="str">
        <v>Yes</v>
      </c>
    </row>
    <row r="2726" spans="54:70" x14ac:dyDescent="0.2">
      <c r="BB2726" s="94"/>
      <c r="BL2726" s="8">
        <v>2677</v>
      </c>
      <c r="BM2726" s="8">
        <v>8276867.3481553122</v>
      </c>
      <c r="BN2726" s="8">
        <v>0</v>
      </c>
      <c r="BO2726" s="8">
        <v>8276867.3481553122</v>
      </c>
      <c r="BP2726" s="8">
        <v>4198556.3878977243</v>
      </c>
      <c r="BQ2726" s="8">
        <v>-4078310.960257588</v>
      </c>
      <c r="BR2726" s="8" t="str">
        <v>Yes</v>
      </c>
    </row>
    <row r="2727" spans="54:70" x14ac:dyDescent="0.2">
      <c r="BB2727" s="94"/>
      <c r="BL2727" s="8">
        <v>2678</v>
      </c>
      <c r="BM2727" s="8">
        <v>3954870.5277021145</v>
      </c>
      <c r="BN2727" s="8">
        <v>1438013.2150100584</v>
      </c>
      <c r="BO2727" s="8">
        <v>5392883.7427121727</v>
      </c>
      <c r="BP2727" s="8">
        <v>4060166.8856375962</v>
      </c>
      <c r="BQ2727" s="8">
        <v>-1332716.8570745764</v>
      </c>
      <c r="BR2727" s="8" t="str">
        <v>Yes</v>
      </c>
    </row>
    <row r="2728" spans="54:70" x14ac:dyDescent="0.2">
      <c r="BB2728" s="94"/>
      <c r="BL2728" s="8">
        <v>2679</v>
      </c>
      <c r="BM2728" s="8">
        <v>6298781.8251302065</v>
      </c>
      <c r="BN2728" s="8">
        <v>5617492.5421999367</v>
      </c>
      <c r="BO2728" s="8">
        <v>11916274.367330143</v>
      </c>
      <c r="BP2728" s="8">
        <v>6277107.9085938586</v>
      </c>
      <c r="BQ2728" s="8">
        <v>-5639166.4587362846</v>
      </c>
      <c r="BR2728" s="8" t="str">
        <v>Yes</v>
      </c>
    </row>
    <row r="2729" spans="54:70" x14ac:dyDescent="0.2">
      <c r="BB2729" s="94"/>
      <c r="BL2729" s="8">
        <v>2680</v>
      </c>
      <c r="BM2729" s="8">
        <v>3509448.9988036184</v>
      </c>
      <c r="BN2729" s="8">
        <v>0</v>
      </c>
      <c r="BO2729" s="8">
        <v>3509448.9988036184</v>
      </c>
      <c r="BP2729" s="8">
        <v>2166688.7375508007</v>
      </c>
      <c r="BQ2729" s="8">
        <v>-1342760.2612528177</v>
      </c>
      <c r="BR2729" s="8" t="str">
        <v>Yes</v>
      </c>
    </row>
    <row r="2730" spans="54:70" x14ac:dyDescent="0.2">
      <c r="BB2730" s="94"/>
      <c r="BL2730" s="8">
        <v>2681</v>
      </c>
      <c r="BM2730" s="8">
        <v>1379491.3938034195</v>
      </c>
      <c r="BN2730" s="8">
        <v>-613962.16872214316</v>
      </c>
      <c r="BO2730" s="8">
        <v>765529.22508127638</v>
      </c>
      <c r="BP2730" s="8">
        <v>6761030.7280930448</v>
      </c>
      <c r="BQ2730" s="8">
        <v>5995501.5030117687</v>
      </c>
      <c r="BR2730" s="8" t="str">
        <v>No</v>
      </c>
    </row>
    <row r="2731" spans="54:70" x14ac:dyDescent="0.2">
      <c r="BB2731" s="94"/>
      <c r="BL2731" s="8">
        <v>2682</v>
      </c>
      <c r="BM2731" s="8">
        <v>3926280.1814874886</v>
      </c>
      <c r="BN2731" s="8">
        <v>0</v>
      </c>
      <c r="BO2731" s="8">
        <v>3926280.1814874886</v>
      </c>
      <c r="BP2731" s="8">
        <v>4169592.1620646091</v>
      </c>
      <c r="BQ2731" s="8">
        <v>243311.98057712056</v>
      </c>
      <c r="BR2731" s="8" t="str">
        <v>No</v>
      </c>
    </row>
    <row r="2732" spans="54:70" x14ac:dyDescent="0.2">
      <c r="BB2732" s="94"/>
      <c r="BL2732" s="8">
        <v>2683</v>
      </c>
      <c r="BM2732" s="8">
        <v>12740715.7054247</v>
      </c>
      <c r="BN2732" s="8">
        <v>0</v>
      </c>
      <c r="BO2732" s="8">
        <v>12740715.7054247</v>
      </c>
      <c r="BP2732" s="8">
        <v>3404435.0403121714</v>
      </c>
      <c r="BQ2732" s="8">
        <v>-9336280.6651125289</v>
      </c>
      <c r="BR2732" s="8" t="str">
        <v>Yes</v>
      </c>
    </row>
    <row r="2733" spans="54:70" x14ac:dyDescent="0.2">
      <c r="BB2733" s="94"/>
      <c r="BL2733" s="8">
        <v>2684</v>
      </c>
      <c r="BM2733" s="8">
        <v>3862147.4483167212</v>
      </c>
      <c r="BN2733" s="8">
        <v>2169106.8569196924</v>
      </c>
      <c r="BO2733" s="8">
        <v>6031254.3052364141</v>
      </c>
      <c r="BP2733" s="8">
        <v>1991479.1914021177</v>
      </c>
      <c r="BQ2733" s="8">
        <v>-4039775.1138342964</v>
      </c>
      <c r="BR2733" s="8" t="str">
        <v>Yes</v>
      </c>
    </row>
    <row r="2734" spans="54:70" x14ac:dyDescent="0.2">
      <c r="BB2734" s="94"/>
      <c r="BL2734" s="8">
        <v>2685</v>
      </c>
      <c r="BM2734" s="8">
        <v>2646249.8456517956</v>
      </c>
      <c r="BN2734" s="8">
        <v>695265.10316299426</v>
      </c>
      <c r="BO2734" s="8">
        <v>3341514.9488147898</v>
      </c>
      <c r="BP2734" s="8">
        <v>4504321.7094815746</v>
      </c>
      <c r="BQ2734" s="8">
        <v>1162806.7606667848</v>
      </c>
      <c r="BR2734" s="8" t="str">
        <v>No</v>
      </c>
    </row>
    <row r="2735" spans="54:70" x14ac:dyDescent="0.2">
      <c r="BB2735" s="94"/>
      <c r="BL2735" s="8">
        <v>2686</v>
      </c>
      <c r="BM2735" s="8">
        <v>2443197.5562750436</v>
      </c>
      <c r="BN2735" s="8">
        <v>-645541.79345646873</v>
      </c>
      <c r="BO2735" s="8">
        <v>1797655.7628185749</v>
      </c>
      <c r="BP2735" s="8">
        <v>6709950.1019480564</v>
      </c>
      <c r="BQ2735" s="8">
        <v>4912294.3391294815</v>
      </c>
      <c r="BR2735" s="8" t="str">
        <v>No</v>
      </c>
    </row>
    <row r="2736" spans="54:70" x14ac:dyDescent="0.2">
      <c r="BB2736" s="94"/>
      <c r="BL2736" s="8">
        <v>2687</v>
      </c>
      <c r="BM2736" s="8">
        <v>3527839.715999607</v>
      </c>
      <c r="BN2736" s="8">
        <v>0</v>
      </c>
      <c r="BO2736" s="8">
        <v>3527839.715999607</v>
      </c>
      <c r="BP2736" s="8">
        <v>6401529.2657065094</v>
      </c>
      <c r="BQ2736" s="8">
        <v>2873689.5497069024</v>
      </c>
      <c r="BR2736" s="8" t="str">
        <v>No</v>
      </c>
    </row>
    <row r="2737" spans="54:70" x14ac:dyDescent="0.2">
      <c r="BB2737" s="94"/>
      <c r="BL2737" s="8">
        <v>2688</v>
      </c>
      <c r="BM2737" s="8">
        <v>2549448.6494310764</v>
      </c>
      <c r="BN2737" s="8">
        <v>0</v>
      </c>
      <c r="BO2737" s="8">
        <v>2549448.6494310764</v>
      </c>
      <c r="BP2737" s="8">
        <v>2405724.0443119002</v>
      </c>
      <c r="BQ2737" s="8">
        <v>-143724.60511917621</v>
      </c>
      <c r="BR2737" s="8" t="str">
        <v>Yes</v>
      </c>
    </row>
    <row r="2738" spans="54:70" x14ac:dyDescent="0.2">
      <c r="BB2738" s="94"/>
      <c r="BL2738" s="8">
        <v>2689</v>
      </c>
      <c r="BM2738" s="8">
        <v>2455974.7022594213</v>
      </c>
      <c r="BN2738" s="8">
        <v>1088386.9858249046</v>
      </c>
      <c r="BO2738" s="8">
        <v>3544361.6880843258</v>
      </c>
      <c r="BP2738" s="8">
        <v>6250709.566161559</v>
      </c>
      <c r="BQ2738" s="8">
        <v>2706347.8780772332</v>
      </c>
      <c r="BR2738" s="8" t="str">
        <v>No</v>
      </c>
    </row>
    <row r="2739" spans="54:70" x14ac:dyDescent="0.2">
      <c r="BB2739" s="94"/>
      <c r="BL2739" s="8">
        <v>2690</v>
      </c>
      <c r="BM2739" s="8">
        <v>5495286.1630755858</v>
      </c>
      <c r="BN2739" s="8">
        <v>4288131.7559434054</v>
      </c>
      <c r="BO2739" s="8">
        <v>9783417.9190189913</v>
      </c>
      <c r="BP2739" s="8">
        <v>4652198.5771429343</v>
      </c>
      <c r="BQ2739" s="8">
        <v>-5131219.341876057</v>
      </c>
      <c r="BR2739" s="8" t="str">
        <v>Yes</v>
      </c>
    </row>
    <row r="2740" spans="54:70" x14ac:dyDescent="0.2">
      <c r="BB2740" s="94"/>
      <c r="BL2740" s="8">
        <v>2691</v>
      </c>
      <c r="BM2740" s="8">
        <v>3378754.2051665699</v>
      </c>
      <c r="BN2740" s="8">
        <v>0</v>
      </c>
      <c r="BO2740" s="8">
        <v>3378754.2051665699</v>
      </c>
      <c r="BP2740" s="8">
        <v>4489351.0386376167</v>
      </c>
      <c r="BQ2740" s="8">
        <v>1110596.8334710468</v>
      </c>
      <c r="BR2740" s="8" t="str">
        <v>No</v>
      </c>
    </row>
    <row r="2741" spans="54:70" x14ac:dyDescent="0.2">
      <c r="BB2741" s="94"/>
      <c r="BL2741" s="8">
        <v>2692</v>
      </c>
      <c r="BM2741" s="8">
        <v>7168682.1000711778</v>
      </c>
      <c r="BN2741" s="8">
        <v>7509851.3173724003</v>
      </c>
      <c r="BO2741" s="8">
        <v>14678533.417443577</v>
      </c>
      <c r="BP2741" s="8">
        <v>4125016.3941843328</v>
      </c>
      <c r="BQ2741" s="8">
        <v>-10553517.023259245</v>
      </c>
      <c r="BR2741" s="8" t="str">
        <v>Yes</v>
      </c>
    </row>
    <row r="2742" spans="54:70" x14ac:dyDescent="0.2">
      <c r="BB2742" s="94"/>
      <c r="BL2742" s="8">
        <v>2693</v>
      </c>
      <c r="BM2742" s="8">
        <v>5230640.3586685611</v>
      </c>
      <c r="BN2742" s="8">
        <v>0</v>
      </c>
      <c r="BO2742" s="8">
        <v>5230640.3586685611</v>
      </c>
      <c r="BP2742" s="8">
        <v>2233583.1879214486</v>
      </c>
      <c r="BQ2742" s="8">
        <v>-2997057.1707471125</v>
      </c>
      <c r="BR2742" s="8" t="str">
        <v>Yes</v>
      </c>
    </row>
    <row r="2743" spans="54:70" x14ac:dyDescent="0.2">
      <c r="BB2743" s="94"/>
      <c r="BL2743" s="8">
        <v>2694</v>
      </c>
      <c r="BM2743" s="8">
        <v>5701684.4489265019</v>
      </c>
      <c r="BN2743" s="8">
        <v>2664954.9351805048</v>
      </c>
      <c r="BO2743" s="8">
        <v>8366639.3841070067</v>
      </c>
      <c r="BP2743" s="8">
        <v>4216440.7529676203</v>
      </c>
      <c r="BQ2743" s="8">
        <v>-4150198.6311393864</v>
      </c>
      <c r="BR2743" s="8" t="str">
        <v>Yes</v>
      </c>
    </row>
    <row r="2744" spans="54:70" x14ac:dyDescent="0.2">
      <c r="BB2744" s="94"/>
      <c r="BL2744" s="8">
        <v>2695</v>
      </c>
      <c r="BM2744" s="8">
        <v>17663840.320355475</v>
      </c>
      <c r="BN2744" s="8">
        <v>7489677.4585871072</v>
      </c>
      <c r="BO2744" s="8">
        <v>25153517.778942581</v>
      </c>
      <c r="BP2744" s="8">
        <v>3459803.8363825791</v>
      </c>
      <c r="BQ2744" s="8">
        <v>-21693713.942560002</v>
      </c>
      <c r="BR2744" s="8" t="str">
        <v>Yes</v>
      </c>
    </row>
    <row r="2745" spans="54:70" x14ac:dyDescent="0.2">
      <c r="BB2745" s="94"/>
      <c r="BL2745" s="8">
        <v>2696</v>
      </c>
      <c r="BM2745" s="8">
        <v>2859682.2986517353</v>
      </c>
      <c r="BN2745" s="8">
        <v>0</v>
      </c>
      <c r="BO2745" s="8">
        <v>2859682.2986517353</v>
      </c>
      <c r="BP2745" s="8">
        <v>2358395.3611999918</v>
      </c>
      <c r="BQ2745" s="8">
        <v>-501286.93745174352</v>
      </c>
      <c r="BR2745" s="8" t="str">
        <v>Yes</v>
      </c>
    </row>
    <row r="2746" spans="54:70" x14ac:dyDescent="0.2">
      <c r="BB2746" s="94"/>
      <c r="BL2746" s="8">
        <v>2697</v>
      </c>
      <c r="BM2746" s="8">
        <v>2923532.0072524697</v>
      </c>
      <c r="BN2746" s="8">
        <v>0</v>
      </c>
      <c r="BO2746" s="8">
        <v>2923532.0072524697</v>
      </c>
      <c r="BP2746" s="8">
        <v>4272315.1698573045</v>
      </c>
      <c r="BQ2746" s="8">
        <v>1348783.1626048349</v>
      </c>
      <c r="BR2746" s="8" t="str">
        <v>No</v>
      </c>
    </row>
    <row r="2747" spans="54:70" x14ac:dyDescent="0.2">
      <c r="BB2747" s="94"/>
      <c r="BL2747" s="8">
        <v>2698</v>
      </c>
      <c r="BM2747" s="8">
        <v>2690670.9038165519</v>
      </c>
      <c r="BN2747" s="8">
        <v>144128.85237278108</v>
      </c>
      <c r="BO2747" s="8">
        <v>2834799.7561893328</v>
      </c>
      <c r="BP2747" s="8">
        <v>6033696.2140445402</v>
      </c>
      <c r="BQ2747" s="8">
        <v>3198896.4578552074</v>
      </c>
      <c r="BR2747" s="8" t="str">
        <v>No</v>
      </c>
    </row>
    <row r="2748" spans="54:70" x14ac:dyDescent="0.2">
      <c r="BB2748" s="94"/>
      <c r="BL2748" s="8">
        <v>2699</v>
      </c>
      <c r="BM2748" s="8">
        <v>4109161.0787359201</v>
      </c>
      <c r="BN2748" s="8">
        <v>0</v>
      </c>
      <c r="BO2748" s="8">
        <v>4109161.0787359201</v>
      </c>
      <c r="BP2748" s="8">
        <v>3556773.5445481329</v>
      </c>
      <c r="BQ2748" s="8">
        <v>-552387.53418778721</v>
      </c>
      <c r="BR2748" s="8" t="str">
        <v>Yes</v>
      </c>
    </row>
    <row r="2749" spans="54:70" x14ac:dyDescent="0.2">
      <c r="BB2749" s="94"/>
      <c r="BL2749" s="8">
        <v>2700</v>
      </c>
      <c r="BM2749" s="8">
        <v>2164597.936669623</v>
      </c>
      <c r="BN2749" s="8">
        <v>0</v>
      </c>
      <c r="BO2749" s="8">
        <v>2164597.936669623</v>
      </c>
      <c r="BP2749" s="8">
        <v>3311376.0531557593</v>
      </c>
      <c r="BQ2749" s="8">
        <v>1146778.1164861363</v>
      </c>
      <c r="BR2749" s="8" t="str">
        <v>No</v>
      </c>
    </row>
    <row r="2750" spans="54:70" x14ac:dyDescent="0.2">
      <c r="BB2750" s="94"/>
      <c r="BL2750" s="8">
        <v>2701</v>
      </c>
      <c r="BM2750" s="8">
        <v>3108194.7563767759</v>
      </c>
      <c r="BN2750" s="8">
        <v>1069476.284146646</v>
      </c>
      <c r="BO2750" s="8">
        <v>4177671.040523422</v>
      </c>
      <c r="BP2750" s="8">
        <v>6466349.1725387042</v>
      </c>
      <c r="BQ2750" s="8">
        <v>2288678.1320152823</v>
      </c>
      <c r="BR2750" s="8" t="str">
        <v>No</v>
      </c>
    </row>
    <row r="2751" spans="54:70" x14ac:dyDescent="0.2">
      <c r="BB2751" s="94"/>
      <c r="BL2751" s="8">
        <v>2702</v>
      </c>
      <c r="BM2751" s="8">
        <v>2086683.0022301564</v>
      </c>
      <c r="BN2751" s="8">
        <v>1145354.9426577287</v>
      </c>
      <c r="BO2751" s="8">
        <v>3232037.9448878849</v>
      </c>
      <c r="BP2751" s="8">
        <v>3312008.8542039092</v>
      </c>
      <c r="BQ2751" s="8">
        <v>79970.909316024277</v>
      </c>
      <c r="BR2751" s="8" t="str">
        <v>No</v>
      </c>
    </row>
    <row r="2752" spans="54:70" x14ac:dyDescent="0.2">
      <c r="BB2752" s="94"/>
      <c r="BL2752" s="8">
        <v>2703</v>
      </c>
      <c r="BM2752" s="8">
        <v>4521215.7225131039</v>
      </c>
      <c r="BN2752" s="8">
        <v>0</v>
      </c>
      <c r="BO2752" s="8">
        <v>4521215.7225131039</v>
      </c>
      <c r="BP2752" s="8">
        <v>2103835.2588042081</v>
      </c>
      <c r="BQ2752" s="8">
        <v>-2417380.4637088957</v>
      </c>
      <c r="BR2752" s="8" t="str">
        <v>Yes</v>
      </c>
    </row>
    <row r="2753" spans="54:70" x14ac:dyDescent="0.2">
      <c r="BB2753" s="94"/>
      <c r="BL2753" s="8">
        <v>2704</v>
      </c>
      <c r="BM2753" s="8">
        <v>2838428.5963384542</v>
      </c>
      <c r="BN2753" s="8">
        <v>0</v>
      </c>
      <c r="BO2753" s="8">
        <v>2838428.5963384542</v>
      </c>
      <c r="BP2753" s="8">
        <v>3221396.6903060097</v>
      </c>
      <c r="BQ2753" s="8">
        <v>382968.09396755556</v>
      </c>
      <c r="BR2753" s="8" t="str">
        <v>No</v>
      </c>
    </row>
    <row r="2754" spans="54:70" x14ac:dyDescent="0.2">
      <c r="BB2754" s="94"/>
      <c r="BL2754" s="8">
        <v>2705</v>
      </c>
      <c r="BM2754" s="8">
        <v>2930270.8002019469</v>
      </c>
      <c r="BN2754" s="8">
        <v>4412153.5028299671</v>
      </c>
      <c r="BO2754" s="8">
        <v>7342424.3030319139</v>
      </c>
      <c r="BP2754" s="8">
        <v>2467677.8635895359</v>
      </c>
      <c r="BQ2754" s="8">
        <v>-4874746.4394423775</v>
      </c>
      <c r="BR2754" s="8" t="str">
        <v>Yes</v>
      </c>
    </row>
    <row r="2755" spans="54:70" x14ac:dyDescent="0.2">
      <c r="BB2755" s="94"/>
      <c r="BL2755" s="8">
        <v>2706</v>
      </c>
      <c r="BM2755" s="8">
        <v>4181460.5053185378</v>
      </c>
      <c r="BN2755" s="8">
        <v>0</v>
      </c>
      <c r="BO2755" s="8">
        <v>4181460.5053185378</v>
      </c>
      <c r="BP2755" s="8">
        <v>2318186.4394756523</v>
      </c>
      <c r="BQ2755" s="8">
        <v>-1863274.0658428855</v>
      </c>
      <c r="BR2755" s="8" t="str">
        <v>Yes</v>
      </c>
    </row>
    <row r="2756" spans="54:70" x14ac:dyDescent="0.2">
      <c r="BB2756" s="94"/>
      <c r="BL2756" s="8">
        <v>2707</v>
      </c>
      <c r="BM2756" s="8">
        <v>3850739.6029972304</v>
      </c>
      <c r="BN2756" s="8">
        <v>3532464.7241672366</v>
      </c>
      <c r="BO2756" s="8">
        <v>7383204.3271644674</v>
      </c>
      <c r="BP2756" s="8">
        <v>4463601.9961787108</v>
      </c>
      <c r="BQ2756" s="8">
        <v>-2919602.3309857566</v>
      </c>
      <c r="BR2756" s="8" t="str">
        <v>Yes</v>
      </c>
    </row>
    <row r="2757" spans="54:70" x14ac:dyDescent="0.2">
      <c r="BB2757" s="94"/>
      <c r="BL2757" s="8">
        <v>2708</v>
      </c>
      <c r="BM2757" s="8">
        <v>9401590.7515632063</v>
      </c>
      <c r="BN2757" s="8">
        <v>0</v>
      </c>
      <c r="BO2757" s="8">
        <v>9401590.7515632063</v>
      </c>
      <c r="BP2757" s="8">
        <v>4009702.1183821042</v>
      </c>
      <c r="BQ2757" s="8">
        <v>-5391888.6331811026</v>
      </c>
      <c r="BR2757" s="8" t="str">
        <v>Yes</v>
      </c>
    </row>
    <row r="2758" spans="54:70" x14ac:dyDescent="0.2">
      <c r="BB2758" s="94"/>
      <c r="BL2758" s="8">
        <v>2709</v>
      </c>
      <c r="BM2758" s="8">
        <v>8767484.0600061938</v>
      </c>
      <c r="BN2758" s="8">
        <v>0</v>
      </c>
      <c r="BO2758" s="8">
        <v>8767484.0600061938</v>
      </c>
      <c r="BP2758" s="8">
        <v>6533453.8659406165</v>
      </c>
      <c r="BQ2758" s="8">
        <v>-2234030.1940655774</v>
      </c>
      <c r="BR2758" s="8" t="str">
        <v>Yes</v>
      </c>
    </row>
    <row r="2759" spans="54:70" x14ac:dyDescent="0.2">
      <c r="BB2759" s="94"/>
      <c r="BL2759" s="8">
        <v>2710</v>
      </c>
      <c r="BM2759" s="8">
        <v>2517499.1845150534</v>
      </c>
      <c r="BN2759" s="8">
        <v>522565.27762073796</v>
      </c>
      <c r="BO2759" s="8">
        <v>3040064.4621357913</v>
      </c>
      <c r="BP2759" s="8">
        <v>6586615.1355194543</v>
      </c>
      <c r="BQ2759" s="8">
        <v>3546550.6733836629</v>
      </c>
      <c r="BR2759" s="8" t="str">
        <v>No</v>
      </c>
    </row>
    <row r="2760" spans="54:70" x14ac:dyDescent="0.2">
      <c r="BB2760" s="94"/>
      <c r="BL2760" s="8">
        <v>2711</v>
      </c>
      <c r="BM2760" s="8">
        <v>4101906.6171154114</v>
      </c>
      <c r="BN2760" s="8">
        <v>0</v>
      </c>
      <c r="BO2760" s="8">
        <v>4101906.6171154114</v>
      </c>
      <c r="BP2760" s="8">
        <v>2593785.1481048078</v>
      </c>
      <c r="BQ2760" s="8">
        <v>-1508121.4690106036</v>
      </c>
      <c r="BR2760" s="8" t="str">
        <v>Yes</v>
      </c>
    </row>
    <row r="2761" spans="54:70" x14ac:dyDescent="0.2">
      <c r="BB2761" s="94"/>
      <c r="BL2761" s="8">
        <v>2712</v>
      </c>
      <c r="BM2761" s="8">
        <v>24992589.852591053</v>
      </c>
      <c r="BN2761" s="8">
        <v>18063160.14388752</v>
      </c>
      <c r="BO2761" s="8">
        <v>43055749.996478572</v>
      </c>
      <c r="BP2761" s="8">
        <v>4008600.7066941801</v>
      </c>
      <c r="BQ2761" s="8">
        <v>-39047149.289784394</v>
      </c>
      <c r="BR2761" s="8" t="str">
        <v>Yes</v>
      </c>
    </row>
    <row r="2762" spans="54:70" x14ac:dyDescent="0.2">
      <c r="BB2762" s="94"/>
      <c r="BL2762" s="8">
        <v>2713</v>
      </c>
      <c r="BM2762" s="8">
        <v>1400467.7884924647</v>
      </c>
      <c r="BN2762" s="8">
        <v>0</v>
      </c>
      <c r="BO2762" s="8">
        <v>1400467.7884924647</v>
      </c>
      <c r="BP2762" s="8">
        <v>3936722.6994526214</v>
      </c>
      <c r="BQ2762" s="8">
        <v>2536254.9109601565</v>
      </c>
      <c r="BR2762" s="8" t="str">
        <v>No</v>
      </c>
    </row>
    <row r="2763" spans="54:70" x14ac:dyDescent="0.2">
      <c r="BB2763" s="94"/>
      <c r="BL2763" s="8">
        <v>2714</v>
      </c>
      <c r="BM2763" s="8">
        <v>4627370.0259987637</v>
      </c>
      <c r="BN2763" s="8">
        <v>0</v>
      </c>
      <c r="BO2763" s="8">
        <v>4627370.0259987637</v>
      </c>
      <c r="BP2763" s="8">
        <v>5635781.9377502017</v>
      </c>
      <c r="BQ2763" s="8">
        <v>1008411.9117514379</v>
      </c>
      <c r="BR2763" s="8" t="str">
        <v>No</v>
      </c>
    </row>
    <row r="2764" spans="54:70" x14ac:dyDescent="0.2">
      <c r="BB2764" s="94"/>
      <c r="BL2764" s="8">
        <v>2715</v>
      </c>
      <c r="BM2764" s="8">
        <v>4657250.178885024</v>
      </c>
      <c r="BN2764" s="8">
        <v>4256689.6155721173</v>
      </c>
      <c r="BO2764" s="8">
        <v>8913939.7944571413</v>
      </c>
      <c r="BP2764" s="8">
        <v>5794717.5059267264</v>
      </c>
      <c r="BQ2764" s="8">
        <v>-3119222.2885304149</v>
      </c>
      <c r="BR2764" s="8" t="str">
        <v>Yes</v>
      </c>
    </row>
    <row r="2765" spans="54:70" x14ac:dyDescent="0.2">
      <c r="BB2765" s="94"/>
      <c r="BL2765" s="8">
        <v>2716</v>
      </c>
      <c r="BM2765" s="8">
        <v>5565642.1816114131</v>
      </c>
      <c r="BN2765" s="8">
        <v>5282697.6760279769</v>
      </c>
      <c r="BO2765" s="8">
        <v>10848339.857639391</v>
      </c>
      <c r="BP2765" s="8">
        <v>3235163.1146850819</v>
      </c>
      <c r="BQ2765" s="8">
        <v>-7613176.7429543091</v>
      </c>
      <c r="BR2765" s="8" t="str">
        <v>Yes</v>
      </c>
    </row>
    <row r="2766" spans="54:70" x14ac:dyDescent="0.2">
      <c r="BB2766" s="94"/>
      <c r="BL2766" s="8">
        <v>2717</v>
      </c>
      <c r="BM2766" s="8">
        <v>6159481.0077182474</v>
      </c>
      <c r="BN2766" s="8">
        <v>0</v>
      </c>
      <c r="BO2766" s="8">
        <v>6159481.0077182474</v>
      </c>
      <c r="BP2766" s="8">
        <v>6369396.6030610446</v>
      </c>
      <c r="BQ2766" s="8">
        <v>209915.59534279723</v>
      </c>
      <c r="BR2766" s="8" t="str">
        <v>No</v>
      </c>
    </row>
    <row r="2767" spans="54:70" x14ac:dyDescent="0.2">
      <c r="BB2767" s="94"/>
      <c r="BL2767" s="8">
        <v>2718</v>
      </c>
      <c r="BM2767" s="8">
        <v>10894654.850773204</v>
      </c>
      <c r="BN2767" s="8">
        <v>0</v>
      </c>
      <c r="BO2767" s="8">
        <v>10894654.850773204</v>
      </c>
      <c r="BP2767" s="8">
        <v>6054739.0508597419</v>
      </c>
      <c r="BQ2767" s="8">
        <v>-4839915.7999134623</v>
      </c>
      <c r="BR2767" s="8" t="str">
        <v>Yes</v>
      </c>
    </row>
    <row r="2768" spans="54:70" x14ac:dyDescent="0.2">
      <c r="BB2768" s="94"/>
      <c r="BL2768" s="8">
        <v>2719</v>
      </c>
      <c r="BM2768" s="8">
        <v>5253840.1939568799</v>
      </c>
      <c r="BN2768" s="8">
        <v>0</v>
      </c>
      <c r="BO2768" s="8">
        <v>5253840.1939568799</v>
      </c>
      <c r="BP2768" s="8">
        <v>4411180.1270090546</v>
      </c>
      <c r="BQ2768" s="8">
        <v>-842660.06694782525</v>
      </c>
      <c r="BR2768" s="8" t="str">
        <v>Yes</v>
      </c>
    </row>
    <row r="2769" spans="54:70" x14ac:dyDescent="0.2">
      <c r="BB2769" s="94"/>
      <c r="BL2769" s="8">
        <v>2720</v>
      </c>
      <c r="BM2769" s="8">
        <v>3808985.2733433642</v>
      </c>
      <c r="BN2769" s="8">
        <v>2789336.009654962</v>
      </c>
      <c r="BO2769" s="8">
        <v>6598321.2829983262</v>
      </c>
      <c r="BP2769" s="8">
        <v>3292368.7962811999</v>
      </c>
      <c r="BQ2769" s="8">
        <v>-3305952.4867171263</v>
      </c>
      <c r="BR2769" s="8" t="str">
        <v>Yes</v>
      </c>
    </row>
    <row r="2770" spans="54:70" x14ac:dyDescent="0.2">
      <c r="BB2770" s="94"/>
      <c r="BL2770" s="8">
        <v>2721</v>
      </c>
      <c r="BM2770" s="8">
        <v>5821748.2922880948</v>
      </c>
      <c r="BN2770" s="8">
        <v>4436448.913582921</v>
      </c>
      <c r="BO2770" s="8">
        <v>10258197.205871016</v>
      </c>
      <c r="BP2770" s="8">
        <v>4357093.0649878569</v>
      </c>
      <c r="BQ2770" s="8">
        <v>-5901104.1408831589</v>
      </c>
      <c r="BR2770" s="8" t="str">
        <v>Yes</v>
      </c>
    </row>
    <row r="2771" spans="54:70" x14ac:dyDescent="0.2">
      <c r="BB2771" s="94"/>
      <c r="BL2771" s="8">
        <v>2722</v>
      </c>
      <c r="BM2771" s="8">
        <v>3541437.5901179928</v>
      </c>
      <c r="BN2771" s="8">
        <v>3129301.0720701707</v>
      </c>
      <c r="BO2771" s="8">
        <v>6670738.662188163</v>
      </c>
      <c r="BP2771" s="8">
        <v>6216590.4043611307</v>
      </c>
      <c r="BQ2771" s="8">
        <v>-454148.25782703236</v>
      </c>
      <c r="BR2771" s="8" t="str">
        <v>Yes</v>
      </c>
    </row>
    <row r="2772" spans="54:70" x14ac:dyDescent="0.2">
      <c r="BB2772" s="94"/>
      <c r="BL2772" s="8">
        <v>2723</v>
      </c>
      <c r="BM2772" s="8">
        <v>5000406.6892139558</v>
      </c>
      <c r="BN2772" s="8">
        <v>4177561.0410897364</v>
      </c>
      <c r="BO2772" s="8">
        <v>9177967.7303036917</v>
      </c>
      <c r="BP2772" s="8">
        <v>4711597.0842811661</v>
      </c>
      <c r="BQ2772" s="8">
        <v>-4466370.6460225256</v>
      </c>
      <c r="BR2772" s="8" t="str">
        <v>Yes</v>
      </c>
    </row>
    <row r="2773" spans="54:70" x14ac:dyDescent="0.2">
      <c r="BB2773" s="94"/>
      <c r="BL2773" s="8">
        <v>2724</v>
      </c>
      <c r="BM2773" s="8">
        <v>4732828.1300870273</v>
      </c>
      <c r="BN2773" s="8">
        <v>0</v>
      </c>
      <c r="BO2773" s="8">
        <v>4732828.1300870273</v>
      </c>
      <c r="BP2773" s="8">
        <v>6719361.665392179</v>
      </c>
      <c r="BQ2773" s="8">
        <v>1986533.5353051517</v>
      </c>
      <c r="BR2773" s="8" t="str">
        <v>No</v>
      </c>
    </row>
    <row r="2774" spans="54:70" x14ac:dyDescent="0.2">
      <c r="BB2774" s="94"/>
      <c r="BL2774" s="8">
        <v>2725</v>
      </c>
      <c r="BM2774" s="8">
        <v>2155321.4660747349</v>
      </c>
      <c r="BN2774" s="8">
        <v>0</v>
      </c>
      <c r="BO2774" s="8">
        <v>2155321.4660747349</v>
      </c>
      <c r="BP2774" s="8">
        <v>2314050.5807864461</v>
      </c>
      <c r="BQ2774" s="8">
        <v>158729.11471171118</v>
      </c>
      <c r="BR2774" s="8" t="str">
        <v>No</v>
      </c>
    </row>
    <row r="2775" spans="54:70" x14ac:dyDescent="0.2">
      <c r="BB2775" s="94"/>
      <c r="BL2775" s="8">
        <v>2726</v>
      </c>
      <c r="BM2775" s="8">
        <v>11127301.207170477</v>
      </c>
      <c r="BN2775" s="8">
        <v>18725578.98025563</v>
      </c>
      <c r="BO2775" s="8">
        <v>29852880.187426105</v>
      </c>
      <c r="BP2775" s="8">
        <v>4153469.3200620105</v>
      </c>
      <c r="BQ2775" s="8">
        <v>-25699410.867364094</v>
      </c>
      <c r="BR2775" s="8" t="str">
        <v>Yes</v>
      </c>
    </row>
    <row r="2776" spans="54:70" x14ac:dyDescent="0.2">
      <c r="BB2776" s="94"/>
      <c r="BL2776" s="8">
        <v>2727</v>
      </c>
      <c r="BM2776" s="8">
        <v>3173929.8200550182</v>
      </c>
      <c r="BN2776" s="8">
        <v>3636626.996522218</v>
      </c>
      <c r="BO2776" s="8">
        <v>6810556.8165772362</v>
      </c>
      <c r="BP2776" s="8">
        <v>2234976.9294275576</v>
      </c>
      <c r="BQ2776" s="8">
        <v>-4575579.8871496785</v>
      </c>
      <c r="BR2776" s="8" t="str">
        <v>Yes</v>
      </c>
    </row>
    <row r="2777" spans="54:70" x14ac:dyDescent="0.2">
      <c r="BB2777" s="94"/>
      <c r="BL2777" s="8">
        <v>2728</v>
      </c>
      <c r="BM2777" s="8">
        <v>1733553.202917451</v>
      </c>
      <c r="BN2777" s="8">
        <v>0</v>
      </c>
      <c r="BO2777" s="8">
        <v>1733553.202917451</v>
      </c>
      <c r="BP2777" s="8">
        <v>2005371.3638895964</v>
      </c>
      <c r="BQ2777" s="8">
        <v>271818.16097214539</v>
      </c>
      <c r="BR2777" s="8" t="str">
        <v>No</v>
      </c>
    </row>
    <row r="2778" spans="54:70" x14ac:dyDescent="0.2">
      <c r="BB2778" s="94"/>
      <c r="BL2778" s="8">
        <v>2729</v>
      </c>
      <c r="BM2778" s="8">
        <v>10000647.163079102</v>
      </c>
      <c r="BN2778" s="8">
        <v>14705123.870773919</v>
      </c>
      <c r="BO2778" s="8">
        <v>24705771.033853021</v>
      </c>
      <c r="BP2778" s="8">
        <v>2185618.7861721236</v>
      </c>
      <c r="BQ2778" s="8">
        <v>-22520152.247680895</v>
      </c>
      <c r="BR2778" s="8" t="str">
        <v>Yes</v>
      </c>
    </row>
    <row r="2779" spans="54:70" x14ac:dyDescent="0.2">
      <c r="BB2779" s="94"/>
      <c r="BL2779" s="8">
        <v>2730</v>
      </c>
      <c r="BM2779" s="8">
        <v>4663384.1246077046</v>
      </c>
      <c r="BN2779" s="8">
        <v>5501389.1806728356</v>
      </c>
      <c r="BO2779" s="8">
        <v>10164773.30528054</v>
      </c>
      <c r="BP2779" s="8">
        <v>2267911.8611495434</v>
      </c>
      <c r="BQ2779" s="8">
        <v>-7896861.4441309962</v>
      </c>
      <c r="BR2779" s="8" t="str">
        <v>Yes</v>
      </c>
    </row>
    <row r="2780" spans="54:70" x14ac:dyDescent="0.2">
      <c r="BB2780" s="94"/>
      <c r="BL2780" s="8">
        <v>2731</v>
      </c>
      <c r="BM2780" s="8">
        <v>5474871.3653075397</v>
      </c>
      <c r="BN2780" s="8">
        <v>0</v>
      </c>
      <c r="BO2780" s="8">
        <v>5474871.3653075397</v>
      </c>
      <c r="BP2780" s="8">
        <v>6101986.9685393227</v>
      </c>
      <c r="BQ2780" s="8">
        <v>627115.60323178302</v>
      </c>
      <c r="BR2780" s="8" t="str">
        <v>No</v>
      </c>
    </row>
    <row r="2781" spans="54:70" x14ac:dyDescent="0.2">
      <c r="BB2781" s="94"/>
      <c r="BL2781" s="8">
        <v>2732</v>
      </c>
      <c r="BM2781" s="8">
        <v>2720866.4160319129</v>
      </c>
      <c r="BN2781" s="8">
        <v>468988.77072756208</v>
      </c>
      <c r="BO2781" s="8">
        <v>3189855.1867594752</v>
      </c>
      <c r="BP2781" s="8">
        <v>6796595.9879486095</v>
      </c>
      <c r="BQ2781" s="8">
        <v>3606740.8011891344</v>
      </c>
      <c r="BR2781" s="8" t="str">
        <v>No</v>
      </c>
    </row>
    <row r="2782" spans="54:70" x14ac:dyDescent="0.2">
      <c r="BB2782" s="94"/>
      <c r="BL2782" s="8">
        <v>2733</v>
      </c>
      <c r="BM2782" s="8">
        <v>12715539.873446237</v>
      </c>
      <c r="BN2782" s="8">
        <v>0</v>
      </c>
      <c r="BO2782" s="8">
        <v>12715539.873446237</v>
      </c>
      <c r="BP2782" s="8">
        <v>5907069.6431195121</v>
      </c>
      <c r="BQ2782" s="8">
        <v>-6808470.2303267252</v>
      </c>
      <c r="BR2782" s="8" t="str">
        <v>Yes</v>
      </c>
    </row>
    <row r="2783" spans="54:70" x14ac:dyDescent="0.2">
      <c r="BB2783" s="94"/>
      <c r="BL2783" s="8">
        <v>2734</v>
      </c>
      <c r="BM2783" s="8">
        <v>5505046.1236030264</v>
      </c>
      <c r="BN2783" s="8">
        <v>0</v>
      </c>
      <c r="BO2783" s="8">
        <v>5505046.1236030264</v>
      </c>
      <c r="BP2783" s="8">
        <v>6764124.2158716051</v>
      </c>
      <c r="BQ2783" s="8">
        <v>1259078.0922685787</v>
      </c>
      <c r="BR2783" s="8" t="str">
        <v>No</v>
      </c>
    </row>
    <row r="2784" spans="54:70" x14ac:dyDescent="0.2">
      <c r="BB2784" s="94"/>
      <c r="BL2784" s="8">
        <v>2735</v>
      </c>
      <c r="BM2784" s="8">
        <v>8133952.5189593406</v>
      </c>
      <c r="BN2784" s="8">
        <v>10209806.169487573</v>
      </c>
      <c r="BO2784" s="8">
        <v>18343758.688446913</v>
      </c>
      <c r="BP2784" s="8">
        <v>6364267.5856136009</v>
      </c>
      <c r="BQ2784" s="8">
        <v>-11979491.102833312</v>
      </c>
      <c r="BR2784" s="8" t="str">
        <v>Yes</v>
      </c>
    </row>
    <row r="2785" spans="54:70" x14ac:dyDescent="0.2">
      <c r="BB2785" s="94"/>
      <c r="BL2785" s="8">
        <v>2736</v>
      </c>
      <c r="BM2785" s="8">
        <v>6346151.2111509033</v>
      </c>
      <c r="BN2785" s="8">
        <v>0</v>
      </c>
      <c r="BO2785" s="8">
        <v>6346151.2111509033</v>
      </c>
      <c r="BP2785" s="8">
        <v>4263572.718689234</v>
      </c>
      <c r="BQ2785" s="8">
        <v>-2082578.4924616693</v>
      </c>
      <c r="BR2785" s="8" t="str">
        <v>Yes</v>
      </c>
    </row>
    <row r="2786" spans="54:70" x14ac:dyDescent="0.2">
      <c r="BB2786" s="94"/>
      <c r="BL2786" s="8">
        <v>2737</v>
      </c>
      <c r="BM2786" s="8">
        <v>8198508.3069169689</v>
      </c>
      <c r="BN2786" s="8">
        <v>7677609.4230370875</v>
      </c>
      <c r="BO2786" s="8">
        <v>15876117.729954056</v>
      </c>
      <c r="BP2786" s="8">
        <v>4100165.0248099286</v>
      </c>
      <c r="BQ2786" s="8">
        <v>-11775952.705144128</v>
      </c>
      <c r="BR2786" s="8" t="str">
        <v>Yes</v>
      </c>
    </row>
    <row r="2787" spans="54:70" x14ac:dyDescent="0.2">
      <c r="BB2787" s="94"/>
      <c r="BL2787" s="8">
        <v>2738</v>
      </c>
      <c r="BM2787" s="8">
        <v>3870131.7763837143</v>
      </c>
      <c r="BN2787" s="8">
        <v>2782952.5396219031</v>
      </c>
      <c r="BO2787" s="8">
        <v>6653084.3160056174</v>
      </c>
      <c r="BP2787" s="8">
        <v>3495704.9069849411</v>
      </c>
      <c r="BQ2787" s="8">
        <v>-3157379.4090206763</v>
      </c>
      <c r="BR2787" s="8" t="str">
        <v>Yes</v>
      </c>
    </row>
    <row r="2788" spans="54:70" x14ac:dyDescent="0.2">
      <c r="BB2788" s="94"/>
      <c r="BL2788" s="8">
        <v>2739</v>
      </c>
      <c r="BM2788" s="8">
        <v>8671576.4793895315</v>
      </c>
      <c r="BN2788" s="8">
        <v>0</v>
      </c>
      <c r="BO2788" s="8">
        <v>8671576.4793895315</v>
      </c>
      <c r="BP2788" s="8">
        <v>3049409.3189196493</v>
      </c>
      <c r="BQ2788" s="8">
        <v>-5622167.1604698822</v>
      </c>
      <c r="BR2788" s="8" t="str">
        <v>Yes</v>
      </c>
    </row>
    <row r="2789" spans="54:70" x14ac:dyDescent="0.2">
      <c r="BB2789" s="94"/>
      <c r="BL2789" s="8">
        <v>2740</v>
      </c>
      <c r="BM2789" s="8">
        <v>10611518.91535091</v>
      </c>
      <c r="BN2789" s="8">
        <v>20268326.824263848</v>
      </c>
      <c r="BO2789" s="8">
        <v>30879845.739614759</v>
      </c>
      <c r="BP2789" s="8">
        <v>6063178.0387948677</v>
      </c>
      <c r="BQ2789" s="8">
        <v>-24816667.700819891</v>
      </c>
      <c r="BR2789" s="8" t="str">
        <v>Yes</v>
      </c>
    </row>
    <row r="2790" spans="54:70" x14ac:dyDescent="0.2">
      <c r="BB2790" s="94"/>
      <c r="BL2790" s="8">
        <v>2741</v>
      </c>
      <c r="BM2790" s="8">
        <v>2337704.2634487646</v>
      </c>
      <c r="BN2790" s="8">
        <v>0</v>
      </c>
      <c r="BO2790" s="8">
        <v>2337704.2634487646</v>
      </c>
      <c r="BP2790" s="8">
        <v>5995620.1817924157</v>
      </c>
      <c r="BQ2790" s="8">
        <v>3657915.9183436511</v>
      </c>
      <c r="BR2790" s="8" t="str">
        <v>No</v>
      </c>
    </row>
    <row r="2791" spans="54:70" x14ac:dyDescent="0.2">
      <c r="BB2791" s="94"/>
      <c r="BL2791" s="8">
        <v>2742</v>
      </c>
      <c r="BM2791" s="8">
        <v>4666526.8095414611</v>
      </c>
      <c r="BN2791" s="8">
        <v>2248810.8922340786</v>
      </c>
      <c r="BO2791" s="8">
        <v>6915337.7017755397</v>
      </c>
      <c r="BP2791" s="8">
        <v>4050913.6072783982</v>
      </c>
      <c r="BQ2791" s="8">
        <v>-2864424.0944971414</v>
      </c>
      <c r="BR2791" s="8" t="str">
        <v>Yes</v>
      </c>
    </row>
    <row r="2792" spans="54:70" x14ac:dyDescent="0.2">
      <c r="BB2792" s="94"/>
      <c r="BL2792" s="8">
        <v>2743</v>
      </c>
      <c r="BM2792" s="8">
        <v>4162164.7844094364</v>
      </c>
      <c r="BN2792" s="8">
        <v>0</v>
      </c>
      <c r="BO2792" s="8">
        <v>4162164.7844094364</v>
      </c>
      <c r="BP2792" s="8">
        <v>6181799.844621012</v>
      </c>
      <c r="BQ2792" s="8">
        <v>2019635.0602115756</v>
      </c>
      <c r="BR2792" s="8" t="str">
        <v>No</v>
      </c>
    </row>
    <row r="2793" spans="54:70" x14ac:dyDescent="0.2">
      <c r="BB2793" s="94"/>
      <c r="BL2793" s="8">
        <v>2744</v>
      </c>
      <c r="BM2793" s="8">
        <v>5003419.2820291715</v>
      </c>
      <c r="BN2793" s="8">
        <v>5204243.3678300595</v>
      </c>
      <c r="BO2793" s="8">
        <v>10207662.649859231</v>
      </c>
      <c r="BP2793" s="8">
        <v>4270097.0714568207</v>
      </c>
      <c r="BQ2793" s="8">
        <v>-5937565.5784024103</v>
      </c>
      <c r="BR2793" s="8" t="str">
        <v>Yes</v>
      </c>
    </row>
    <row r="2794" spans="54:70" x14ac:dyDescent="0.2">
      <c r="BB2794" s="94"/>
      <c r="BL2794" s="8">
        <v>2745</v>
      </c>
      <c r="BM2794" s="8">
        <v>4974723.8136410024</v>
      </c>
      <c r="BN2794" s="8">
        <v>6257810.8695207937</v>
      </c>
      <c r="BO2794" s="8">
        <v>11232534.683161795</v>
      </c>
      <c r="BP2794" s="8">
        <v>2487692.7124972739</v>
      </c>
      <c r="BQ2794" s="8">
        <v>-8744841.9706645217</v>
      </c>
      <c r="BR2794" s="8" t="str">
        <v>Yes</v>
      </c>
    </row>
    <row r="2795" spans="54:70" x14ac:dyDescent="0.2">
      <c r="BB2795" s="94"/>
      <c r="BL2795" s="8">
        <v>2746</v>
      </c>
      <c r="BM2795" s="8">
        <v>3948200.2031844803</v>
      </c>
      <c r="BN2795" s="8">
        <v>0</v>
      </c>
      <c r="BO2795" s="8">
        <v>3948200.2031844803</v>
      </c>
      <c r="BP2795" s="8">
        <v>2258609.2605623659</v>
      </c>
      <c r="BQ2795" s="8">
        <v>-1689590.9426221144</v>
      </c>
      <c r="BR2795" s="8" t="str">
        <v>Yes</v>
      </c>
    </row>
    <row r="2796" spans="54:70" x14ac:dyDescent="0.2">
      <c r="BB2796" s="94"/>
      <c r="BL2796" s="8">
        <v>2747</v>
      </c>
      <c r="BM2796" s="8">
        <v>4956334.1567807514</v>
      </c>
      <c r="BN2796" s="8">
        <v>6278526.4236181369</v>
      </c>
      <c r="BO2796" s="8">
        <v>11234860.580398887</v>
      </c>
      <c r="BP2796" s="8">
        <v>3896623.7746972512</v>
      </c>
      <c r="BQ2796" s="8">
        <v>-7338236.8057016358</v>
      </c>
      <c r="BR2796" s="8" t="str">
        <v>Yes</v>
      </c>
    </row>
    <row r="2797" spans="54:70" x14ac:dyDescent="0.2">
      <c r="BB2797" s="94"/>
      <c r="BL2797" s="8">
        <v>2748</v>
      </c>
      <c r="BM2797" s="8">
        <v>3966428.7058820948</v>
      </c>
      <c r="BN2797" s="8">
        <v>0</v>
      </c>
      <c r="BO2797" s="8">
        <v>3966428.7058820948</v>
      </c>
      <c r="BP2797" s="8">
        <v>2137711.478865745</v>
      </c>
      <c r="BQ2797" s="8">
        <v>-1828717.2270163498</v>
      </c>
      <c r="BR2797" s="8" t="str">
        <v>Yes</v>
      </c>
    </row>
    <row r="2798" spans="54:70" x14ac:dyDescent="0.2">
      <c r="BB2798" s="94"/>
      <c r="BL2798" s="8">
        <v>2749</v>
      </c>
      <c r="BM2798" s="8">
        <v>3886467.517472811</v>
      </c>
      <c r="BN2798" s="8">
        <v>4992812.2373521803</v>
      </c>
      <c r="BO2798" s="8">
        <v>8879279.7548249923</v>
      </c>
      <c r="BP2798" s="8">
        <v>3221938.0076314113</v>
      </c>
      <c r="BQ2798" s="8">
        <v>-5657341.7471935805</v>
      </c>
      <c r="BR2798" s="8" t="str">
        <v>Yes</v>
      </c>
    </row>
    <row r="2799" spans="54:70" x14ac:dyDescent="0.2">
      <c r="BB2799" s="94"/>
      <c r="BL2799" s="8">
        <v>2750</v>
      </c>
      <c r="BM2799" s="8">
        <v>3738096.5569359409</v>
      </c>
      <c r="BN2799" s="8">
        <v>0</v>
      </c>
      <c r="BO2799" s="8">
        <v>3738096.5569359409</v>
      </c>
      <c r="BP2799" s="8">
        <v>3190123.1690878877</v>
      </c>
      <c r="BQ2799" s="8">
        <v>-547973.38784805313</v>
      </c>
      <c r="BR2799" s="8" t="str">
        <v>Yes</v>
      </c>
    </row>
    <row r="2800" spans="54:70" x14ac:dyDescent="0.2">
      <c r="BB2800" s="94"/>
      <c r="BL2800" s="8">
        <v>2751</v>
      </c>
      <c r="BM2800" s="8">
        <v>4924833.806305374</v>
      </c>
      <c r="BN2800" s="8">
        <v>4849686.0724421646</v>
      </c>
      <c r="BO2800" s="8">
        <v>9774519.8787475377</v>
      </c>
      <c r="BP2800" s="8">
        <v>3950017.8572848509</v>
      </c>
      <c r="BQ2800" s="8">
        <v>-5824502.0214626864</v>
      </c>
      <c r="BR2800" s="8" t="str">
        <v>Yes</v>
      </c>
    </row>
    <row r="2801" spans="54:70" x14ac:dyDescent="0.2">
      <c r="BB2801" s="94"/>
      <c r="BL2801" s="8">
        <v>2752</v>
      </c>
      <c r="BM2801" s="8">
        <v>3843192.9060660927</v>
      </c>
      <c r="BN2801" s="8">
        <v>4963225.2099079797</v>
      </c>
      <c r="BO2801" s="8">
        <v>8806418.1159740724</v>
      </c>
      <c r="BP2801" s="8">
        <v>3496642.5215915558</v>
      </c>
      <c r="BQ2801" s="8">
        <v>-5309775.594382517</v>
      </c>
      <c r="BR2801" s="8" t="str">
        <v>Yes</v>
      </c>
    </row>
    <row r="2802" spans="54:70" x14ac:dyDescent="0.2">
      <c r="BB2802" s="94"/>
      <c r="BL2802" s="8">
        <v>2753</v>
      </c>
      <c r="BM2802" s="8">
        <v>3039886.6253202856</v>
      </c>
      <c r="BN2802" s="8">
        <v>0</v>
      </c>
      <c r="BO2802" s="8">
        <v>3039886.6253202856</v>
      </c>
      <c r="BP2802" s="8">
        <v>6290423.3709639153</v>
      </c>
      <c r="BQ2802" s="8">
        <v>3250536.7456436297</v>
      </c>
      <c r="BR2802" s="8" t="str">
        <v>No</v>
      </c>
    </row>
    <row r="2803" spans="54:70" x14ac:dyDescent="0.2">
      <c r="BB2803" s="94"/>
      <c r="BL2803" s="8">
        <v>2754</v>
      </c>
      <c r="BM2803" s="8">
        <v>3944611.1250700969</v>
      </c>
      <c r="BN2803" s="8">
        <v>0</v>
      </c>
      <c r="BO2803" s="8">
        <v>3944611.1250700969</v>
      </c>
      <c r="BP2803" s="8">
        <v>3209638.2595829088</v>
      </c>
      <c r="BQ2803" s="8">
        <v>-734972.8654871881</v>
      </c>
      <c r="BR2803" s="8" t="str">
        <v>Yes</v>
      </c>
    </row>
    <row r="2804" spans="54:70" x14ac:dyDescent="0.2">
      <c r="BB2804" s="94"/>
      <c r="BL2804" s="8">
        <v>2755</v>
      </c>
      <c r="BM2804" s="8">
        <v>2908118.7094520284</v>
      </c>
      <c r="BN2804" s="8">
        <v>1699478.5409100945</v>
      </c>
      <c r="BO2804" s="8">
        <v>4607597.2503621224</v>
      </c>
      <c r="BP2804" s="8">
        <v>3362861.5359305558</v>
      </c>
      <c r="BQ2804" s="8">
        <v>-1244735.7144315667</v>
      </c>
      <c r="BR2804" s="8" t="str">
        <v>Yes</v>
      </c>
    </row>
    <row r="2805" spans="54:70" x14ac:dyDescent="0.2">
      <c r="BB2805" s="94"/>
      <c r="BL2805" s="8">
        <v>2756</v>
      </c>
      <c r="BM2805" s="8">
        <v>10186438.949115468</v>
      </c>
      <c r="BN2805" s="8">
        <v>8425317.3248227574</v>
      </c>
      <c r="BO2805" s="8">
        <v>18611756.273938224</v>
      </c>
      <c r="BP2805" s="8">
        <v>3552089.9868736099</v>
      </c>
      <c r="BQ2805" s="8">
        <v>-15059666.287064614</v>
      </c>
      <c r="BR2805" s="8" t="str">
        <v>Yes</v>
      </c>
    </row>
    <row r="2806" spans="54:70" x14ac:dyDescent="0.2">
      <c r="BB2806" s="94"/>
      <c r="BL2806" s="8">
        <v>2757</v>
      </c>
      <c r="BM2806" s="8">
        <v>2608802.2489166996</v>
      </c>
      <c r="BN2806" s="8">
        <v>0</v>
      </c>
      <c r="BO2806" s="8">
        <v>2608802.2489166996</v>
      </c>
      <c r="BP2806" s="8">
        <v>3373266.3944868827</v>
      </c>
      <c r="BQ2806" s="8">
        <v>764464.14557018317</v>
      </c>
      <c r="BR2806" s="8" t="str">
        <v>No</v>
      </c>
    </row>
    <row r="2807" spans="54:70" x14ac:dyDescent="0.2">
      <c r="BB2807" s="94"/>
      <c r="BL2807" s="8">
        <v>2758</v>
      </c>
      <c r="BM2807" s="8">
        <v>2122373.8194962796</v>
      </c>
      <c r="BN2807" s="8">
        <v>1360128.3858520424</v>
      </c>
      <c r="BO2807" s="8">
        <v>3482502.2053483222</v>
      </c>
      <c r="BP2807" s="8">
        <v>2460545.9377128133</v>
      </c>
      <c r="BQ2807" s="8">
        <v>-1021956.2676355089</v>
      </c>
      <c r="BR2807" s="8" t="str">
        <v>Yes</v>
      </c>
    </row>
    <row r="2808" spans="54:70" x14ac:dyDescent="0.2">
      <c r="BB2808" s="94"/>
      <c r="BL2808" s="8">
        <v>2759</v>
      </c>
      <c r="BM2808" s="8">
        <v>6234412.4985868037</v>
      </c>
      <c r="BN2808" s="8">
        <v>7136167.0948064933</v>
      </c>
      <c r="BO2808" s="8">
        <v>13370579.593393296</v>
      </c>
      <c r="BP2808" s="8">
        <v>4515540.3897925811</v>
      </c>
      <c r="BQ2808" s="8">
        <v>-8855039.2036007158</v>
      </c>
      <c r="BR2808" s="8" t="str">
        <v>Yes</v>
      </c>
    </row>
    <row r="2809" spans="54:70" x14ac:dyDescent="0.2">
      <c r="BB2809" s="94"/>
      <c r="BL2809" s="8">
        <v>2760</v>
      </c>
      <c r="BM2809" s="8">
        <v>5152536.687204469</v>
      </c>
      <c r="BN2809" s="8">
        <v>5533203.0825106055</v>
      </c>
      <c r="BO2809" s="8">
        <v>10685739.769715074</v>
      </c>
      <c r="BP2809" s="8">
        <v>4140970.3048095391</v>
      </c>
      <c r="BQ2809" s="8">
        <v>-6544769.4649055358</v>
      </c>
      <c r="BR2809" s="8" t="str">
        <v>Yes</v>
      </c>
    </row>
    <row r="2810" spans="54:70" x14ac:dyDescent="0.2">
      <c r="BB2810" s="94"/>
      <c r="BL2810" s="8">
        <v>2761</v>
      </c>
      <c r="BM2810" s="8">
        <v>1524069.6742910969</v>
      </c>
      <c r="BN2810" s="8">
        <v>0</v>
      </c>
      <c r="BO2810" s="8">
        <v>1524069.6742910969</v>
      </c>
      <c r="BP2810" s="8">
        <v>2505581.6533932178</v>
      </c>
      <c r="BQ2810" s="8">
        <v>981511.97910212097</v>
      </c>
      <c r="BR2810" s="8" t="str">
        <v>No</v>
      </c>
    </row>
    <row r="2811" spans="54:70" x14ac:dyDescent="0.2">
      <c r="BB2811" s="94"/>
      <c r="BL2811" s="8">
        <v>2762</v>
      </c>
      <c r="BM2811" s="8">
        <v>2606481.8027431415</v>
      </c>
      <c r="BN2811" s="8">
        <v>0</v>
      </c>
      <c r="BO2811" s="8">
        <v>2606481.8027431415</v>
      </c>
      <c r="BP2811" s="8">
        <v>3663185.6503375797</v>
      </c>
      <c r="BQ2811" s="8">
        <v>1056703.8475944381</v>
      </c>
      <c r="BR2811" s="8" t="str">
        <v>No</v>
      </c>
    </row>
    <row r="2812" spans="54:70" x14ac:dyDescent="0.2">
      <c r="BB2812" s="94"/>
      <c r="BL2812" s="8">
        <v>2763</v>
      </c>
      <c r="BM2812" s="8">
        <v>4744086.9257254256</v>
      </c>
      <c r="BN2812" s="8">
        <v>5565939.0787974522</v>
      </c>
      <c r="BO2812" s="8">
        <v>10310026.004522879</v>
      </c>
      <c r="BP2812" s="8">
        <v>6245015.0184944533</v>
      </c>
      <c r="BQ2812" s="8">
        <v>-4065010.9860284254</v>
      </c>
      <c r="BR2812" s="8" t="str">
        <v>Yes</v>
      </c>
    </row>
    <row r="2813" spans="54:70" x14ac:dyDescent="0.2">
      <c r="BB2813" s="94"/>
      <c r="BL2813" s="8">
        <v>2764</v>
      </c>
      <c r="BM2813" s="8">
        <v>7003059.3550604312</v>
      </c>
      <c r="BN2813" s="8">
        <v>0</v>
      </c>
      <c r="BO2813" s="8">
        <v>7003059.3550604312</v>
      </c>
      <c r="BP2813" s="8">
        <v>2243877.1161545822</v>
      </c>
      <c r="BQ2813" s="8">
        <v>-4759182.2389058489</v>
      </c>
      <c r="BR2813" s="8" t="str">
        <v>Yes</v>
      </c>
    </row>
    <row r="2814" spans="54:70" x14ac:dyDescent="0.2">
      <c r="BB2814" s="94"/>
      <c r="BL2814" s="8">
        <v>2765</v>
      </c>
      <c r="BM2814" s="8">
        <v>4217976.8812116263</v>
      </c>
      <c r="BN2814" s="8">
        <v>0</v>
      </c>
      <c r="BO2814" s="8">
        <v>4217976.8812116263</v>
      </c>
      <c r="BP2814" s="8">
        <v>6597026.9721612111</v>
      </c>
      <c r="BQ2814" s="8">
        <v>2379050.0909495847</v>
      </c>
      <c r="BR2814" s="8" t="str">
        <v>No</v>
      </c>
    </row>
    <row r="2815" spans="54:70" x14ac:dyDescent="0.2">
      <c r="BB2815" s="94"/>
      <c r="BL2815" s="8">
        <v>2766</v>
      </c>
      <c r="BM2815" s="8">
        <v>6243266.597053485</v>
      </c>
      <c r="BN2815" s="8">
        <v>0</v>
      </c>
      <c r="BO2815" s="8">
        <v>6243266.597053485</v>
      </c>
      <c r="BP2815" s="8">
        <v>3349099.0352397067</v>
      </c>
      <c r="BQ2815" s="8">
        <v>-2894167.5618137782</v>
      </c>
      <c r="BR2815" s="8" t="str">
        <v>Yes</v>
      </c>
    </row>
    <row r="2816" spans="54:70" x14ac:dyDescent="0.2">
      <c r="BB2816" s="94"/>
      <c r="BL2816" s="8">
        <v>2767</v>
      </c>
      <c r="BM2816" s="8">
        <v>5006896.2047418933</v>
      </c>
      <c r="BN2816" s="8">
        <v>4136120.6093993126</v>
      </c>
      <c r="BO2816" s="8">
        <v>9143016.8141412064</v>
      </c>
      <c r="BP2816" s="8">
        <v>5872824.4944411544</v>
      </c>
      <c r="BQ2816" s="8">
        <v>-3270192.319700052</v>
      </c>
      <c r="BR2816" s="8" t="str">
        <v>Yes</v>
      </c>
    </row>
    <row r="2817" spans="54:70" x14ac:dyDescent="0.2">
      <c r="BB2817" s="94"/>
      <c r="BL2817" s="8">
        <v>2768</v>
      </c>
      <c r="BM2817" s="8">
        <v>2668574.8869238156</v>
      </c>
      <c r="BN2817" s="8">
        <v>0</v>
      </c>
      <c r="BO2817" s="8">
        <v>2668574.8869238156</v>
      </c>
      <c r="BP2817" s="8">
        <v>3530625.5041423915</v>
      </c>
      <c r="BQ2817" s="8">
        <v>862050.61721857591</v>
      </c>
      <c r="BR2817" s="8" t="str">
        <v>No</v>
      </c>
    </row>
    <row r="2818" spans="54:70" x14ac:dyDescent="0.2">
      <c r="BB2818" s="94"/>
      <c r="BL2818" s="8">
        <v>2769</v>
      </c>
      <c r="BM2818" s="8">
        <v>5875804.2191709485</v>
      </c>
      <c r="BN2818" s="8">
        <v>0</v>
      </c>
      <c r="BO2818" s="8">
        <v>5875804.2191709485</v>
      </c>
      <c r="BP2818" s="8">
        <v>6400515.9590205653</v>
      </c>
      <c r="BQ2818" s="8">
        <v>524711.73984961677</v>
      </c>
      <c r="BR2818" s="8" t="str">
        <v>No</v>
      </c>
    </row>
    <row r="2819" spans="54:70" x14ac:dyDescent="0.2">
      <c r="BB2819" s="94"/>
      <c r="BL2819" s="8">
        <v>2770</v>
      </c>
      <c r="BM2819" s="8">
        <v>4113630.7834673822</v>
      </c>
      <c r="BN2819" s="8">
        <v>2257674.8549913745</v>
      </c>
      <c r="BO2819" s="8">
        <v>6371305.6384587567</v>
      </c>
      <c r="BP2819" s="8">
        <v>6468334.8024828481</v>
      </c>
      <c r="BQ2819" s="8">
        <v>97029.164024091326</v>
      </c>
      <c r="BR2819" s="8" t="str">
        <v>No</v>
      </c>
    </row>
    <row r="2820" spans="54:70" x14ac:dyDescent="0.2">
      <c r="BB2820" s="94"/>
      <c r="BL2820" s="8">
        <v>2771</v>
      </c>
      <c r="BM2820" s="8">
        <v>3676278.2029202334</v>
      </c>
      <c r="BN2820" s="8">
        <v>0</v>
      </c>
      <c r="BO2820" s="8">
        <v>3676278.2029202334</v>
      </c>
      <c r="BP2820" s="8">
        <v>3525387.2410661923</v>
      </c>
      <c r="BQ2820" s="8">
        <v>-150890.96185404109</v>
      </c>
      <c r="BR2820" s="8" t="str">
        <v>Yes</v>
      </c>
    </row>
    <row r="2821" spans="54:70" x14ac:dyDescent="0.2">
      <c r="BB2821" s="94"/>
      <c r="BL2821" s="8">
        <v>2772</v>
      </c>
      <c r="BM2821" s="8">
        <v>4263474.4007349135</v>
      </c>
      <c r="BN2821" s="8">
        <v>2219321.2836981206</v>
      </c>
      <c r="BO2821" s="8">
        <v>6482795.6844330337</v>
      </c>
      <c r="BP2821" s="8">
        <v>6054845.1631829338</v>
      </c>
      <c r="BQ2821" s="8">
        <v>-427950.52125009988</v>
      </c>
      <c r="BR2821" s="8" t="str">
        <v>Yes</v>
      </c>
    </row>
    <row r="2822" spans="54:70" x14ac:dyDescent="0.2">
      <c r="BB2822" s="94"/>
      <c r="BL2822" s="8">
        <v>2773</v>
      </c>
      <c r="BM2822" s="8">
        <v>2885260.6932353652</v>
      </c>
      <c r="BN2822" s="8">
        <v>1146445.0315954271</v>
      </c>
      <c r="BO2822" s="8">
        <v>4031705.7248307923</v>
      </c>
      <c r="BP2822" s="8">
        <v>4248394.862869177</v>
      </c>
      <c r="BQ2822" s="8">
        <v>216689.13803838473</v>
      </c>
      <c r="BR2822" s="8" t="str">
        <v>No</v>
      </c>
    </row>
    <row r="2823" spans="54:70" x14ac:dyDescent="0.2">
      <c r="BB2823" s="94"/>
      <c r="BL2823" s="8">
        <v>2774</v>
      </c>
      <c r="BM2823" s="8">
        <v>3602113.6674774159</v>
      </c>
      <c r="BN2823" s="8">
        <v>0</v>
      </c>
      <c r="BO2823" s="8">
        <v>3602113.6674774159</v>
      </c>
      <c r="BP2823" s="8">
        <v>6412521.688925134</v>
      </c>
      <c r="BQ2823" s="8">
        <v>2810408.0214477181</v>
      </c>
      <c r="BR2823" s="8" t="str">
        <v>No</v>
      </c>
    </row>
    <row r="2824" spans="54:70" x14ac:dyDescent="0.2">
      <c r="BB2824" s="94"/>
      <c r="BL2824" s="8">
        <v>2775</v>
      </c>
      <c r="BM2824" s="8">
        <v>6000898.7533989288</v>
      </c>
      <c r="BN2824" s="8">
        <v>0</v>
      </c>
      <c r="BO2824" s="8">
        <v>6000898.7533989288</v>
      </c>
      <c r="BP2824" s="8">
        <v>4112415.2439085273</v>
      </c>
      <c r="BQ2824" s="8">
        <v>-1888483.5094904015</v>
      </c>
      <c r="BR2824" s="8" t="str">
        <v>Yes</v>
      </c>
    </row>
    <row r="2825" spans="54:70" x14ac:dyDescent="0.2">
      <c r="BB2825" s="94"/>
      <c r="BL2825" s="8">
        <v>2776</v>
      </c>
      <c r="BM2825" s="8">
        <v>1927150.8919729746</v>
      </c>
      <c r="BN2825" s="8">
        <v>0</v>
      </c>
      <c r="BO2825" s="8">
        <v>1927150.8919729746</v>
      </c>
      <c r="BP2825" s="8">
        <v>3233191.4621800669</v>
      </c>
      <c r="BQ2825" s="8">
        <v>1306040.5702070922</v>
      </c>
      <c r="BR2825" s="8" t="str">
        <v>No</v>
      </c>
    </row>
    <row r="2826" spans="54:70" x14ac:dyDescent="0.2">
      <c r="BB2826" s="94"/>
      <c r="BL2826" s="8">
        <v>2777</v>
      </c>
      <c r="BM2826" s="8">
        <v>6556578.3679227196</v>
      </c>
      <c r="BN2826" s="8">
        <v>0</v>
      </c>
      <c r="BO2826" s="8">
        <v>6556578.3679227196</v>
      </c>
      <c r="BP2826" s="8">
        <v>3874857.2729918226</v>
      </c>
      <c r="BQ2826" s="8">
        <v>-2681721.094930897</v>
      </c>
      <c r="BR2826" s="8" t="str">
        <v>Yes</v>
      </c>
    </row>
    <row r="2827" spans="54:70" x14ac:dyDescent="0.2">
      <c r="BB2827" s="94"/>
      <c r="BL2827" s="8">
        <v>2778</v>
      </c>
      <c r="BM2827" s="8">
        <v>3329184.8149415576</v>
      </c>
      <c r="BN2827" s="8">
        <v>0</v>
      </c>
      <c r="BO2827" s="8">
        <v>3329184.8149415576</v>
      </c>
      <c r="BP2827" s="8">
        <v>5624552.6329944599</v>
      </c>
      <c r="BQ2827" s="8">
        <v>2295367.8180529024</v>
      </c>
      <c r="BR2827" s="8" t="str">
        <v>No</v>
      </c>
    </row>
    <row r="2828" spans="54:70" x14ac:dyDescent="0.2">
      <c r="BB2828" s="94"/>
      <c r="BL2828" s="8">
        <v>2779</v>
      </c>
      <c r="BM2828" s="8">
        <v>3276057.7915947856</v>
      </c>
      <c r="BN2828" s="8">
        <v>0</v>
      </c>
      <c r="BO2828" s="8">
        <v>3276057.7915947856</v>
      </c>
      <c r="BP2828" s="8">
        <v>4411744.8643806418</v>
      </c>
      <c r="BQ2828" s="8">
        <v>1135687.0727858562</v>
      </c>
      <c r="BR2828" s="8" t="str">
        <v>No</v>
      </c>
    </row>
    <row r="2829" spans="54:70" x14ac:dyDescent="0.2">
      <c r="BB2829" s="94"/>
      <c r="BL2829" s="8">
        <v>2780</v>
      </c>
      <c r="BM2829" s="8">
        <v>5449791.0727274874</v>
      </c>
      <c r="BN2829" s="8">
        <v>0</v>
      </c>
      <c r="BO2829" s="8">
        <v>5449791.0727274874</v>
      </c>
      <c r="BP2829" s="8">
        <v>4517880.7249015188</v>
      </c>
      <c r="BQ2829" s="8">
        <v>-931910.34782596864</v>
      </c>
      <c r="BR2829" s="8" t="str">
        <v>Yes</v>
      </c>
    </row>
    <row r="2830" spans="54:70" x14ac:dyDescent="0.2">
      <c r="BB2830" s="94"/>
      <c r="BL2830" s="8">
        <v>2781</v>
      </c>
      <c r="BM2830" s="8">
        <v>5664816.2108022626</v>
      </c>
      <c r="BN2830" s="8">
        <v>0</v>
      </c>
      <c r="BO2830" s="8">
        <v>5664816.2108022626</v>
      </c>
      <c r="BP2830" s="8">
        <v>4230009.1866886485</v>
      </c>
      <c r="BQ2830" s="8">
        <v>-1434807.0241136141</v>
      </c>
      <c r="BR2830" s="8" t="str">
        <v>Yes</v>
      </c>
    </row>
    <row r="2831" spans="54:70" x14ac:dyDescent="0.2">
      <c r="BB2831" s="94"/>
      <c r="BL2831" s="8">
        <v>2782</v>
      </c>
      <c r="BM2831" s="8">
        <v>3869683.9767882712</v>
      </c>
      <c r="BN2831" s="8">
        <v>0</v>
      </c>
      <c r="BO2831" s="8">
        <v>3869683.9767882712</v>
      </c>
      <c r="BP2831" s="8">
        <v>5793503.1677971128</v>
      </c>
      <c r="BQ2831" s="8">
        <v>1923819.1910088416</v>
      </c>
      <c r="BR2831" s="8" t="str">
        <v>No</v>
      </c>
    </row>
    <row r="2832" spans="54:70" x14ac:dyDescent="0.2">
      <c r="BB2832" s="94"/>
      <c r="BL2832" s="8">
        <v>2783</v>
      </c>
      <c r="BM2832" s="8">
        <v>2751462.6130223451</v>
      </c>
      <c r="BN2832" s="8">
        <v>638009.05252570729</v>
      </c>
      <c r="BO2832" s="8">
        <v>3389471.6655480526</v>
      </c>
      <c r="BP2832" s="8">
        <v>5608322.2314101234</v>
      </c>
      <c r="BQ2832" s="8">
        <v>2218850.5658620708</v>
      </c>
      <c r="BR2832" s="8" t="str">
        <v>No</v>
      </c>
    </row>
    <row r="2833" spans="54:70" x14ac:dyDescent="0.2">
      <c r="BB2833" s="94"/>
      <c r="BL2833" s="8">
        <v>2784</v>
      </c>
      <c r="BM2833" s="8">
        <v>1613983.472063343</v>
      </c>
      <c r="BN2833" s="8">
        <v>1144144.8462102409</v>
      </c>
      <c r="BO2833" s="8">
        <v>2758128.3182735839</v>
      </c>
      <c r="BP2833" s="8">
        <v>3097077.2184164049</v>
      </c>
      <c r="BQ2833" s="8">
        <v>338948.90014282102</v>
      </c>
      <c r="BR2833" s="8" t="str">
        <v>No</v>
      </c>
    </row>
    <row r="2834" spans="54:70" x14ac:dyDescent="0.2">
      <c r="BB2834" s="94"/>
      <c r="BL2834" s="8">
        <v>2785</v>
      </c>
      <c r="BM2834" s="8">
        <v>3133034.6543740062</v>
      </c>
      <c r="BN2834" s="8">
        <v>4101418.1414217008</v>
      </c>
      <c r="BO2834" s="8">
        <v>7234452.795795707</v>
      </c>
      <c r="BP2834" s="8">
        <v>3450641.1706644297</v>
      </c>
      <c r="BQ2834" s="8">
        <v>-3783811.6251312774</v>
      </c>
      <c r="BR2834" s="8" t="str">
        <v>Yes</v>
      </c>
    </row>
    <row r="2835" spans="54:70" x14ac:dyDescent="0.2">
      <c r="BB2835" s="94"/>
      <c r="BL2835" s="8">
        <v>2786</v>
      </c>
      <c r="BM2835" s="8">
        <v>3276313.2093056543</v>
      </c>
      <c r="BN2835" s="8">
        <v>0</v>
      </c>
      <c r="BO2835" s="8">
        <v>3276313.2093056543</v>
      </c>
      <c r="BP2835" s="8">
        <v>6162568.5439598169</v>
      </c>
      <c r="BQ2835" s="8">
        <v>2886255.3346541626</v>
      </c>
      <c r="BR2835" s="8" t="str">
        <v>No</v>
      </c>
    </row>
    <row r="2836" spans="54:70" x14ac:dyDescent="0.2">
      <c r="BB2836" s="94"/>
      <c r="BL2836" s="8">
        <v>2787</v>
      </c>
      <c r="BM2836" s="8">
        <v>7614622.5644695135</v>
      </c>
      <c r="BN2836" s="8">
        <v>5548032.0723070893</v>
      </c>
      <c r="BO2836" s="8">
        <v>13162654.636776604</v>
      </c>
      <c r="BP2836" s="8">
        <v>4266311.1921307463</v>
      </c>
      <c r="BQ2836" s="8">
        <v>-8896343.4446458574</v>
      </c>
      <c r="BR2836" s="8" t="str">
        <v>Yes</v>
      </c>
    </row>
    <row r="2837" spans="54:70" x14ac:dyDescent="0.2">
      <c r="BB2837" s="94"/>
      <c r="BL2837" s="8">
        <v>2788</v>
      </c>
      <c r="BM2837" s="8">
        <v>3117988.2794493688</v>
      </c>
      <c r="BN2837" s="8">
        <v>885627.4679221008</v>
      </c>
      <c r="BO2837" s="8">
        <v>4003615.7473714696</v>
      </c>
      <c r="BP2837" s="8">
        <v>6504356.5184483603</v>
      </c>
      <c r="BQ2837" s="8">
        <v>2500740.7710768906</v>
      </c>
      <c r="BR2837" s="8" t="str">
        <v>No</v>
      </c>
    </row>
    <row r="2838" spans="54:70" x14ac:dyDescent="0.2">
      <c r="BB2838" s="94"/>
      <c r="BL2838" s="8">
        <v>2789</v>
      </c>
      <c r="BM2838" s="8">
        <v>2822731.4137660153</v>
      </c>
      <c r="BN2838" s="8">
        <v>1058417.8654055602</v>
      </c>
      <c r="BO2838" s="8">
        <v>3881149.2791715758</v>
      </c>
      <c r="BP2838" s="8">
        <v>6177160.7738320967</v>
      </c>
      <c r="BQ2838" s="8">
        <v>2296011.4946605209</v>
      </c>
      <c r="BR2838" s="8" t="str">
        <v>No</v>
      </c>
    </row>
    <row r="2839" spans="54:70" x14ac:dyDescent="0.2">
      <c r="BB2839" s="94"/>
      <c r="BL2839" s="8">
        <v>2790</v>
      </c>
      <c r="BM2839" s="8">
        <v>6944140.4940700186</v>
      </c>
      <c r="BN2839" s="8">
        <v>0</v>
      </c>
      <c r="BO2839" s="8">
        <v>6944140.4940700186</v>
      </c>
      <c r="BP2839" s="8">
        <v>3343235.3376967353</v>
      </c>
      <c r="BQ2839" s="8">
        <v>-3600905.1563732834</v>
      </c>
      <c r="BR2839" s="8" t="str">
        <v>Yes</v>
      </c>
    </row>
    <row r="2840" spans="54:70" x14ac:dyDescent="0.2">
      <c r="BB2840" s="94"/>
      <c r="BL2840" s="8">
        <v>2791</v>
      </c>
      <c r="BM2840" s="8">
        <v>3462334.8000775408</v>
      </c>
      <c r="BN2840" s="8">
        <v>0</v>
      </c>
      <c r="BO2840" s="8">
        <v>3462334.8000775408</v>
      </c>
      <c r="BP2840" s="8">
        <v>6518184.9384373408</v>
      </c>
      <c r="BQ2840" s="8">
        <v>3055850.1383598</v>
      </c>
      <c r="BR2840" s="8" t="str">
        <v>No</v>
      </c>
    </row>
    <row r="2841" spans="54:70" x14ac:dyDescent="0.2">
      <c r="BB2841" s="94"/>
      <c r="BL2841" s="8">
        <v>2792</v>
      </c>
      <c r="BM2841" s="8">
        <v>4888263.3658314114</v>
      </c>
      <c r="BN2841" s="8">
        <v>3613248.6050250474</v>
      </c>
      <c r="BO2841" s="8">
        <v>8501511.9708564579</v>
      </c>
      <c r="BP2841" s="8">
        <v>5984948.079620339</v>
      </c>
      <c r="BQ2841" s="8">
        <v>-2516563.891236119</v>
      </c>
      <c r="BR2841" s="8" t="str">
        <v>Yes</v>
      </c>
    </row>
    <row r="2842" spans="54:70" x14ac:dyDescent="0.2">
      <c r="BB2842" s="94"/>
      <c r="BL2842" s="8">
        <v>2793</v>
      </c>
      <c r="BM2842" s="8">
        <v>5745302.3563835081</v>
      </c>
      <c r="BN2842" s="8">
        <v>2264346.0843269308</v>
      </c>
      <c r="BO2842" s="8">
        <v>8009648.4407104384</v>
      </c>
      <c r="BP2842" s="8">
        <v>6505902.1517185895</v>
      </c>
      <c r="BQ2842" s="8">
        <v>-1503746.2889918489</v>
      </c>
      <c r="BR2842" s="8" t="str">
        <v>Yes</v>
      </c>
    </row>
    <row r="2843" spans="54:70" x14ac:dyDescent="0.2">
      <c r="BB2843" s="94"/>
      <c r="BL2843" s="8">
        <v>2794</v>
      </c>
      <c r="BM2843" s="8">
        <v>6475767.7812212612</v>
      </c>
      <c r="BN2843" s="8">
        <v>0</v>
      </c>
      <c r="BO2843" s="8">
        <v>6475767.7812212612</v>
      </c>
      <c r="BP2843" s="8">
        <v>6367130.3709877832</v>
      </c>
      <c r="BQ2843" s="8">
        <v>-108637.41023347806</v>
      </c>
      <c r="BR2843" s="8" t="str">
        <v>Yes</v>
      </c>
    </row>
    <row r="2844" spans="54:70" x14ac:dyDescent="0.2">
      <c r="BB2844" s="94"/>
      <c r="BL2844" s="8">
        <v>2795</v>
      </c>
      <c r="BM2844" s="8">
        <v>2495595.5621086359</v>
      </c>
      <c r="BN2844" s="8">
        <v>-38894.209026906305</v>
      </c>
      <c r="BO2844" s="8">
        <v>2456701.3530817297</v>
      </c>
      <c r="BP2844" s="8">
        <v>6478836.6128070243</v>
      </c>
      <c r="BQ2844" s="8">
        <v>4022135.2597252945</v>
      </c>
      <c r="BR2844" s="8" t="str">
        <v>No</v>
      </c>
    </row>
    <row r="2845" spans="54:70" x14ac:dyDescent="0.2">
      <c r="BB2845" s="94"/>
      <c r="BL2845" s="8">
        <v>2796</v>
      </c>
      <c r="BM2845" s="8">
        <v>5649466.6712419726</v>
      </c>
      <c r="BN2845" s="8">
        <v>0</v>
      </c>
      <c r="BO2845" s="8">
        <v>5649466.6712419726</v>
      </c>
      <c r="BP2845" s="8">
        <v>2295819.0037378771</v>
      </c>
      <c r="BQ2845" s="8">
        <v>-3353647.6675040955</v>
      </c>
      <c r="BR2845" s="8" t="str">
        <v>Yes</v>
      </c>
    </row>
    <row r="2846" spans="54:70" x14ac:dyDescent="0.2">
      <c r="BB2846" s="94"/>
      <c r="BL2846" s="8">
        <v>2797</v>
      </c>
      <c r="BM2846" s="8">
        <v>13040276.722041242</v>
      </c>
      <c r="BN2846" s="8">
        <v>0</v>
      </c>
      <c r="BO2846" s="8">
        <v>13040276.722041242</v>
      </c>
      <c r="BP2846" s="8">
        <v>6601131.7510546846</v>
      </c>
      <c r="BQ2846" s="8">
        <v>-6439144.9709865572</v>
      </c>
      <c r="BR2846" s="8" t="str">
        <v>Yes</v>
      </c>
    </row>
    <row r="2847" spans="54:70" x14ac:dyDescent="0.2">
      <c r="BB2847" s="94"/>
      <c r="BL2847" s="8">
        <v>2798</v>
      </c>
      <c r="BM2847" s="8">
        <v>8189206.020705116</v>
      </c>
      <c r="BN2847" s="8">
        <v>0</v>
      </c>
      <c r="BO2847" s="8">
        <v>8189206.020705116</v>
      </c>
      <c r="BP2847" s="8">
        <v>2200605.2953600478</v>
      </c>
      <c r="BQ2847" s="8">
        <v>-5988600.7253450677</v>
      </c>
      <c r="BR2847" s="8" t="str">
        <v>Yes</v>
      </c>
    </row>
    <row r="2848" spans="54:70" x14ac:dyDescent="0.2">
      <c r="BB2848" s="94"/>
      <c r="BL2848" s="8">
        <v>2799</v>
      </c>
      <c r="BM2848" s="8">
        <v>11029966.043345043</v>
      </c>
      <c r="BN2848" s="8">
        <v>11921845.734195029</v>
      </c>
      <c r="BO2848" s="8">
        <v>22951811.777540073</v>
      </c>
      <c r="BP2848" s="8">
        <v>2354394.3004397769</v>
      </c>
      <c r="BQ2848" s="8">
        <v>-20597417.477100298</v>
      </c>
      <c r="BR2848" s="8" t="str">
        <v>Yes</v>
      </c>
    </row>
    <row r="2849" spans="54:70" x14ac:dyDescent="0.2">
      <c r="BB2849" s="94"/>
      <c r="BL2849" s="8">
        <v>2800</v>
      </c>
      <c r="BM2849" s="8">
        <v>4734975.0022484036</v>
      </c>
      <c r="BN2849" s="8">
        <v>0</v>
      </c>
      <c r="BO2849" s="8">
        <v>4734975.0022484036</v>
      </c>
      <c r="BP2849" s="8">
        <v>2379200.4793444318</v>
      </c>
      <c r="BQ2849" s="8">
        <v>-2355774.5229039718</v>
      </c>
      <c r="BR2849" s="8" t="str">
        <v>Yes</v>
      </c>
    </row>
    <row r="2850" spans="54:70" x14ac:dyDescent="0.2">
      <c r="BB2850" s="94"/>
      <c r="BL2850" s="8">
        <v>2801</v>
      </c>
      <c r="BM2850" s="8">
        <v>4156166.8779279739</v>
      </c>
      <c r="BN2850" s="8">
        <v>0</v>
      </c>
      <c r="BO2850" s="8">
        <v>4156166.8779279739</v>
      </c>
      <c r="BP2850" s="8">
        <v>4296297.6864887914</v>
      </c>
      <c r="BQ2850" s="8">
        <v>140130.8085608175</v>
      </c>
      <c r="BR2850" s="8" t="str">
        <v>No</v>
      </c>
    </row>
    <row r="2851" spans="54:70" x14ac:dyDescent="0.2">
      <c r="BB2851" s="94"/>
      <c r="BL2851" s="8">
        <v>2802</v>
      </c>
      <c r="BM2851" s="8">
        <v>6814215.8223772962</v>
      </c>
      <c r="BN2851" s="8">
        <v>3728410.8076115819</v>
      </c>
      <c r="BO2851" s="8">
        <v>10542626.629988879</v>
      </c>
      <c r="BP2851" s="8">
        <v>2141516.8355803192</v>
      </c>
      <c r="BQ2851" s="8">
        <v>-8401109.7944085598</v>
      </c>
      <c r="BR2851" s="8" t="str">
        <v>Yes</v>
      </c>
    </row>
    <row r="2852" spans="54:70" x14ac:dyDescent="0.2">
      <c r="BB2852" s="94"/>
      <c r="BL2852" s="8">
        <v>2803</v>
      </c>
      <c r="BM2852" s="8">
        <v>6867418.9986498654</v>
      </c>
      <c r="BN2852" s="8">
        <v>0</v>
      </c>
      <c r="BO2852" s="8">
        <v>6867418.9986498654</v>
      </c>
      <c r="BP2852" s="8">
        <v>6401217.718214226</v>
      </c>
      <c r="BQ2852" s="8">
        <v>-466201.28043563943</v>
      </c>
      <c r="BR2852" s="8" t="str">
        <v>Yes</v>
      </c>
    </row>
    <row r="2853" spans="54:70" x14ac:dyDescent="0.2">
      <c r="BB2853" s="94"/>
      <c r="BL2853" s="8">
        <v>2804</v>
      </c>
      <c r="BM2853" s="8">
        <v>3227967.3381192079</v>
      </c>
      <c r="BN2853" s="8">
        <v>2938401.9284061766</v>
      </c>
      <c r="BO2853" s="8">
        <v>6166369.266525384</v>
      </c>
      <c r="BP2853" s="8">
        <v>3259306.1342715397</v>
      </c>
      <c r="BQ2853" s="8">
        <v>-2907063.1322538443</v>
      </c>
      <c r="BR2853" s="8" t="str">
        <v>Yes</v>
      </c>
    </row>
    <row r="2854" spans="54:70" x14ac:dyDescent="0.2">
      <c r="BB2854" s="94"/>
      <c r="BL2854" s="8">
        <v>2805</v>
      </c>
      <c r="BM2854" s="8">
        <v>3751060.1580720041</v>
      </c>
      <c r="BN2854" s="8">
        <v>1177247.0914605015</v>
      </c>
      <c r="BO2854" s="8">
        <v>4928307.2495325059</v>
      </c>
      <c r="BP2854" s="8">
        <v>3598560.9731211565</v>
      </c>
      <c r="BQ2854" s="8">
        <v>-1329746.2764113494</v>
      </c>
      <c r="BR2854" s="8" t="str">
        <v>Yes</v>
      </c>
    </row>
    <row r="2855" spans="54:70" x14ac:dyDescent="0.2">
      <c r="BB2855" s="94"/>
      <c r="BL2855" s="8">
        <v>2806</v>
      </c>
      <c r="BM2855" s="8">
        <v>4563206.5803750344</v>
      </c>
      <c r="BN2855" s="8">
        <v>0</v>
      </c>
      <c r="BO2855" s="8">
        <v>4563206.5803750344</v>
      </c>
      <c r="BP2855" s="8">
        <v>4198909.319903098</v>
      </c>
      <c r="BQ2855" s="8">
        <v>-364297.26047193632</v>
      </c>
      <c r="BR2855" s="8" t="str">
        <v>Yes</v>
      </c>
    </row>
    <row r="2856" spans="54:70" x14ac:dyDescent="0.2">
      <c r="BB2856" s="94"/>
      <c r="BL2856" s="8">
        <v>2807</v>
      </c>
      <c r="BM2856" s="8">
        <v>2960123.2418505019</v>
      </c>
      <c r="BN2856" s="8">
        <v>2962284.5400309041</v>
      </c>
      <c r="BO2856" s="8">
        <v>5922407.781881406</v>
      </c>
      <c r="BP2856" s="8">
        <v>4519134.4712098166</v>
      </c>
      <c r="BQ2856" s="8">
        <v>-1403273.3106715893</v>
      </c>
      <c r="BR2856" s="8" t="str">
        <v>Yes</v>
      </c>
    </row>
    <row r="2857" spans="54:70" x14ac:dyDescent="0.2">
      <c r="BB2857" s="94"/>
      <c r="BL2857" s="8">
        <v>2808</v>
      </c>
      <c r="BM2857" s="8">
        <v>8453988.8832169939</v>
      </c>
      <c r="BN2857" s="8">
        <v>0</v>
      </c>
      <c r="BO2857" s="8">
        <v>8453988.8832169939</v>
      </c>
      <c r="BP2857" s="8">
        <v>3838169.5770718949</v>
      </c>
      <c r="BQ2857" s="8">
        <v>-4615819.306145099</v>
      </c>
      <c r="BR2857" s="8" t="str">
        <v>Yes</v>
      </c>
    </row>
    <row r="2858" spans="54:70" x14ac:dyDescent="0.2">
      <c r="BB2858" s="94"/>
      <c r="BL2858" s="8">
        <v>2809</v>
      </c>
      <c r="BM2858" s="8">
        <v>4383200.6938265683</v>
      </c>
      <c r="BN2858" s="8">
        <v>8994129.3082400523</v>
      </c>
      <c r="BO2858" s="8">
        <v>13377330.00206662</v>
      </c>
      <c r="BP2858" s="8">
        <v>2718416.268946745</v>
      </c>
      <c r="BQ2858" s="8">
        <v>-10658913.733119875</v>
      </c>
      <c r="BR2858" s="8" t="str">
        <v>Yes</v>
      </c>
    </row>
    <row r="2859" spans="54:70" x14ac:dyDescent="0.2">
      <c r="BB2859" s="94"/>
      <c r="BL2859" s="8">
        <v>2810</v>
      </c>
      <c r="BM2859" s="8">
        <v>2401887.4008300295</v>
      </c>
      <c r="BN2859" s="8">
        <v>1147858.1590343905</v>
      </c>
      <c r="BO2859" s="8">
        <v>3549745.55986442</v>
      </c>
      <c r="BP2859" s="8">
        <v>3662408.6507678474</v>
      </c>
      <c r="BQ2859" s="8">
        <v>112663.09090342745</v>
      </c>
      <c r="BR2859" s="8" t="str">
        <v>No</v>
      </c>
    </row>
    <row r="2860" spans="54:70" x14ac:dyDescent="0.2">
      <c r="BB2860" s="94"/>
      <c r="BL2860" s="8">
        <v>2811</v>
      </c>
      <c r="BM2860" s="8">
        <v>8039641.8228518665</v>
      </c>
      <c r="BN2860" s="8">
        <v>10572264.353765324</v>
      </c>
      <c r="BO2860" s="8">
        <v>18611906.17661719</v>
      </c>
      <c r="BP2860" s="8">
        <v>5850800.4840554595</v>
      </c>
      <c r="BQ2860" s="8">
        <v>-12761105.692561731</v>
      </c>
      <c r="BR2860" s="8" t="str">
        <v>Yes</v>
      </c>
    </row>
    <row r="2861" spans="54:70" x14ac:dyDescent="0.2">
      <c r="BB2861" s="94"/>
      <c r="BL2861" s="8">
        <v>2812</v>
      </c>
      <c r="BM2861" s="8">
        <v>2373048.6798600084</v>
      </c>
      <c r="BN2861" s="8">
        <v>2182564.2253818493</v>
      </c>
      <c r="BO2861" s="8">
        <v>4555612.9052418582</v>
      </c>
      <c r="BP2861" s="8">
        <v>3517725.0718787173</v>
      </c>
      <c r="BQ2861" s="8">
        <v>-1037887.8333631409</v>
      </c>
      <c r="BR2861" s="8" t="str">
        <v>Yes</v>
      </c>
    </row>
    <row r="2862" spans="54:70" x14ac:dyDescent="0.2">
      <c r="BB2862" s="94"/>
      <c r="BL2862" s="8">
        <v>2813</v>
      </c>
      <c r="BM2862" s="8">
        <v>3159689.2780069364</v>
      </c>
      <c r="BN2862" s="8">
        <v>2289846.9481533617</v>
      </c>
      <c r="BO2862" s="8">
        <v>5449536.2261602981</v>
      </c>
      <c r="BP2862" s="8">
        <v>6212841.7297460148</v>
      </c>
      <c r="BQ2862" s="8">
        <v>763305.50358571671</v>
      </c>
      <c r="BR2862" s="8" t="str">
        <v>No</v>
      </c>
    </row>
    <row r="2863" spans="54:70" x14ac:dyDescent="0.2">
      <c r="BB2863" s="94"/>
      <c r="BL2863" s="8">
        <v>2814</v>
      </c>
      <c r="BM2863" s="8">
        <v>3816196.1489568376</v>
      </c>
      <c r="BN2863" s="8">
        <v>977745.79417677177</v>
      </c>
      <c r="BO2863" s="8">
        <v>4793941.9431336094</v>
      </c>
      <c r="BP2863" s="8">
        <v>4373042.5114000188</v>
      </c>
      <c r="BQ2863" s="8">
        <v>-420899.43173359055</v>
      </c>
      <c r="BR2863" s="8" t="str">
        <v>Yes</v>
      </c>
    </row>
    <row r="2864" spans="54:70" x14ac:dyDescent="0.2">
      <c r="BB2864" s="94"/>
      <c r="BL2864" s="8">
        <v>2815</v>
      </c>
      <c r="BM2864" s="8">
        <v>6736062.5934572089</v>
      </c>
      <c r="BN2864" s="8">
        <v>4500705.8768160306</v>
      </c>
      <c r="BO2864" s="8">
        <v>11236768.47027324</v>
      </c>
      <c r="BP2864" s="8">
        <v>6193813.989249588</v>
      </c>
      <c r="BQ2864" s="8">
        <v>-5042954.4810236515</v>
      </c>
      <c r="BR2864" s="8" t="str">
        <v>Yes</v>
      </c>
    </row>
    <row r="2865" spans="54:70" x14ac:dyDescent="0.2">
      <c r="BB2865" s="94"/>
      <c r="BL2865" s="8">
        <v>2816</v>
      </c>
      <c r="BM2865" s="8">
        <v>7910995.8454845892</v>
      </c>
      <c r="BN2865" s="8">
        <v>0</v>
      </c>
      <c r="BO2865" s="8">
        <v>7910995.8454845892</v>
      </c>
      <c r="BP2865" s="8">
        <v>3022332.2316786326</v>
      </c>
      <c r="BQ2865" s="8">
        <v>-4888663.6138059571</v>
      </c>
      <c r="BR2865" s="8" t="str">
        <v>Yes</v>
      </c>
    </row>
    <row r="2866" spans="54:70" x14ac:dyDescent="0.2">
      <c r="BB2866" s="94"/>
      <c r="BL2866" s="8">
        <v>2817</v>
      </c>
      <c r="BM2866" s="8">
        <v>5901180.5984245501</v>
      </c>
      <c r="BN2866" s="8">
        <v>5365226.6328186151</v>
      </c>
      <c r="BO2866" s="8">
        <v>11266407.231243165</v>
      </c>
      <c r="BP2866" s="8">
        <v>4437576.4229160734</v>
      </c>
      <c r="BQ2866" s="8">
        <v>-6828830.8083270919</v>
      </c>
      <c r="BR2866" s="8" t="str">
        <v>Yes</v>
      </c>
    </row>
    <row r="2867" spans="54:70" x14ac:dyDescent="0.2">
      <c r="BB2867" s="94"/>
      <c r="BL2867" s="8">
        <v>2818</v>
      </c>
      <c r="BM2867" s="8">
        <v>4970601.3815526357</v>
      </c>
      <c r="BN2867" s="8">
        <v>0</v>
      </c>
      <c r="BO2867" s="8">
        <v>4970601.3815526357</v>
      </c>
      <c r="BP2867" s="8">
        <v>4866244.7283083564</v>
      </c>
      <c r="BQ2867" s="8">
        <v>-104356.65324427933</v>
      </c>
      <c r="BR2867" s="8" t="str">
        <v>Yes</v>
      </c>
    </row>
    <row r="2868" spans="54:70" x14ac:dyDescent="0.2">
      <c r="BB2868" s="94"/>
      <c r="BL2868" s="8">
        <v>2819</v>
      </c>
      <c r="BM2868" s="8">
        <v>10649569.946489206</v>
      </c>
      <c r="BN2868" s="8">
        <v>0</v>
      </c>
      <c r="BO2868" s="8">
        <v>10649569.946489206</v>
      </c>
      <c r="BP2868" s="8">
        <v>6326604.6031512571</v>
      </c>
      <c r="BQ2868" s="8">
        <v>-4322965.3433379484</v>
      </c>
      <c r="BR2868" s="8" t="str">
        <v>Yes</v>
      </c>
    </row>
    <row r="2869" spans="54:70" x14ac:dyDescent="0.2">
      <c r="BB2869" s="94"/>
      <c r="BL2869" s="8">
        <v>2820</v>
      </c>
      <c r="BM2869" s="8">
        <v>4356793.2767550796</v>
      </c>
      <c r="BN2869" s="8">
        <v>0</v>
      </c>
      <c r="BO2869" s="8">
        <v>4356793.2767550796</v>
      </c>
      <c r="BP2869" s="8">
        <v>2197124.9536080738</v>
      </c>
      <c r="BQ2869" s="8">
        <v>-2159668.3231470059</v>
      </c>
      <c r="BR2869" s="8" t="str">
        <v>Yes</v>
      </c>
    </row>
    <row r="2870" spans="54:70" x14ac:dyDescent="0.2">
      <c r="BB2870" s="94"/>
      <c r="BL2870" s="8">
        <v>2821</v>
      </c>
      <c r="BM2870" s="8">
        <v>2391054.5876629259</v>
      </c>
      <c r="BN2870" s="8">
        <v>0</v>
      </c>
      <c r="BO2870" s="8">
        <v>2391054.5876629259</v>
      </c>
      <c r="BP2870" s="8">
        <v>2210092.1135697742</v>
      </c>
      <c r="BQ2870" s="8">
        <v>-180962.47409315174</v>
      </c>
      <c r="BR2870" s="8" t="str">
        <v>Yes</v>
      </c>
    </row>
    <row r="2871" spans="54:70" x14ac:dyDescent="0.2">
      <c r="BB2871" s="94"/>
      <c r="BL2871" s="8">
        <v>2822</v>
      </c>
      <c r="BM2871" s="8">
        <v>8714041.2643266711</v>
      </c>
      <c r="BN2871" s="8">
        <v>7753296.0921315886</v>
      </c>
      <c r="BO2871" s="8">
        <v>16467337.35645826</v>
      </c>
      <c r="BP2871" s="8">
        <v>3844464.008550941</v>
      </c>
      <c r="BQ2871" s="8">
        <v>-12622873.34790732</v>
      </c>
      <c r="BR2871" s="8" t="str">
        <v>Yes</v>
      </c>
    </row>
    <row r="2872" spans="54:70" x14ac:dyDescent="0.2">
      <c r="BB2872" s="94"/>
      <c r="BL2872" s="8">
        <v>2823</v>
      </c>
      <c r="BM2872" s="8">
        <v>5699429.979975475</v>
      </c>
      <c r="BN2872" s="8">
        <v>9558398.5517462101</v>
      </c>
      <c r="BO2872" s="8">
        <v>15257828.531721685</v>
      </c>
      <c r="BP2872" s="8">
        <v>6084896.8044990944</v>
      </c>
      <c r="BQ2872" s="8">
        <v>-9172931.7272225916</v>
      </c>
      <c r="BR2872" s="8" t="str">
        <v>Yes</v>
      </c>
    </row>
    <row r="2873" spans="54:70" x14ac:dyDescent="0.2">
      <c r="BB2873" s="94"/>
      <c r="BL2873" s="8">
        <v>2824</v>
      </c>
      <c r="BM2873" s="8">
        <v>5320355.2388582453</v>
      </c>
      <c r="BN2873" s="8">
        <v>0</v>
      </c>
      <c r="BO2873" s="8">
        <v>5320355.2388582453</v>
      </c>
      <c r="BP2873" s="8">
        <v>6761239.2980420003</v>
      </c>
      <c r="BQ2873" s="8">
        <v>1440884.059183755</v>
      </c>
      <c r="BR2873" s="8" t="str">
        <v>No</v>
      </c>
    </row>
    <row r="2874" spans="54:70" x14ac:dyDescent="0.2">
      <c r="BB2874" s="94"/>
      <c r="BL2874" s="8">
        <v>2825</v>
      </c>
      <c r="BM2874" s="8">
        <v>11778075.813978776</v>
      </c>
      <c r="BN2874" s="8">
        <v>5035705.5960917156</v>
      </c>
      <c r="BO2874" s="8">
        <v>16813781.410070494</v>
      </c>
      <c r="BP2874" s="8">
        <v>6264421.7196913427</v>
      </c>
      <c r="BQ2874" s="8">
        <v>-10549359.69037915</v>
      </c>
      <c r="BR2874" s="8" t="str">
        <v>Yes</v>
      </c>
    </row>
    <row r="2875" spans="54:70" x14ac:dyDescent="0.2">
      <c r="BB2875" s="94"/>
      <c r="BL2875" s="8">
        <v>2826</v>
      </c>
      <c r="BM2875" s="8">
        <v>5436557.5912388787</v>
      </c>
      <c r="BN2875" s="8">
        <v>0</v>
      </c>
      <c r="BO2875" s="8">
        <v>5436557.5912388787</v>
      </c>
      <c r="BP2875" s="8">
        <v>3327818.7951706941</v>
      </c>
      <c r="BQ2875" s="8">
        <v>-2108738.7960681845</v>
      </c>
      <c r="BR2875" s="8" t="str">
        <v>Yes</v>
      </c>
    </row>
    <row r="2876" spans="54:70" x14ac:dyDescent="0.2">
      <c r="BB2876" s="94"/>
      <c r="BL2876" s="8">
        <v>2827</v>
      </c>
      <c r="BM2876" s="8">
        <v>8619407.1663183086</v>
      </c>
      <c r="BN2876" s="8">
        <v>0</v>
      </c>
      <c r="BO2876" s="8">
        <v>8619407.1663183086</v>
      </c>
      <c r="BP2876" s="8">
        <v>3417395.349367986</v>
      </c>
      <c r="BQ2876" s="8">
        <v>-5202011.8169503231</v>
      </c>
      <c r="BR2876" s="8" t="str">
        <v>Yes</v>
      </c>
    </row>
    <row r="2877" spans="54:70" x14ac:dyDescent="0.2">
      <c r="BB2877" s="94"/>
      <c r="BL2877" s="8">
        <v>2828</v>
      </c>
      <c r="BM2877" s="8">
        <v>2622831.1119114105</v>
      </c>
      <c r="BN2877" s="8">
        <v>3727647.5840901928</v>
      </c>
      <c r="BO2877" s="8">
        <v>6350478.6960016033</v>
      </c>
      <c r="BP2877" s="8">
        <v>2155158.9597883611</v>
      </c>
      <c r="BQ2877" s="8">
        <v>-4195319.7362132426</v>
      </c>
      <c r="BR2877" s="8" t="str">
        <v>Yes</v>
      </c>
    </row>
    <row r="2878" spans="54:70" x14ac:dyDescent="0.2">
      <c r="BB2878" s="94"/>
      <c r="BL2878" s="8">
        <v>2829</v>
      </c>
      <c r="BM2878" s="8">
        <v>2859930.4060251657</v>
      </c>
      <c r="BN2878" s="8">
        <v>0</v>
      </c>
      <c r="BO2878" s="8">
        <v>2859930.4060251657</v>
      </c>
      <c r="BP2878" s="8">
        <v>3395311.0704953647</v>
      </c>
      <c r="BQ2878" s="8">
        <v>535380.66447019903</v>
      </c>
      <c r="BR2878" s="8" t="str">
        <v>No</v>
      </c>
    </row>
    <row r="2879" spans="54:70" x14ac:dyDescent="0.2">
      <c r="BB2879" s="94"/>
      <c r="BL2879" s="8">
        <v>2830</v>
      </c>
      <c r="BM2879" s="8">
        <v>9450789.9880890064</v>
      </c>
      <c r="BN2879" s="8">
        <v>12780033.335653951</v>
      </c>
      <c r="BO2879" s="8">
        <v>22230823.323742956</v>
      </c>
      <c r="BP2879" s="8">
        <v>3348634.4287120621</v>
      </c>
      <c r="BQ2879" s="8">
        <v>-18882188.895030893</v>
      </c>
      <c r="BR2879" s="8" t="str">
        <v>Yes</v>
      </c>
    </row>
    <row r="2880" spans="54:70" x14ac:dyDescent="0.2">
      <c r="BB2880" s="94"/>
      <c r="BL2880" s="8">
        <v>2831</v>
      </c>
      <c r="BM2880" s="8">
        <v>1340178.0010728496</v>
      </c>
      <c r="BN2880" s="8">
        <v>837530.08187889145</v>
      </c>
      <c r="BO2880" s="8">
        <v>2177708.0829517413</v>
      </c>
      <c r="BP2880" s="8">
        <v>3256505.0214446294</v>
      </c>
      <c r="BQ2880" s="8">
        <v>1078796.9384928881</v>
      </c>
      <c r="BR2880" s="8" t="str">
        <v>No</v>
      </c>
    </row>
    <row r="2881" spans="54:70" x14ac:dyDescent="0.2">
      <c r="BB2881" s="94"/>
      <c r="BL2881" s="8">
        <v>2832</v>
      </c>
      <c r="BM2881" s="8">
        <v>8280552.5732400417</v>
      </c>
      <c r="BN2881" s="8">
        <v>8941188.7460653968</v>
      </c>
      <c r="BO2881" s="8">
        <v>17221741.319305439</v>
      </c>
      <c r="BP2881" s="8">
        <v>3392476.9661957812</v>
      </c>
      <c r="BQ2881" s="8">
        <v>-13829264.353109658</v>
      </c>
      <c r="BR2881" s="8" t="str">
        <v>Yes</v>
      </c>
    </row>
    <row r="2882" spans="54:70" x14ac:dyDescent="0.2">
      <c r="BB2882" s="94"/>
      <c r="BL2882" s="8">
        <v>2833</v>
      </c>
      <c r="BM2882" s="8">
        <v>3670490.4743607026</v>
      </c>
      <c r="BN2882" s="8">
        <v>0</v>
      </c>
      <c r="BO2882" s="8">
        <v>3670490.4743607026</v>
      </c>
      <c r="BP2882" s="8">
        <v>2214512.4463271974</v>
      </c>
      <c r="BQ2882" s="8">
        <v>-1455978.0280335052</v>
      </c>
      <c r="BR2882" s="8" t="str">
        <v>Yes</v>
      </c>
    </row>
    <row r="2883" spans="54:70" x14ac:dyDescent="0.2">
      <c r="BB2883" s="94"/>
      <c r="BL2883" s="8">
        <v>2834</v>
      </c>
      <c r="BM2883" s="8">
        <v>5238810.9657219583</v>
      </c>
      <c r="BN2883" s="8">
        <v>0</v>
      </c>
      <c r="BO2883" s="8">
        <v>5238810.9657219583</v>
      </c>
      <c r="BP2883" s="8">
        <v>3562214.8598075826</v>
      </c>
      <c r="BQ2883" s="8">
        <v>-1676596.1059143757</v>
      </c>
      <c r="BR2883" s="8" t="str">
        <v>Yes</v>
      </c>
    </row>
    <row r="2884" spans="54:70" x14ac:dyDescent="0.2">
      <c r="BB2884" s="94"/>
      <c r="BL2884" s="8">
        <v>2835</v>
      </c>
      <c r="BM2884" s="8">
        <v>4343217.6773454677</v>
      </c>
      <c r="BN2884" s="8">
        <v>0</v>
      </c>
      <c r="BO2884" s="8">
        <v>4343217.6773454677</v>
      </c>
      <c r="BP2884" s="8">
        <v>2363878.4523440059</v>
      </c>
      <c r="BQ2884" s="8">
        <v>-1979339.2250014618</v>
      </c>
      <c r="BR2884" s="8" t="str">
        <v>Yes</v>
      </c>
    </row>
    <row r="2885" spans="54:70" x14ac:dyDescent="0.2">
      <c r="BB2885" s="94"/>
      <c r="BL2885" s="8">
        <v>2836</v>
      </c>
      <c r="BM2885" s="8">
        <v>3492262.526859913</v>
      </c>
      <c r="BN2885" s="8">
        <v>0</v>
      </c>
      <c r="BO2885" s="8">
        <v>3492262.526859913</v>
      </c>
      <c r="BP2885" s="8">
        <v>6674081.8852913845</v>
      </c>
      <c r="BQ2885" s="8">
        <v>3181819.3584314715</v>
      </c>
      <c r="BR2885" s="8" t="str">
        <v>No</v>
      </c>
    </row>
    <row r="2886" spans="54:70" x14ac:dyDescent="0.2">
      <c r="BB2886" s="94"/>
      <c r="BL2886" s="8">
        <v>2837</v>
      </c>
      <c r="BM2886" s="8">
        <v>4154501.3235793994</v>
      </c>
      <c r="BN2886" s="8">
        <v>2712639.7977183424</v>
      </c>
      <c r="BO2886" s="8">
        <v>6867141.1212977413</v>
      </c>
      <c r="BP2886" s="8">
        <v>6136797.4038839126</v>
      </c>
      <c r="BQ2886" s="8">
        <v>-730343.71741382871</v>
      </c>
      <c r="BR2886" s="8" t="str">
        <v>Yes</v>
      </c>
    </row>
    <row r="2887" spans="54:70" x14ac:dyDescent="0.2">
      <c r="BB2887" s="94"/>
      <c r="BL2887" s="8">
        <v>2838</v>
      </c>
      <c r="BM2887" s="8">
        <v>2811090.0206700554</v>
      </c>
      <c r="BN2887" s="8">
        <v>972048.98041572887</v>
      </c>
      <c r="BO2887" s="8">
        <v>3783139.0010857843</v>
      </c>
      <c r="BP2887" s="8">
        <v>6007307.3822618816</v>
      </c>
      <c r="BQ2887" s="8">
        <v>2224168.3811760973</v>
      </c>
      <c r="BR2887" s="8" t="str">
        <v>No</v>
      </c>
    </row>
    <row r="2888" spans="54:70" x14ac:dyDescent="0.2">
      <c r="BB2888" s="94"/>
      <c r="BL2888" s="8">
        <v>2839</v>
      </c>
      <c r="BM2888" s="8">
        <v>5218188.9654207136</v>
      </c>
      <c r="BN2888" s="8">
        <v>4566766.2484110761</v>
      </c>
      <c r="BO2888" s="8">
        <v>9784955.2138317898</v>
      </c>
      <c r="BP2888" s="8">
        <v>4177897.9431246999</v>
      </c>
      <c r="BQ2888" s="8">
        <v>-5607057.2707070895</v>
      </c>
      <c r="BR2888" s="8" t="str">
        <v>Yes</v>
      </c>
    </row>
    <row r="2889" spans="54:70" x14ac:dyDescent="0.2">
      <c r="BB2889" s="94"/>
      <c r="BL2889" s="8">
        <v>2840</v>
      </c>
      <c r="BM2889" s="8">
        <v>2570151.9074832229</v>
      </c>
      <c r="BN2889" s="8">
        <v>0</v>
      </c>
      <c r="BO2889" s="8">
        <v>2570151.9074832229</v>
      </c>
      <c r="BP2889" s="8">
        <v>3876497.7253478263</v>
      </c>
      <c r="BQ2889" s="8">
        <v>1306345.8178646034</v>
      </c>
      <c r="BR2889" s="8" t="str">
        <v>No</v>
      </c>
    </row>
    <row r="2890" spans="54:70" x14ac:dyDescent="0.2">
      <c r="BB2890" s="94"/>
      <c r="BL2890" s="8">
        <v>2841</v>
      </c>
      <c r="BM2890" s="8">
        <v>5340843.5728846993</v>
      </c>
      <c r="BN2890" s="8">
        <v>4864907.2161135757</v>
      </c>
      <c r="BO2890" s="8">
        <v>10205750.788998276</v>
      </c>
      <c r="BP2890" s="8">
        <v>3177699.5753886038</v>
      </c>
      <c r="BQ2890" s="8">
        <v>-7028051.2136096722</v>
      </c>
      <c r="BR2890" s="8" t="str">
        <v>Yes</v>
      </c>
    </row>
    <row r="2891" spans="54:70" x14ac:dyDescent="0.2">
      <c r="BB2891" s="94"/>
      <c r="BL2891" s="8">
        <v>2842</v>
      </c>
      <c r="BM2891" s="8">
        <v>2042204.9777477309</v>
      </c>
      <c r="BN2891" s="8">
        <v>0</v>
      </c>
      <c r="BO2891" s="8">
        <v>2042204.9777477309</v>
      </c>
      <c r="BP2891" s="8">
        <v>3568397.9787181588</v>
      </c>
      <c r="BQ2891" s="8">
        <v>1526193.0009704279</v>
      </c>
      <c r="BR2891" s="8" t="str">
        <v>No</v>
      </c>
    </row>
    <row r="2892" spans="54:70" x14ac:dyDescent="0.2">
      <c r="BB2892" s="94"/>
      <c r="BL2892" s="8">
        <v>2843</v>
      </c>
      <c r="BM2892" s="8">
        <v>3320131.5485969801</v>
      </c>
      <c r="BN2892" s="8">
        <v>0</v>
      </c>
      <c r="BO2892" s="8">
        <v>3320131.5485969801</v>
      </c>
      <c r="BP2892" s="8">
        <v>6340986.9032773823</v>
      </c>
      <c r="BQ2892" s="8">
        <v>3020855.3546804022</v>
      </c>
      <c r="BR2892" s="8" t="str">
        <v>No</v>
      </c>
    </row>
    <row r="2893" spans="54:70" x14ac:dyDescent="0.2">
      <c r="BB2893" s="94"/>
      <c r="BL2893" s="8">
        <v>2844</v>
      </c>
      <c r="BM2893" s="8">
        <v>5201424.8026732802</v>
      </c>
      <c r="BN2893" s="8">
        <v>0</v>
      </c>
      <c r="BO2893" s="8">
        <v>5201424.8026732802</v>
      </c>
      <c r="BP2893" s="8">
        <v>3908455.644191531</v>
      </c>
      <c r="BQ2893" s="8">
        <v>-1292969.1584817492</v>
      </c>
      <c r="BR2893" s="8" t="str">
        <v>Yes</v>
      </c>
    </row>
    <row r="2894" spans="54:70" x14ac:dyDescent="0.2">
      <c r="BB2894" s="94"/>
      <c r="BL2894" s="8">
        <v>2845</v>
      </c>
      <c r="BM2894" s="8">
        <v>7170247.1388065955</v>
      </c>
      <c r="BN2894" s="8">
        <v>0</v>
      </c>
      <c r="BO2894" s="8">
        <v>7170247.1388065955</v>
      </c>
      <c r="BP2894" s="8">
        <v>3482484.7175563066</v>
      </c>
      <c r="BQ2894" s="8">
        <v>-3687762.4212502888</v>
      </c>
      <c r="BR2894" s="8" t="str">
        <v>Yes</v>
      </c>
    </row>
    <row r="2895" spans="54:70" x14ac:dyDescent="0.2">
      <c r="BB2895" s="94"/>
      <c r="BL2895" s="8">
        <v>2846</v>
      </c>
      <c r="BM2895" s="8">
        <v>8201405.7425655182</v>
      </c>
      <c r="BN2895" s="8">
        <v>0</v>
      </c>
      <c r="BO2895" s="8">
        <v>8201405.7425655182</v>
      </c>
      <c r="BP2895" s="8">
        <v>4149591.4074102333</v>
      </c>
      <c r="BQ2895" s="8">
        <v>-4051814.335155285</v>
      </c>
      <c r="BR2895" s="8" t="str">
        <v>Yes</v>
      </c>
    </row>
    <row r="2896" spans="54:70" x14ac:dyDescent="0.2">
      <c r="BB2896" s="94"/>
      <c r="BL2896" s="8">
        <v>2847</v>
      </c>
      <c r="BM2896" s="8">
        <v>3580218.583877821</v>
      </c>
      <c r="BN2896" s="8">
        <v>0</v>
      </c>
      <c r="BO2896" s="8">
        <v>3580218.583877821</v>
      </c>
      <c r="BP2896" s="8">
        <v>2150780.2866035411</v>
      </c>
      <c r="BQ2896" s="8">
        <v>-1429438.2972742799</v>
      </c>
      <c r="BR2896" s="8" t="str">
        <v>Yes</v>
      </c>
    </row>
    <row r="2897" spans="54:70" x14ac:dyDescent="0.2">
      <c r="BB2897" s="94"/>
      <c r="BL2897" s="8">
        <v>2848</v>
      </c>
      <c r="BM2897" s="8">
        <v>2003204.3650439382</v>
      </c>
      <c r="BN2897" s="8">
        <v>1158786.1828947433</v>
      </c>
      <c r="BO2897" s="8">
        <v>3161990.5479386812</v>
      </c>
      <c r="BP2897" s="8">
        <v>2335393.7438228456</v>
      </c>
      <c r="BQ2897" s="8">
        <v>-826596.80411583558</v>
      </c>
      <c r="BR2897" s="8" t="str">
        <v>Yes</v>
      </c>
    </row>
    <row r="2898" spans="54:70" x14ac:dyDescent="0.2">
      <c r="BB2898" s="94"/>
      <c r="BL2898" s="8">
        <v>2849</v>
      </c>
      <c r="BM2898" s="8">
        <v>4683156.3010979369</v>
      </c>
      <c r="BN2898" s="8">
        <v>0</v>
      </c>
      <c r="BO2898" s="8">
        <v>4683156.3010979369</v>
      </c>
      <c r="BP2898" s="8">
        <v>6183898.4665564764</v>
      </c>
      <c r="BQ2898" s="8">
        <v>1500742.1654585395</v>
      </c>
      <c r="BR2898" s="8" t="str">
        <v>No</v>
      </c>
    </row>
    <row r="2899" spans="54:70" x14ac:dyDescent="0.2">
      <c r="BB2899" s="94"/>
      <c r="BL2899" s="8">
        <v>2850</v>
      </c>
      <c r="BM2899" s="8">
        <v>8816165.5161263924</v>
      </c>
      <c r="BN2899" s="8">
        <v>0</v>
      </c>
      <c r="BO2899" s="8">
        <v>8816165.5161263924</v>
      </c>
      <c r="BP2899" s="8">
        <v>3955558.3009955697</v>
      </c>
      <c r="BQ2899" s="8">
        <v>-4860607.2151308227</v>
      </c>
      <c r="BR2899" s="8" t="str">
        <v>Yes</v>
      </c>
    </row>
    <row r="2900" spans="54:70" x14ac:dyDescent="0.2">
      <c r="BB2900" s="94"/>
      <c r="BL2900" s="8">
        <v>2851</v>
      </c>
      <c r="BM2900" s="8">
        <v>4031069.6605611639</v>
      </c>
      <c r="BN2900" s="8">
        <v>8640619.8204830904</v>
      </c>
      <c r="BO2900" s="8">
        <v>12671689.481044255</v>
      </c>
      <c r="BP2900" s="8">
        <v>2336311.2309988355</v>
      </c>
      <c r="BQ2900" s="8">
        <v>-10335378.250045419</v>
      </c>
      <c r="BR2900" s="8" t="str">
        <v>Yes</v>
      </c>
    </row>
    <row r="2901" spans="54:70" x14ac:dyDescent="0.2">
      <c r="BB2901" s="94"/>
      <c r="BL2901" s="8">
        <v>2852</v>
      </c>
      <c r="BM2901" s="8">
        <v>9466619.2036415953</v>
      </c>
      <c r="BN2901" s="8">
        <v>0</v>
      </c>
      <c r="BO2901" s="8">
        <v>9466619.2036415953</v>
      </c>
      <c r="BP2901" s="8">
        <v>4149948.891582442</v>
      </c>
      <c r="BQ2901" s="8">
        <v>-5316670.3120591529</v>
      </c>
      <c r="BR2901" s="8" t="str">
        <v>Yes</v>
      </c>
    </row>
    <row r="2902" spans="54:70" x14ac:dyDescent="0.2">
      <c r="BB2902" s="94"/>
      <c r="BL2902" s="8">
        <v>2853</v>
      </c>
      <c r="BM2902" s="8">
        <v>4289223.6436166661</v>
      </c>
      <c r="BN2902" s="8">
        <v>0</v>
      </c>
      <c r="BO2902" s="8">
        <v>4289223.6436166661</v>
      </c>
      <c r="BP2902" s="8">
        <v>2279266.2033811221</v>
      </c>
      <c r="BQ2902" s="8">
        <v>-2009957.440235544</v>
      </c>
      <c r="BR2902" s="8" t="str">
        <v>Yes</v>
      </c>
    </row>
    <row r="2903" spans="54:70" x14ac:dyDescent="0.2">
      <c r="BB2903" s="94"/>
      <c r="BL2903" s="8">
        <v>2854</v>
      </c>
      <c r="BM2903" s="8">
        <v>6997058.4350973684</v>
      </c>
      <c r="BN2903" s="8">
        <v>4132078.667803253</v>
      </c>
      <c r="BO2903" s="8">
        <v>11129137.102900621</v>
      </c>
      <c r="BP2903" s="8">
        <v>2267084.0038766172</v>
      </c>
      <c r="BQ2903" s="8">
        <v>-8862053.0990240034</v>
      </c>
      <c r="BR2903" s="8" t="str">
        <v>Yes</v>
      </c>
    </row>
    <row r="2904" spans="54:70" x14ac:dyDescent="0.2">
      <c r="BB2904" s="94"/>
      <c r="BL2904" s="8">
        <v>2855</v>
      </c>
      <c r="BM2904" s="8">
        <v>3307760.8455274291</v>
      </c>
      <c r="BN2904" s="8">
        <v>0</v>
      </c>
      <c r="BO2904" s="8">
        <v>3307760.8455274291</v>
      </c>
      <c r="BP2904" s="8">
        <v>3571431.0057643685</v>
      </c>
      <c r="BQ2904" s="8">
        <v>263670.16023693932</v>
      </c>
      <c r="BR2904" s="8" t="str">
        <v>No</v>
      </c>
    </row>
    <row r="2905" spans="54:70" x14ac:dyDescent="0.2">
      <c r="BB2905" s="94"/>
      <c r="BL2905" s="8">
        <v>2856</v>
      </c>
      <c r="BM2905" s="8">
        <v>2772539.2197925919</v>
      </c>
      <c r="BN2905" s="8">
        <v>0</v>
      </c>
      <c r="BO2905" s="8">
        <v>2772539.2197925919</v>
      </c>
      <c r="BP2905" s="8">
        <v>4555695.6707727043</v>
      </c>
      <c r="BQ2905" s="8">
        <v>1783156.4509801124</v>
      </c>
      <c r="BR2905" s="8" t="str">
        <v>No</v>
      </c>
    </row>
    <row r="2906" spans="54:70" x14ac:dyDescent="0.2">
      <c r="BB2906" s="94"/>
      <c r="BL2906" s="8">
        <v>2857</v>
      </c>
      <c r="BM2906" s="8">
        <v>2497676.1562616285</v>
      </c>
      <c r="BN2906" s="8">
        <v>0</v>
      </c>
      <c r="BO2906" s="8">
        <v>2497676.1562616285</v>
      </c>
      <c r="BP2906" s="8">
        <v>6274262.6913813837</v>
      </c>
      <c r="BQ2906" s="8">
        <v>3776586.5351197552</v>
      </c>
      <c r="BR2906" s="8" t="str">
        <v>No</v>
      </c>
    </row>
    <row r="2907" spans="54:70" x14ac:dyDescent="0.2">
      <c r="BB2907" s="94"/>
      <c r="BL2907" s="8">
        <v>2858</v>
      </c>
      <c r="BM2907" s="8">
        <v>5427098.8152464256</v>
      </c>
      <c r="BN2907" s="8">
        <v>3308684.3590848497</v>
      </c>
      <c r="BO2907" s="8">
        <v>8735783.1743312757</v>
      </c>
      <c r="BP2907" s="8">
        <v>2161734.2520530797</v>
      </c>
      <c r="BQ2907" s="8">
        <v>-6574048.9222781956</v>
      </c>
      <c r="BR2907" s="8" t="str">
        <v>Yes</v>
      </c>
    </row>
    <row r="2908" spans="54:70" x14ac:dyDescent="0.2">
      <c r="BB2908" s="94"/>
      <c r="BL2908" s="8">
        <v>2859</v>
      </c>
      <c r="BM2908" s="8">
        <v>2676742.7151477723</v>
      </c>
      <c r="BN2908" s="8">
        <v>0</v>
      </c>
      <c r="BO2908" s="8">
        <v>2676742.7151477723</v>
      </c>
      <c r="BP2908" s="8">
        <v>4308555.562112011</v>
      </c>
      <c r="BQ2908" s="8">
        <v>1631812.8469642387</v>
      </c>
      <c r="BR2908" s="8" t="str">
        <v>No</v>
      </c>
    </row>
    <row r="2909" spans="54:70" x14ac:dyDescent="0.2">
      <c r="BB2909" s="94"/>
      <c r="BL2909" s="8">
        <v>2860</v>
      </c>
      <c r="BM2909" s="8">
        <v>10966138.806599833</v>
      </c>
      <c r="BN2909" s="8">
        <v>0</v>
      </c>
      <c r="BO2909" s="8">
        <v>10966138.806599833</v>
      </c>
      <c r="BP2909" s="8">
        <v>4515542.0967281088</v>
      </c>
      <c r="BQ2909" s="8">
        <v>-6450596.7098717242</v>
      </c>
      <c r="BR2909" s="8" t="str">
        <v>Yes</v>
      </c>
    </row>
    <row r="2910" spans="54:70" x14ac:dyDescent="0.2">
      <c r="BB2910" s="94"/>
      <c r="BL2910" s="8">
        <v>2861</v>
      </c>
      <c r="BM2910" s="8">
        <v>4959125.3420469305</v>
      </c>
      <c r="BN2910" s="8">
        <v>3130778.2945471075</v>
      </c>
      <c r="BO2910" s="8">
        <v>8089903.6365940385</v>
      </c>
      <c r="BP2910" s="8">
        <v>3159905.0031913966</v>
      </c>
      <c r="BQ2910" s="8">
        <v>-4929998.6334026419</v>
      </c>
      <c r="BR2910" s="8" t="str">
        <v>Yes</v>
      </c>
    </row>
    <row r="2911" spans="54:70" x14ac:dyDescent="0.2">
      <c r="BB2911" s="94"/>
      <c r="BL2911" s="8">
        <v>2862</v>
      </c>
      <c r="BM2911" s="8">
        <v>4590679.9671405256</v>
      </c>
      <c r="BN2911" s="8">
        <v>0</v>
      </c>
      <c r="BO2911" s="8">
        <v>4590679.9671405256</v>
      </c>
      <c r="BP2911" s="8">
        <v>2348120.4699764312</v>
      </c>
      <c r="BQ2911" s="8">
        <v>-2242559.4971640944</v>
      </c>
      <c r="BR2911" s="8" t="str">
        <v>Yes</v>
      </c>
    </row>
    <row r="2912" spans="54:70" x14ac:dyDescent="0.2">
      <c r="BB2912" s="94"/>
      <c r="BL2912" s="8">
        <v>2863</v>
      </c>
      <c r="BM2912" s="8">
        <v>3584696.5256208531</v>
      </c>
      <c r="BN2912" s="8">
        <v>0</v>
      </c>
      <c r="BO2912" s="8">
        <v>3584696.5256208531</v>
      </c>
      <c r="BP2912" s="8">
        <v>6142187.090604472</v>
      </c>
      <c r="BQ2912" s="8">
        <v>2557490.5649836189</v>
      </c>
      <c r="BR2912" s="8" t="str">
        <v>No</v>
      </c>
    </row>
    <row r="2913" spans="54:70" x14ac:dyDescent="0.2">
      <c r="BB2913" s="94"/>
      <c r="BL2913" s="8">
        <v>2864</v>
      </c>
      <c r="BM2913" s="8">
        <v>4402469.4108283147</v>
      </c>
      <c r="BN2913" s="8">
        <v>3027517.4292456261</v>
      </c>
      <c r="BO2913" s="8">
        <v>7429986.8400739413</v>
      </c>
      <c r="BP2913" s="8">
        <v>3991788.0767553565</v>
      </c>
      <c r="BQ2913" s="8">
        <v>-3438198.7633185848</v>
      </c>
      <c r="BR2913" s="8" t="str">
        <v>Yes</v>
      </c>
    </row>
    <row r="2914" spans="54:70" x14ac:dyDescent="0.2">
      <c r="BB2914" s="94"/>
      <c r="BL2914" s="8">
        <v>2865</v>
      </c>
      <c r="BM2914" s="8">
        <v>7827125.5072764084</v>
      </c>
      <c r="BN2914" s="8">
        <v>0</v>
      </c>
      <c r="BO2914" s="8">
        <v>7827125.5072764084</v>
      </c>
      <c r="BP2914" s="8">
        <v>3406400.7926680511</v>
      </c>
      <c r="BQ2914" s="8">
        <v>-4420724.7146083573</v>
      </c>
      <c r="BR2914" s="8" t="str">
        <v>Yes</v>
      </c>
    </row>
    <row r="2915" spans="54:70" x14ac:dyDescent="0.2">
      <c r="BB2915" s="94"/>
      <c r="BL2915" s="8">
        <v>2866</v>
      </c>
      <c r="BM2915" s="8">
        <v>3969206.5529041379</v>
      </c>
      <c r="BN2915" s="8">
        <v>0</v>
      </c>
      <c r="BO2915" s="8">
        <v>3969206.5529041379</v>
      </c>
      <c r="BP2915" s="8">
        <v>2355421.983810321</v>
      </c>
      <c r="BQ2915" s="8">
        <v>-1613784.5690938169</v>
      </c>
      <c r="BR2915" s="8" t="str">
        <v>Yes</v>
      </c>
    </row>
    <row r="2916" spans="54:70" x14ac:dyDescent="0.2">
      <c r="BB2916" s="94"/>
      <c r="BL2916" s="8">
        <v>2867</v>
      </c>
      <c r="BM2916" s="8">
        <v>8028871.7329766927</v>
      </c>
      <c r="BN2916" s="8">
        <v>0</v>
      </c>
      <c r="BO2916" s="8">
        <v>8028871.7329766927</v>
      </c>
      <c r="BP2916" s="8">
        <v>3363174.5872217142</v>
      </c>
      <c r="BQ2916" s="8">
        <v>-4665697.1457549781</v>
      </c>
      <c r="BR2916" s="8" t="str">
        <v>Yes</v>
      </c>
    </row>
    <row r="2917" spans="54:70" x14ac:dyDescent="0.2">
      <c r="BB2917" s="94"/>
      <c r="BL2917" s="8">
        <v>2868</v>
      </c>
      <c r="BM2917" s="8">
        <v>3160846.2109157224</v>
      </c>
      <c r="BN2917" s="8">
        <v>0</v>
      </c>
      <c r="BO2917" s="8">
        <v>3160846.2109157224</v>
      </c>
      <c r="BP2917" s="8">
        <v>4704789.0843002563</v>
      </c>
      <c r="BQ2917" s="8">
        <v>1543942.8733845339</v>
      </c>
      <c r="BR2917" s="8" t="str">
        <v>No</v>
      </c>
    </row>
    <row r="2918" spans="54:70" x14ac:dyDescent="0.2">
      <c r="BB2918" s="94"/>
      <c r="BL2918" s="8">
        <v>2869</v>
      </c>
      <c r="BM2918" s="8">
        <v>4745553.6099206135</v>
      </c>
      <c r="BN2918" s="8">
        <v>0</v>
      </c>
      <c r="BO2918" s="8">
        <v>4745553.6099206135</v>
      </c>
      <c r="BP2918" s="8">
        <v>6868871.0181418806</v>
      </c>
      <c r="BQ2918" s="8">
        <v>2123317.4082212672</v>
      </c>
      <c r="BR2918" s="8" t="str">
        <v>No</v>
      </c>
    </row>
    <row r="2919" spans="54:70" x14ac:dyDescent="0.2">
      <c r="BB2919" s="94"/>
      <c r="BL2919" s="8">
        <v>2870</v>
      </c>
      <c r="BM2919" s="8">
        <v>4788676.2895265594</v>
      </c>
      <c r="BN2919" s="8">
        <v>0</v>
      </c>
      <c r="BO2919" s="8">
        <v>4788676.2895265594</v>
      </c>
      <c r="BP2919" s="8">
        <v>6478441.589886724</v>
      </c>
      <c r="BQ2919" s="8">
        <v>1689765.3003601646</v>
      </c>
      <c r="BR2919" s="8" t="str">
        <v>No</v>
      </c>
    </row>
    <row r="2920" spans="54:70" x14ac:dyDescent="0.2">
      <c r="BB2920" s="94"/>
      <c r="BL2920" s="8">
        <v>2871</v>
      </c>
      <c r="BM2920" s="8">
        <v>3716371.2871588049</v>
      </c>
      <c r="BN2920" s="8">
        <v>0</v>
      </c>
      <c r="BO2920" s="8">
        <v>3716371.2871588049</v>
      </c>
      <c r="BP2920" s="8">
        <v>2531329.6740737078</v>
      </c>
      <c r="BQ2920" s="8">
        <v>-1185041.6130850972</v>
      </c>
      <c r="BR2920" s="8" t="str">
        <v>Yes</v>
      </c>
    </row>
    <row r="2921" spans="54:70" x14ac:dyDescent="0.2">
      <c r="BB2921" s="94"/>
      <c r="BL2921" s="8">
        <v>2872</v>
      </c>
      <c r="BM2921" s="8">
        <v>2314089.8999622422</v>
      </c>
      <c r="BN2921" s="8">
        <v>0</v>
      </c>
      <c r="BO2921" s="8">
        <v>2314089.8999622422</v>
      </c>
      <c r="BP2921" s="8">
        <v>5696649.8973887991</v>
      </c>
      <c r="BQ2921" s="8">
        <v>3382559.9974265569</v>
      </c>
      <c r="BR2921" s="8" t="str">
        <v>No</v>
      </c>
    </row>
    <row r="2922" spans="54:70" x14ac:dyDescent="0.2">
      <c r="BB2922" s="94"/>
      <c r="BL2922" s="8">
        <v>2873</v>
      </c>
      <c r="BM2922" s="8">
        <v>1539746.2580369855</v>
      </c>
      <c r="BN2922" s="8">
        <v>0</v>
      </c>
      <c r="BO2922" s="8">
        <v>1539746.2580369855</v>
      </c>
      <c r="BP2922" s="8">
        <v>2253815.3721641679</v>
      </c>
      <c r="BQ2922" s="8">
        <v>714069.1141271824</v>
      </c>
      <c r="BR2922" s="8" t="str">
        <v>No</v>
      </c>
    </row>
    <row r="2923" spans="54:70" x14ac:dyDescent="0.2">
      <c r="BB2923" s="94"/>
      <c r="BL2923" s="8">
        <v>2874</v>
      </c>
      <c r="BM2923" s="8">
        <v>3981758.5970787397</v>
      </c>
      <c r="BN2923" s="8">
        <v>1433592.0966093368</v>
      </c>
      <c r="BO2923" s="8">
        <v>5415350.693688076</v>
      </c>
      <c r="BP2923" s="8">
        <v>4923392.2401236258</v>
      </c>
      <c r="BQ2923" s="8">
        <v>-491958.45356445014</v>
      </c>
      <c r="BR2923" s="8" t="str">
        <v>Yes</v>
      </c>
    </row>
    <row r="2924" spans="54:70" x14ac:dyDescent="0.2">
      <c r="BB2924" s="94"/>
      <c r="BL2924" s="8">
        <v>2875</v>
      </c>
      <c r="BM2924" s="8">
        <v>6017447.6268800125</v>
      </c>
      <c r="BN2924" s="8">
        <v>0</v>
      </c>
      <c r="BO2924" s="8">
        <v>6017447.6268800125</v>
      </c>
      <c r="BP2924" s="8">
        <v>4236301.7693222109</v>
      </c>
      <c r="BQ2924" s="8">
        <v>-1781145.8575578015</v>
      </c>
      <c r="BR2924" s="8" t="str">
        <v>Yes</v>
      </c>
    </row>
    <row r="2925" spans="54:70" x14ac:dyDescent="0.2">
      <c r="BB2925" s="94"/>
      <c r="BL2925" s="8">
        <v>2876</v>
      </c>
      <c r="BM2925" s="8">
        <v>2522300.0412116018</v>
      </c>
      <c r="BN2925" s="8">
        <v>311642.07406047685</v>
      </c>
      <c r="BO2925" s="8">
        <v>2833942.1152720787</v>
      </c>
      <c r="BP2925" s="8">
        <v>6354458.3031311193</v>
      </c>
      <c r="BQ2925" s="8">
        <v>3520516.1878590407</v>
      </c>
      <c r="BR2925" s="8" t="str">
        <v>No</v>
      </c>
    </row>
    <row r="2926" spans="54:70" x14ac:dyDescent="0.2">
      <c r="BB2926" s="94"/>
      <c r="BL2926" s="8">
        <v>2877</v>
      </c>
      <c r="BM2926" s="8">
        <v>3519127.191969478</v>
      </c>
      <c r="BN2926" s="8">
        <v>3420498.1037708819</v>
      </c>
      <c r="BO2926" s="8">
        <v>6939625.2957403604</v>
      </c>
      <c r="BP2926" s="8">
        <v>4514380.8445213586</v>
      </c>
      <c r="BQ2926" s="8">
        <v>-2425244.4512190018</v>
      </c>
      <c r="BR2926" s="8" t="str">
        <v>Yes</v>
      </c>
    </row>
    <row r="2927" spans="54:70" x14ac:dyDescent="0.2">
      <c r="BB2927" s="94"/>
      <c r="BL2927" s="8">
        <v>2878</v>
      </c>
      <c r="BM2927" s="8">
        <v>5369294.1394745037</v>
      </c>
      <c r="BN2927" s="8">
        <v>0</v>
      </c>
      <c r="BO2927" s="8">
        <v>5369294.1394745037</v>
      </c>
      <c r="BP2927" s="8">
        <v>6203221.1513389004</v>
      </c>
      <c r="BQ2927" s="8">
        <v>833927.01186439674</v>
      </c>
      <c r="BR2927" s="8" t="str">
        <v>No</v>
      </c>
    </row>
    <row r="2928" spans="54:70" x14ac:dyDescent="0.2">
      <c r="BB2928" s="94"/>
      <c r="BL2928" s="8">
        <v>2879</v>
      </c>
      <c r="BM2928" s="8">
        <v>4515648.424734355</v>
      </c>
      <c r="BN2928" s="8">
        <v>0</v>
      </c>
      <c r="BO2928" s="8">
        <v>4515648.424734355</v>
      </c>
      <c r="BP2928" s="8">
        <v>6729108.1157001611</v>
      </c>
      <c r="BQ2928" s="8">
        <v>2213459.6909658061</v>
      </c>
      <c r="BR2928" s="8" t="str">
        <v>No</v>
      </c>
    </row>
    <row r="2929" spans="54:70" x14ac:dyDescent="0.2">
      <c r="BB2929" s="94"/>
      <c r="BL2929" s="8">
        <v>2880</v>
      </c>
      <c r="BM2929" s="8">
        <v>5420011.8902087677</v>
      </c>
      <c r="BN2929" s="8">
        <v>0</v>
      </c>
      <c r="BO2929" s="8">
        <v>5420011.8902087677</v>
      </c>
      <c r="BP2929" s="8">
        <v>6269307.3998735752</v>
      </c>
      <c r="BQ2929" s="8">
        <v>849295.50966480747</v>
      </c>
      <c r="BR2929" s="8" t="str">
        <v>No</v>
      </c>
    </row>
    <row r="2930" spans="54:70" x14ac:dyDescent="0.2">
      <c r="BB2930" s="94"/>
      <c r="BL2930" s="8">
        <v>2881</v>
      </c>
      <c r="BM2930" s="8">
        <v>5749310.6216301471</v>
      </c>
      <c r="BN2930" s="8">
        <v>7342665.7843896579</v>
      </c>
      <c r="BO2930" s="8">
        <v>13091976.406019805</v>
      </c>
      <c r="BP2930" s="8">
        <v>2330243.5927856965</v>
      </c>
      <c r="BQ2930" s="8">
        <v>-10761732.813234109</v>
      </c>
      <c r="BR2930" s="8" t="str">
        <v>Yes</v>
      </c>
    </row>
    <row r="2931" spans="54:70" x14ac:dyDescent="0.2">
      <c r="BB2931" s="94"/>
      <c r="BL2931" s="8">
        <v>2882</v>
      </c>
      <c r="BM2931" s="8">
        <v>2378966.2055046442</v>
      </c>
      <c r="BN2931" s="8">
        <v>0</v>
      </c>
      <c r="BO2931" s="8">
        <v>2378966.2055046442</v>
      </c>
      <c r="BP2931" s="8">
        <v>3383021.7325097602</v>
      </c>
      <c r="BQ2931" s="8">
        <v>1004055.527005116</v>
      </c>
      <c r="BR2931" s="8" t="str">
        <v>No</v>
      </c>
    </row>
    <row r="2932" spans="54:70" x14ac:dyDescent="0.2">
      <c r="BB2932" s="94"/>
      <c r="BL2932" s="8">
        <v>2883</v>
      </c>
      <c r="BM2932" s="8">
        <v>2508510.9317917796</v>
      </c>
      <c r="BN2932" s="8">
        <v>1561927.8980521262</v>
      </c>
      <c r="BO2932" s="8">
        <v>4070438.8298439058</v>
      </c>
      <c r="BP2932" s="8">
        <v>6527575.0549395466</v>
      </c>
      <c r="BQ2932" s="8">
        <v>2457136.2250956409</v>
      </c>
      <c r="BR2932" s="8" t="str">
        <v>No</v>
      </c>
    </row>
    <row r="2933" spans="54:70" x14ac:dyDescent="0.2">
      <c r="BB2933" s="94"/>
      <c r="BL2933" s="8">
        <v>2884</v>
      </c>
      <c r="BM2933" s="8">
        <v>8623768.3757684827</v>
      </c>
      <c r="BN2933" s="8">
        <v>16870825.762326844</v>
      </c>
      <c r="BO2933" s="8">
        <v>25494594.138095327</v>
      </c>
      <c r="BP2933" s="8">
        <v>2232291.3232175745</v>
      </c>
      <c r="BQ2933" s="8">
        <v>-23262302.814877752</v>
      </c>
      <c r="BR2933" s="8" t="str">
        <v>Yes</v>
      </c>
    </row>
    <row r="2934" spans="54:70" x14ac:dyDescent="0.2">
      <c r="BB2934" s="94"/>
      <c r="BL2934" s="8">
        <v>2885</v>
      </c>
      <c r="BM2934" s="8">
        <v>3573700.4565214901</v>
      </c>
      <c r="BN2934" s="8">
        <v>0</v>
      </c>
      <c r="BO2934" s="8">
        <v>3573700.4565214901</v>
      </c>
      <c r="BP2934" s="8">
        <v>2277758.2011545436</v>
      </c>
      <c r="BQ2934" s="8">
        <v>-1295942.2553669466</v>
      </c>
      <c r="BR2934" s="8" t="str">
        <v>Yes</v>
      </c>
    </row>
    <row r="2935" spans="54:70" x14ac:dyDescent="0.2">
      <c r="BB2935" s="94"/>
      <c r="BL2935" s="8">
        <v>2886</v>
      </c>
      <c r="BM2935" s="8">
        <v>8327159.0655043134</v>
      </c>
      <c r="BN2935" s="8">
        <v>9707151.7385868859</v>
      </c>
      <c r="BO2935" s="8">
        <v>18034310.8040912</v>
      </c>
      <c r="BP2935" s="8">
        <v>4052951.0781275169</v>
      </c>
      <c r="BQ2935" s="8">
        <v>-13981359.725963684</v>
      </c>
      <c r="BR2935" s="8" t="str">
        <v>Yes</v>
      </c>
    </row>
    <row r="2936" spans="54:70" x14ac:dyDescent="0.2">
      <c r="BB2936" s="94"/>
      <c r="BL2936" s="8">
        <v>2887</v>
      </c>
      <c r="BM2936" s="8">
        <v>3325086.4292424289</v>
      </c>
      <c r="BN2936" s="8">
        <v>2393979.4833439342</v>
      </c>
      <c r="BO2936" s="8">
        <v>5719065.912586363</v>
      </c>
      <c r="BP2936" s="8">
        <v>6174757.3354619853</v>
      </c>
      <c r="BQ2936" s="8">
        <v>455691.42287562229</v>
      </c>
      <c r="BR2936" s="8" t="str">
        <v>No</v>
      </c>
    </row>
    <row r="2937" spans="54:70" x14ac:dyDescent="0.2">
      <c r="BB2937" s="94"/>
      <c r="BL2937" s="8">
        <v>2888</v>
      </c>
      <c r="BM2937" s="8">
        <v>3045782.5506256577</v>
      </c>
      <c r="BN2937" s="8">
        <v>0</v>
      </c>
      <c r="BO2937" s="8">
        <v>3045782.5506256577</v>
      </c>
      <c r="BP2937" s="8">
        <v>2021682.122205249</v>
      </c>
      <c r="BQ2937" s="8">
        <v>-1024100.4284204086</v>
      </c>
      <c r="BR2937" s="8" t="str">
        <v>Yes</v>
      </c>
    </row>
    <row r="2938" spans="54:70" x14ac:dyDescent="0.2">
      <c r="BB2938" s="94"/>
      <c r="BL2938" s="8">
        <v>2889</v>
      </c>
      <c r="BM2938" s="8">
        <v>5996414.5391068961</v>
      </c>
      <c r="BN2938" s="8">
        <v>8964240.0803599525</v>
      </c>
      <c r="BO2938" s="8">
        <v>14960654.619466849</v>
      </c>
      <c r="BP2938" s="8">
        <v>2339394.5217821114</v>
      </c>
      <c r="BQ2938" s="8">
        <v>-12621260.097684737</v>
      </c>
      <c r="BR2938" s="8" t="str">
        <v>Yes</v>
      </c>
    </row>
    <row r="2939" spans="54:70" x14ac:dyDescent="0.2">
      <c r="BB2939" s="94"/>
      <c r="BL2939" s="8">
        <v>2890</v>
      </c>
      <c r="BM2939" s="8">
        <v>3172525.8434028998</v>
      </c>
      <c r="BN2939" s="8">
        <v>0</v>
      </c>
      <c r="BO2939" s="8">
        <v>3172525.8434028998</v>
      </c>
      <c r="BP2939" s="8">
        <v>2499964.164892701</v>
      </c>
      <c r="BQ2939" s="8">
        <v>-672561.67851019884</v>
      </c>
      <c r="BR2939" s="8" t="str">
        <v>Yes</v>
      </c>
    </row>
    <row r="2940" spans="54:70" x14ac:dyDescent="0.2">
      <c r="BB2940" s="94"/>
      <c r="BL2940" s="8">
        <v>2891</v>
      </c>
      <c r="BM2940" s="8">
        <v>7771645.6491017109</v>
      </c>
      <c r="BN2940" s="8">
        <v>0</v>
      </c>
      <c r="BO2940" s="8">
        <v>7771645.6491017109</v>
      </c>
      <c r="BP2940" s="8">
        <v>3120595.5144909141</v>
      </c>
      <c r="BQ2940" s="8">
        <v>-4651050.1346107963</v>
      </c>
      <c r="BR2940" s="8" t="str">
        <v>Yes</v>
      </c>
    </row>
    <row r="2941" spans="54:70" x14ac:dyDescent="0.2">
      <c r="BB2941" s="94"/>
      <c r="BL2941" s="8">
        <v>2892</v>
      </c>
      <c r="BM2941" s="8">
        <v>6468332.264317479</v>
      </c>
      <c r="BN2941" s="8">
        <v>1290209.7768396651</v>
      </c>
      <c r="BO2941" s="8">
        <v>7758542.0411571441</v>
      </c>
      <c r="BP2941" s="8">
        <v>3338600.4765322544</v>
      </c>
      <c r="BQ2941" s="8">
        <v>-4419941.5646248898</v>
      </c>
      <c r="BR2941" s="8" t="str">
        <v>Yes</v>
      </c>
    </row>
    <row r="2942" spans="54:70" x14ac:dyDescent="0.2">
      <c r="BB2942" s="94"/>
      <c r="BL2942" s="8">
        <v>2893</v>
      </c>
      <c r="BM2942" s="8">
        <v>9176077.2792662997</v>
      </c>
      <c r="BN2942" s="8">
        <v>0</v>
      </c>
      <c r="BO2942" s="8">
        <v>9176077.2792662997</v>
      </c>
      <c r="BP2942" s="8">
        <v>4673394.0705075609</v>
      </c>
      <c r="BQ2942" s="8">
        <v>-4502683.2087587388</v>
      </c>
      <c r="BR2942" s="8" t="str">
        <v>Yes</v>
      </c>
    </row>
    <row r="2943" spans="54:70" x14ac:dyDescent="0.2">
      <c r="BB2943" s="94"/>
      <c r="BL2943" s="8">
        <v>2894</v>
      </c>
      <c r="BM2943" s="8">
        <v>7139662.4872790258</v>
      </c>
      <c r="BN2943" s="8">
        <v>7107304.3455396881</v>
      </c>
      <c r="BO2943" s="8">
        <v>14246966.832818713</v>
      </c>
      <c r="BP2943" s="8">
        <v>2169572.0847791978</v>
      </c>
      <c r="BQ2943" s="8">
        <v>-12077394.748039516</v>
      </c>
      <c r="BR2943" s="8" t="str">
        <v>Yes</v>
      </c>
    </row>
    <row r="2944" spans="54:70" x14ac:dyDescent="0.2">
      <c r="BB2944" s="94"/>
      <c r="BL2944" s="8">
        <v>2895</v>
      </c>
      <c r="BM2944" s="8">
        <v>5781635.909782188</v>
      </c>
      <c r="BN2944" s="8">
        <v>6708471.8429403473</v>
      </c>
      <c r="BO2944" s="8">
        <v>12490107.752722535</v>
      </c>
      <c r="BP2944" s="8">
        <v>6248487.5428828262</v>
      </c>
      <c r="BQ2944" s="8">
        <v>-6241620.2098397091</v>
      </c>
      <c r="BR2944" s="8" t="str">
        <v>Yes</v>
      </c>
    </row>
    <row r="2945" spans="54:70" x14ac:dyDescent="0.2">
      <c r="BB2945" s="94"/>
      <c r="BL2945" s="8">
        <v>2896</v>
      </c>
      <c r="BM2945" s="8">
        <v>5274815.790030757</v>
      </c>
      <c r="BN2945" s="8">
        <v>0</v>
      </c>
      <c r="BO2945" s="8">
        <v>5274815.790030757</v>
      </c>
      <c r="BP2945" s="8">
        <v>6361511.4845982771</v>
      </c>
      <c r="BQ2945" s="8">
        <v>1086695.6945675202</v>
      </c>
      <c r="BR2945" s="8" t="str">
        <v>No</v>
      </c>
    </row>
    <row r="2946" spans="54:70" x14ac:dyDescent="0.2">
      <c r="BB2946" s="94"/>
      <c r="BL2946" s="8">
        <v>2897</v>
      </c>
      <c r="BM2946" s="8">
        <v>7322363.5443205172</v>
      </c>
      <c r="BN2946" s="8">
        <v>0</v>
      </c>
      <c r="BO2946" s="8">
        <v>7322363.5443205172</v>
      </c>
      <c r="BP2946" s="8">
        <v>4360684.6808735458</v>
      </c>
      <c r="BQ2946" s="8">
        <v>-2961678.8634469714</v>
      </c>
      <c r="BR2946" s="8" t="str">
        <v>Yes</v>
      </c>
    </row>
    <row r="2947" spans="54:70" x14ac:dyDescent="0.2">
      <c r="BB2947" s="94"/>
      <c r="BL2947" s="8">
        <v>2898</v>
      </c>
      <c r="BM2947" s="8">
        <v>4188802.8443880482</v>
      </c>
      <c r="BN2947" s="8">
        <v>0</v>
      </c>
      <c r="BO2947" s="8">
        <v>4188802.8443880482</v>
      </c>
      <c r="BP2947" s="8">
        <v>7041103.1839064676</v>
      </c>
      <c r="BQ2947" s="8">
        <v>2852300.3395184195</v>
      </c>
      <c r="BR2947" s="8" t="str">
        <v>No</v>
      </c>
    </row>
    <row r="2948" spans="54:70" x14ac:dyDescent="0.2">
      <c r="BB2948" s="94"/>
      <c r="BL2948" s="8">
        <v>2899</v>
      </c>
      <c r="BM2948" s="8">
        <v>5071132.33510709</v>
      </c>
      <c r="BN2948" s="8">
        <v>0</v>
      </c>
      <c r="BO2948" s="8">
        <v>5071132.33510709</v>
      </c>
      <c r="BP2948" s="8">
        <v>6463313.6841331664</v>
      </c>
      <c r="BQ2948" s="8">
        <v>1392181.3490260765</v>
      </c>
      <c r="BR2948" s="8" t="str">
        <v>No</v>
      </c>
    </row>
    <row r="2949" spans="54:70" x14ac:dyDescent="0.2">
      <c r="BB2949" s="94"/>
      <c r="BL2949" s="8">
        <v>2900</v>
      </c>
      <c r="BM2949" s="8">
        <v>3269986.9585939376</v>
      </c>
      <c r="BN2949" s="8">
        <v>0</v>
      </c>
      <c r="BO2949" s="8">
        <v>3269986.9585939376</v>
      </c>
      <c r="BP2949" s="8">
        <v>6394436.9860620061</v>
      </c>
      <c r="BQ2949" s="8">
        <v>3124450.0274680685</v>
      </c>
      <c r="BR2949" s="8" t="str">
        <v>No</v>
      </c>
    </row>
    <row r="2950" spans="54:70" x14ac:dyDescent="0.2">
      <c r="BB2950" s="94"/>
      <c r="BL2950" s="8">
        <v>2901</v>
      </c>
      <c r="BM2950" s="8">
        <v>5252526.9573262194</v>
      </c>
      <c r="BN2950" s="8">
        <v>0</v>
      </c>
      <c r="BO2950" s="8">
        <v>5252526.9573262194</v>
      </c>
      <c r="BP2950" s="8">
        <v>3414764.4867921048</v>
      </c>
      <c r="BQ2950" s="8">
        <v>-1837762.4705341146</v>
      </c>
      <c r="BR2950" s="8" t="str">
        <v>Yes</v>
      </c>
    </row>
    <row r="2951" spans="54:70" x14ac:dyDescent="0.2">
      <c r="BB2951" s="94"/>
      <c r="BL2951" s="8">
        <v>2902</v>
      </c>
      <c r="BM2951" s="8">
        <v>1251468.2008908766</v>
      </c>
      <c r="BN2951" s="8">
        <v>0</v>
      </c>
      <c r="BO2951" s="8">
        <v>1251468.2008908766</v>
      </c>
      <c r="BP2951" s="8">
        <v>6851222.4257979048</v>
      </c>
      <c r="BQ2951" s="8">
        <v>5599754.2249070285</v>
      </c>
      <c r="BR2951" s="8" t="str">
        <v>No</v>
      </c>
    </row>
    <row r="2952" spans="54:70" x14ac:dyDescent="0.2">
      <c r="BB2952" s="94"/>
      <c r="BL2952" s="8">
        <v>2903</v>
      </c>
      <c r="BM2952" s="8">
        <v>3660324.9165885653</v>
      </c>
      <c r="BN2952" s="8">
        <v>1470658.0905794087</v>
      </c>
      <c r="BO2952" s="8">
        <v>5130983.0071679745</v>
      </c>
      <c r="BP2952" s="8">
        <v>2239160.7786345831</v>
      </c>
      <c r="BQ2952" s="8">
        <v>-2891822.2285333914</v>
      </c>
      <c r="BR2952" s="8" t="str">
        <v>Yes</v>
      </c>
    </row>
    <row r="2953" spans="54:70" x14ac:dyDescent="0.2">
      <c r="BB2953" s="94"/>
      <c r="BL2953" s="8">
        <v>2904</v>
      </c>
      <c r="BM2953" s="8">
        <v>4696667.2508859541</v>
      </c>
      <c r="BN2953" s="8">
        <v>3013999.5549834706</v>
      </c>
      <c r="BO2953" s="8">
        <v>7710666.8058694247</v>
      </c>
      <c r="BP2953" s="8">
        <v>5840730.9988466864</v>
      </c>
      <c r="BQ2953" s="8">
        <v>-1869935.8070227383</v>
      </c>
      <c r="BR2953" s="8" t="str">
        <v>Yes</v>
      </c>
    </row>
    <row r="2954" spans="54:70" x14ac:dyDescent="0.2">
      <c r="BB2954" s="94"/>
      <c r="BL2954" s="8">
        <v>2905</v>
      </c>
      <c r="BM2954" s="8">
        <v>4845668.0823680488</v>
      </c>
      <c r="BN2954" s="8">
        <v>0</v>
      </c>
      <c r="BO2954" s="8">
        <v>4845668.0823680488</v>
      </c>
      <c r="BP2954" s="8">
        <v>3491376.0908926358</v>
      </c>
      <c r="BQ2954" s="8">
        <v>-1354291.9914754131</v>
      </c>
      <c r="BR2954" s="8" t="str">
        <v>Yes</v>
      </c>
    </row>
    <row r="2955" spans="54:70" x14ac:dyDescent="0.2">
      <c r="BB2955" s="94"/>
      <c r="BL2955" s="8">
        <v>2906</v>
      </c>
      <c r="BM2955" s="8">
        <v>4604180.6874717204</v>
      </c>
      <c r="BN2955" s="8">
        <v>0</v>
      </c>
      <c r="BO2955" s="8">
        <v>4604180.6874717204</v>
      </c>
      <c r="BP2955" s="8">
        <v>6017389.46648922</v>
      </c>
      <c r="BQ2955" s="8">
        <v>1413208.7790174996</v>
      </c>
      <c r="BR2955" s="8" t="str">
        <v>No</v>
      </c>
    </row>
    <row r="2956" spans="54:70" x14ac:dyDescent="0.2">
      <c r="BB2956" s="94"/>
      <c r="BL2956" s="8">
        <v>2907</v>
      </c>
      <c r="BM2956" s="8">
        <v>3714437.2912731976</v>
      </c>
      <c r="BN2956" s="8">
        <v>0</v>
      </c>
      <c r="BO2956" s="8">
        <v>3714437.2912731976</v>
      </c>
      <c r="BP2956" s="8">
        <v>3323330.032378756</v>
      </c>
      <c r="BQ2956" s="8">
        <v>-391107.25889444165</v>
      </c>
      <c r="BR2956" s="8" t="str">
        <v>Yes</v>
      </c>
    </row>
    <row r="2957" spans="54:70" x14ac:dyDescent="0.2">
      <c r="BB2957" s="94"/>
      <c r="BL2957" s="8">
        <v>2908</v>
      </c>
      <c r="BM2957" s="8">
        <v>3777709.5670073796</v>
      </c>
      <c r="BN2957" s="8">
        <v>0</v>
      </c>
      <c r="BO2957" s="8">
        <v>3777709.5670073796</v>
      </c>
      <c r="BP2957" s="8">
        <v>6077773.1232164716</v>
      </c>
      <c r="BQ2957" s="8">
        <v>2300063.556209092</v>
      </c>
      <c r="BR2957" s="8" t="str">
        <v>No</v>
      </c>
    </row>
    <row r="2958" spans="54:70" x14ac:dyDescent="0.2">
      <c r="BB2958" s="94"/>
      <c r="BL2958" s="8">
        <v>2909</v>
      </c>
      <c r="BM2958" s="8">
        <v>9135578.863731781</v>
      </c>
      <c r="BN2958" s="8">
        <v>14665103.927497262</v>
      </c>
      <c r="BO2958" s="8">
        <v>23800682.791229043</v>
      </c>
      <c r="BP2958" s="8">
        <v>2085803.5089140623</v>
      </c>
      <c r="BQ2958" s="8">
        <v>-21714879.282314982</v>
      </c>
      <c r="BR2958" s="8" t="str">
        <v>Yes</v>
      </c>
    </row>
    <row r="2959" spans="54:70" x14ac:dyDescent="0.2">
      <c r="BB2959" s="94"/>
      <c r="BL2959" s="8">
        <v>2910</v>
      </c>
      <c r="BM2959" s="8">
        <v>2949026.0518973405</v>
      </c>
      <c r="BN2959" s="8">
        <v>4145009.0220155269</v>
      </c>
      <c r="BO2959" s="8">
        <v>7094035.0739128673</v>
      </c>
      <c r="BP2959" s="8">
        <v>2332898.7217203015</v>
      </c>
      <c r="BQ2959" s="8">
        <v>-4761136.3521925658</v>
      </c>
      <c r="BR2959" s="8" t="str">
        <v>Yes</v>
      </c>
    </row>
    <row r="2960" spans="54:70" x14ac:dyDescent="0.2">
      <c r="BB2960" s="94"/>
      <c r="BL2960" s="8">
        <v>2911</v>
      </c>
      <c r="BM2960" s="8">
        <v>3146051.3248467157</v>
      </c>
      <c r="BN2960" s="8">
        <v>1447445.5087795567</v>
      </c>
      <c r="BO2960" s="8">
        <v>4593496.8336262722</v>
      </c>
      <c r="BP2960" s="8">
        <v>2244395.2876624623</v>
      </c>
      <c r="BQ2960" s="8">
        <v>-2349101.5459638098</v>
      </c>
      <c r="BR2960" s="8" t="str">
        <v>Yes</v>
      </c>
    </row>
    <row r="2961" spans="54:70" x14ac:dyDescent="0.2">
      <c r="BB2961" s="94"/>
      <c r="BL2961" s="8">
        <v>2912</v>
      </c>
      <c r="BM2961" s="8">
        <v>4019794.9433790268</v>
      </c>
      <c r="BN2961" s="8">
        <v>0</v>
      </c>
      <c r="BO2961" s="8">
        <v>4019794.9433790268</v>
      </c>
      <c r="BP2961" s="8">
        <v>3398036.8955162219</v>
      </c>
      <c r="BQ2961" s="8">
        <v>-621758.04786280496</v>
      </c>
      <c r="BR2961" s="8" t="str">
        <v>Yes</v>
      </c>
    </row>
    <row r="2962" spans="54:70" x14ac:dyDescent="0.2">
      <c r="BB2962" s="94"/>
      <c r="BL2962" s="8">
        <v>2913</v>
      </c>
      <c r="BM2962" s="8">
        <v>2341580.5609280327</v>
      </c>
      <c r="BN2962" s="8">
        <v>0</v>
      </c>
      <c r="BO2962" s="8">
        <v>2341580.5609280327</v>
      </c>
      <c r="BP2962" s="8">
        <v>3332313.3097169939</v>
      </c>
      <c r="BQ2962" s="8">
        <v>990732.74878896121</v>
      </c>
      <c r="BR2962" s="8" t="str">
        <v>No</v>
      </c>
    </row>
    <row r="2963" spans="54:70" x14ac:dyDescent="0.2">
      <c r="BB2963" s="94"/>
      <c r="BL2963" s="8">
        <v>2914</v>
      </c>
      <c r="BM2963" s="8">
        <v>4551136.0595847871</v>
      </c>
      <c r="BN2963" s="8">
        <v>0</v>
      </c>
      <c r="BO2963" s="8">
        <v>4551136.0595847871</v>
      </c>
      <c r="BP2963" s="8">
        <v>3425738.8739895504</v>
      </c>
      <c r="BQ2963" s="8">
        <v>-1125397.1855952367</v>
      </c>
      <c r="BR2963" s="8" t="str">
        <v>Yes</v>
      </c>
    </row>
    <row r="2964" spans="54:70" x14ac:dyDescent="0.2">
      <c r="BB2964" s="94"/>
      <c r="BL2964" s="8">
        <v>2915</v>
      </c>
      <c r="BM2964" s="8">
        <v>2239746.910647722</v>
      </c>
      <c r="BN2964" s="8">
        <v>0</v>
      </c>
      <c r="BO2964" s="8">
        <v>2239746.910647722</v>
      </c>
      <c r="BP2964" s="8">
        <v>3346059.9598308643</v>
      </c>
      <c r="BQ2964" s="8">
        <v>1106313.0491831424</v>
      </c>
      <c r="BR2964" s="8" t="str">
        <v>No</v>
      </c>
    </row>
    <row r="2965" spans="54:70" x14ac:dyDescent="0.2">
      <c r="BB2965" s="94"/>
      <c r="BL2965" s="8">
        <v>2916</v>
      </c>
      <c r="BM2965" s="8">
        <v>3544509.2355570151</v>
      </c>
      <c r="BN2965" s="8">
        <v>1963140.8633991687</v>
      </c>
      <c r="BO2965" s="8">
        <v>5507650.0989561835</v>
      </c>
      <c r="BP2965" s="8">
        <v>4823309.0900342772</v>
      </c>
      <c r="BQ2965" s="8">
        <v>-684341.00892190635</v>
      </c>
      <c r="BR2965" s="8" t="str">
        <v>Yes</v>
      </c>
    </row>
    <row r="2966" spans="54:70" x14ac:dyDescent="0.2">
      <c r="BB2966" s="94"/>
      <c r="BL2966" s="8">
        <v>2917</v>
      </c>
      <c r="BM2966" s="8">
        <v>4902158.8162945528</v>
      </c>
      <c r="BN2966" s="8">
        <v>0</v>
      </c>
      <c r="BO2966" s="8">
        <v>4902158.8162945528</v>
      </c>
      <c r="BP2966" s="8">
        <v>4073816.3768022708</v>
      </c>
      <c r="BQ2966" s="8">
        <v>-828342.43949228199</v>
      </c>
      <c r="BR2966" s="8" t="str">
        <v>Yes</v>
      </c>
    </row>
    <row r="2967" spans="54:70" x14ac:dyDescent="0.2">
      <c r="BB2967" s="94"/>
      <c r="BL2967" s="8">
        <v>2918</v>
      </c>
      <c r="BM2967" s="8">
        <v>2303731.6193019589</v>
      </c>
      <c r="BN2967" s="8">
        <v>1519794.7560045915</v>
      </c>
      <c r="BO2967" s="8">
        <v>3823526.3753065504</v>
      </c>
      <c r="BP2967" s="8">
        <v>3571190.6542673474</v>
      </c>
      <c r="BQ2967" s="8">
        <v>-252335.721039203</v>
      </c>
      <c r="BR2967" s="8" t="str">
        <v>Yes</v>
      </c>
    </row>
    <row r="2968" spans="54:70" x14ac:dyDescent="0.2">
      <c r="BB2968" s="94"/>
      <c r="BL2968" s="8">
        <v>2919</v>
      </c>
      <c r="BM2968" s="8">
        <v>7586284.5114061199</v>
      </c>
      <c r="BN2968" s="8">
        <v>3601083.8997092117</v>
      </c>
      <c r="BO2968" s="8">
        <v>11187368.411115332</v>
      </c>
      <c r="BP2968" s="8">
        <v>4163151.175863211</v>
      </c>
      <c r="BQ2968" s="8">
        <v>-7024217.2352521205</v>
      </c>
      <c r="BR2968" s="8" t="str">
        <v>Yes</v>
      </c>
    </row>
    <row r="2969" spans="54:70" x14ac:dyDescent="0.2">
      <c r="BB2969" s="94"/>
      <c r="BL2969" s="8">
        <v>2920</v>
      </c>
      <c r="BM2969" s="8">
        <v>4116721.5180911534</v>
      </c>
      <c r="BN2969" s="8">
        <v>4691582.9097966664</v>
      </c>
      <c r="BO2969" s="8">
        <v>8808304.4278878197</v>
      </c>
      <c r="BP2969" s="8">
        <v>2168997.4548226595</v>
      </c>
      <c r="BQ2969" s="8">
        <v>-6639306.9730651602</v>
      </c>
      <c r="BR2969" s="8" t="str">
        <v>Yes</v>
      </c>
    </row>
    <row r="2970" spans="54:70" x14ac:dyDescent="0.2">
      <c r="BB2970" s="94"/>
      <c r="BL2970" s="8">
        <v>2921</v>
      </c>
      <c r="BM2970" s="8">
        <v>3590032.6653736643</v>
      </c>
      <c r="BN2970" s="8">
        <v>1676803.2013980509</v>
      </c>
      <c r="BO2970" s="8">
        <v>5266835.8667717148</v>
      </c>
      <c r="BP2970" s="8">
        <v>5789878.7057404434</v>
      </c>
      <c r="BQ2970" s="8">
        <v>523042.83896872867</v>
      </c>
      <c r="BR2970" s="8" t="str">
        <v>No</v>
      </c>
    </row>
    <row r="2971" spans="54:70" x14ac:dyDescent="0.2">
      <c r="BB2971" s="94"/>
      <c r="BL2971" s="8">
        <v>2922</v>
      </c>
      <c r="BM2971" s="8">
        <v>9609563.4541206844</v>
      </c>
      <c r="BN2971" s="8">
        <v>0</v>
      </c>
      <c r="BO2971" s="8">
        <v>9609563.4541206844</v>
      </c>
      <c r="BP2971" s="8">
        <v>3851777.7118587065</v>
      </c>
      <c r="BQ2971" s="8">
        <v>-5757785.7422619779</v>
      </c>
      <c r="BR2971" s="8" t="str">
        <v>Yes</v>
      </c>
    </row>
    <row r="2972" spans="54:70" x14ac:dyDescent="0.2">
      <c r="BB2972" s="94"/>
      <c r="BL2972" s="8">
        <v>2923</v>
      </c>
      <c r="BM2972" s="8">
        <v>5721036.6807744261</v>
      </c>
      <c r="BN2972" s="8">
        <v>1599233.6089725383</v>
      </c>
      <c r="BO2972" s="8">
        <v>7320270.2897469644</v>
      </c>
      <c r="BP2972" s="8">
        <v>2360460.8379439781</v>
      </c>
      <c r="BQ2972" s="8">
        <v>-4959809.4518029857</v>
      </c>
      <c r="BR2972" s="8" t="str">
        <v>Yes</v>
      </c>
    </row>
    <row r="2973" spans="54:70" x14ac:dyDescent="0.2">
      <c r="BB2973" s="94"/>
      <c r="BL2973" s="8">
        <v>2924</v>
      </c>
      <c r="BM2973" s="8">
        <v>5451983.0378241483</v>
      </c>
      <c r="BN2973" s="8">
        <v>0</v>
      </c>
      <c r="BO2973" s="8">
        <v>5451983.0378241483</v>
      </c>
      <c r="BP2973" s="8">
        <v>3527352.2245381367</v>
      </c>
      <c r="BQ2973" s="8">
        <v>-1924630.8132860116</v>
      </c>
      <c r="BR2973" s="8" t="str">
        <v>Yes</v>
      </c>
    </row>
    <row r="2974" spans="54:70" x14ac:dyDescent="0.2">
      <c r="BB2974" s="94"/>
      <c r="BL2974" s="8">
        <v>2925</v>
      </c>
      <c r="BM2974" s="8">
        <v>5518898.4083105847</v>
      </c>
      <c r="BN2974" s="8">
        <v>0</v>
      </c>
      <c r="BO2974" s="8">
        <v>5518898.4083105847</v>
      </c>
      <c r="BP2974" s="8">
        <v>2087001.2737694143</v>
      </c>
      <c r="BQ2974" s="8">
        <v>-3431897.1345411707</v>
      </c>
      <c r="BR2974" s="8" t="str">
        <v>Yes</v>
      </c>
    </row>
    <row r="2975" spans="54:70" x14ac:dyDescent="0.2">
      <c r="BB2975" s="94"/>
      <c r="BL2975" s="8">
        <v>2926</v>
      </c>
      <c r="BM2975" s="8">
        <v>8627461.5704783536</v>
      </c>
      <c r="BN2975" s="8">
        <v>8468700.6979545057</v>
      </c>
      <c r="BO2975" s="8">
        <v>17096162.268432859</v>
      </c>
      <c r="BP2975" s="8">
        <v>6370761.637313731</v>
      </c>
      <c r="BQ2975" s="8">
        <v>-10725400.631119128</v>
      </c>
      <c r="BR2975" s="8" t="str">
        <v>Yes</v>
      </c>
    </row>
    <row r="2976" spans="54:70" x14ac:dyDescent="0.2">
      <c r="BB2976" s="94"/>
      <c r="BL2976" s="8">
        <v>2927</v>
      </c>
      <c r="BM2976" s="8">
        <v>4795069.2268185802</v>
      </c>
      <c r="BN2976" s="8">
        <v>3637616.5125724692</v>
      </c>
      <c r="BO2976" s="8">
        <v>8432685.7393910494</v>
      </c>
      <c r="BP2976" s="8">
        <v>3171938.2235999317</v>
      </c>
      <c r="BQ2976" s="8">
        <v>-5260747.5157911181</v>
      </c>
      <c r="BR2976" s="8" t="str">
        <v>Yes</v>
      </c>
    </row>
    <row r="2977" spans="54:70" x14ac:dyDescent="0.2">
      <c r="BB2977" s="94"/>
      <c r="BL2977" s="8">
        <v>2928</v>
      </c>
      <c r="BM2977" s="8">
        <v>3146122.874396096</v>
      </c>
      <c r="BN2977" s="8">
        <v>0</v>
      </c>
      <c r="BO2977" s="8">
        <v>3146122.874396096</v>
      </c>
      <c r="BP2977" s="8">
        <v>6206863.9065074846</v>
      </c>
      <c r="BQ2977" s="8">
        <v>3060741.0321113886</v>
      </c>
      <c r="BR2977" s="8" t="str">
        <v>No</v>
      </c>
    </row>
    <row r="2978" spans="54:70" x14ac:dyDescent="0.2">
      <c r="BB2978" s="94"/>
      <c r="BL2978" s="8">
        <v>2929</v>
      </c>
      <c r="BM2978" s="8">
        <v>5584020.5282303952</v>
      </c>
      <c r="BN2978" s="8">
        <v>0</v>
      </c>
      <c r="BO2978" s="8">
        <v>5584020.5282303952</v>
      </c>
      <c r="BP2978" s="8">
        <v>4214065.3031815821</v>
      </c>
      <c r="BQ2978" s="8">
        <v>-1369955.225048813</v>
      </c>
      <c r="BR2978" s="8" t="str">
        <v>Yes</v>
      </c>
    </row>
    <row r="2979" spans="54:70" x14ac:dyDescent="0.2">
      <c r="BB2979" s="94"/>
      <c r="BL2979" s="8">
        <v>2930</v>
      </c>
      <c r="BM2979" s="8">
        <v>12567174.634905133</v>
      </c>
      <c r="BN2979" s="8">
        <v>2249185.1321358881</v>
      </c>
      <c r="BO2979" s="8">
        <v>14816359.767041022</v>
      </c>
      <c r="BP2979" s="8">
        <v>4601164.134842651</v>
      </c>
      <c r="BQ2979" s="8">
        <v>-10215195.632198371</v>
      </c>
      <c r="BR2979" s="8" t="str">
        <v>Yes</v>
      </c>
    </row>
    <row r="2980" spans="54:70" x14ac:dyDescent="0.2">
      <c r="BB2980" s="94"/>
      <c r="BL2980" s="8">
        <v>2931</v>
      </c>
      <c r="BM2980" s="8">
        <v>4111851.4057329893</v>
      </c>
      <c r="BN2980" s="8">
        <v>4707849.4015954584</v>
      </c>
      <c r="BO2980" s="8">
        <v>8819700.8073284477</v>
      </c>
      <c r="BP2980" s="8">
        <v>3317961.8035912868</v>
      </c>
      <c r="BQ2980" s="8">
        <v>-5501739.0037371609</v>
      </c>
      <c r="BR2980" s="8" t="str">
        <v>Yes</v>
      </c>
    </row>
    <row r="2981" spans="54:70" x14ac:dyDescent="0.2">
      <c r="BB2981" s="94"/>
      <c r="BL2981" s="8">
        <v>2932</v>
      </c>
      <c r="BM2981" s="8">
        <v>2671684.064319931</v>
      </c>
      <c r="BN2981" s="8">
        <v>0</v>
      </c>
      <c r="BO2981" s="8">
        <v>2671684.064319931</v>
      </c>
      <c r="BP2981" s="8">
        <v>3328296.4060529042</v>
      </c>
      <c r="BQ2981" s="8">
        <v>656612.34173297323</v>
      </c>
      <c r="BR2981" s="8" t="str">
        <v>No</v>
      </c>
    </row>
    <row r="2982" spans="54:70" x14ac:dyDescent="0.2">
      <c r="BB2982" s="94"/>
      <c r="BL2982" s="8">
        <v>2933</v>
      </c>
      <c r="BM2982" s="8">
        <v>2865810.6849345034</v>
      </c>
      <c r="BN2982" s="8">
        <v>0</v>
      </c>
      <c r="BO2982" s="8">
        <v>2865810.6849345034</v>
      </c>
      <c r="BP2982" s="8">
        <v>4012623.7360688597</v>
      </c>
      <c r="BQ2982" s="8">
        <v>1146813.0511343563</v>
      </c>
      <c r="BR2982" s="8" t="str">
        <v>No</v>
      </c>
    </row>
    <row r="2983" spans="54:70" x14ac:dyDescent="0.2">
      <c r="BB2983" s="94"/>
      <c r="BL2983" s="8">
        <v>2934</v>
      </c>
      <c r="BM2983" s="8">
        <v>4193970.515959396</v>
      </c>
      <c r="BN2983" s="8">
        <v>8204962.7773085143</v>
      </c>
      <c r="BO2983" s="8">
        <v>12398933.293267909</v>
      </c>
      <c r="BP2983" s="8">
        <v>3298629.1066642781</v>
      </c>
      <c r="BQ2983" s="8">
        <v>-9100304.1866036318</v>
      </c>
      <c r="BR2983" s="8" t="str">
        <v>Yes</v>
      </c>
    </row>
    <row r="2984" spans="54:70" x14ac:dyDescent="0.2">
      <c r="BB2984" s="94"/>
      <c r="BL2984" s="8">
        <v>2935</v>
      </c>
      <c r="BM2984" s="8">
        <v>4034391.2971826894</v>
      </c>
      <c r="BN2984" s="8">
        <v>0</v>
      </c>
      <c r="BO2984" s="8">
        <v>4034391.2971826894</v>
      </c>
      <c r="BP2984" s="8">
        <v>5988611.9092955738</v>
      </c>
      <c r="BQ2984" s="8">
        <v>1954220.6121128844</v>
      </c>
      <c r="BR2984" s="8" t="str">
        <v>No</v>
      </c>
    </row>
    <row r="2985" spans="54:70" x14ac:dyDescent="0.2">
      <c r="BB2985" s="94"/>
      <c r="BL2985" s="8">
        <v>2936</v>
      </c>
      <c r="BM2985" s="8">
        <v>1643260.1832569488</v>
      </c>
      <c r="BN2985" s="8">
        <v>0</v>
      </c>
      <c r="BO2985" s="8">
        <v>1643260.1832569488</v>
      </c>
      <c r="BP2985" s="8">
        <v>3929291.0116545563</v>
      </c>
      <c r="BQ2985" s="8">
        <v>2286030.8283976074</v>
      </c>
      <c r="BR2985" s="8" t="str">
        <v>No</v>
      </c>
    </row>
    <row r="2986" spans="54:70" x14ac:dyDescent="0.2">
      <c r="BB2986" s="94"/>
      <c r="BL2986" s="8">
        <v>2937</v>
      </c>
      <c r="BM2986" s="8">
        <v>5345559.5839663623</v>
      </c>
      <c r="BN2986" s="8">
        <v>0</v>
      </c>
      <c r="BO2986" s="8">
        <v>5345559.5839663623</v>
      </c>
      <c r="BP2986" s="8">
        <v>3425622.5071441652</v>
      </c>
      <c r="BQ2986" s="8">
        <v>-1919937.0768221971</v>
      </c>
      <c r="BR2986" s="8" t="str">
        <v>Yes</v>
      </c>
    </row>
    <row r="2987" spans="54:70" x14ac:dyDescent="0.2">
      <c r="BB2987" s="94"/>
      <c r="BL2987" s="8">
        <v>2938</v>
      </c>
      <c r="BM2987" s="8">
        <v>2167204.4264996247</v>
      </c>
      <c r="BN2987" s="8">
        <v>0</v>
      </c>
      <c r="BO2987" s="8">
        <v>2167204.4264996247</v>
      </c>
      <c r="BP2987" s="8">
        <v>3430799.9614285189</v>
      </c>
      <c r="BQ2987" s="8">
        <v>1263595.5349288941</v>
      </c>
      <c r="BR2987" s="8" t="str">
        <v>No</v>
      </c>
    </row>
    <row r="2988" spans="54:70" x14ac:dyDescent="0.2">
      <c r="BB2988" s="94"/>
      <c r="BL2988" s="8">
        <v>2939</v>
      </c>
      <c r="BM2988" s="8">
        <v>3698466.2531697266</v>
      </c>
      <c r="BN2988" s="8">
        <v>1930279.6524543271</v>
      </c>
      <c r="BO2988" s="8">
        <v>5628745.9056240534</v>
      </c>
      <c r="BP2988" s="8">
        <v>3302350.8951801583</v>
      </c>
      <c r="BQ2988" s="8">
        <v>-2326395.0104438951</v>
      </c>
      <c r="BR2988" s="8" t="str">
        <v>Yes</v>
      </c>
    </row>
    <row r="2989" spans="54:70" x14ac:dyDescent="0.2">
      <c r="BB2989" s="94"/>
      <c r="BL2989" s="8">
        <v>2940</v>
      </c>
      <c r="BM2989" s="8">
        <v>6155914.3274729103</v>
      </c>
      <c r="BN2989" s="8">
        <v>2999567.6772850105</v>
      </c>
      <c r="BO2989" s="8">
        <v>9155482.0047579203</v>
      </c>
      <c r="BP2989" s="8">
        <v>3240526.4830656587</v>
      </c>
      <c r="BQ2989" s="8">
        <v>-5914955.5216922611</v>
      </c>
      <c r="BR2989" s="8" t="str">
        <v>Yes</v>
      </c>
    </row>
    <row r="2990" spans="54:70" x14ac:dyDescent="0.2">
      <c r="BB2990" s="94"/>
      <c r="BL2990" s="8">
        <v>2941</v>
      </c>
      <c r="BM2990" s="8">
        <v>2694687.5206394969</v>
      </c>
      <c r="BN2990" s="8">
        <v>0</v>
      </c>
      <c r="BO2990" s="8">
        <v>2694687.5206394969</v>
      </c>
      <c r="BP2990" s="8">
        <v>3419072.4454073361</v>
      </c>
      <c r="BQ2990" s="8">
        <v>724384.92476783926</v>
      </c>
      <c r="BR2990" s="8" t="str">
        <v>No</v>
      </c>
    </row>
    <row r="2991" spans="54:70" x14ac:dyDescent="0.2">
      <c r="BB2991" s="94"/>
      <c r="BL2991" s="8">
        <v>2942</v>
      </c>
      <c r="BM2991" s="8">
        <v>4997539.5060986169</v>
      </c>
      <c r="BN2991" s="8">
        <v>5897524.413432871</v>
      </c>
      <c r="BO2991" s="8">
        <v>10895063.919531487</v>
      </c>
      <c r="BP2991" s="8">
        <v>4699395.3257373134</v>
      </c>
      <c r="BQ2991" s="8">
        <v>-6195668.5937941736</v>
      </c>
      <c r="BR2991" s="8" t="str">
        <v>Yes</v>
      </c>
    </row>
    <row r="2992" spans="54:70" x14ac:dyDescent="0.2">
      <c r="BB2992" s="94"/>
      <c r="BL2992" s="8">
        <v>2943</v>
      </c>
      <c r="BM2992" s="8">
        <v>2821286.9282933092</v>
      </c>
      <c r="BN2992" s="8">
        <v>0</v>
      </c>
      <c r="BO2992" s="8">
        <v>2821286.9282933092</v>
      </c>
      <c r="BP2992" s="8">
        <v>3536972.481802457</v>
      </c>
      <c r="BQ2992" s="8">
        <v>715685.55350914784</v>
      </c>
      <c r="BR2992" s="8" t="str">
        <v>No</v>
      </c>
    </row>
    <row r="2993" spans="54:70" x14ac:dyDescent="0.2">
      <c r="BB2993" s="94"/>
      <c r="BL2993" s="8">
        <v>2944</v>
      </c>
      <c r="BM2993" s="8">
        <v>8878615.2229053862</v>
      </c>
      <c r="BN2993" s="8">
        <v>9021870.1271101329</v>
      </c>
      <c r="BO2993" s="8">
        <v>17900485.350015521</v>
      </c>
      <c r="BP2993" s="8">
        <v>4351449.8905697558</v>
      </c>
      <c r="BQ2993" s="8">
        <v>-13549035.459445765</v>
      </c>
      <c r="BR2993" s="8" t="str">
        <v>Yes</v>
      </c>
    </row>
    <row r="2994" spans="54:70" x14ac:dyDescent="0.2">
      <c r="BB2994" s="94"/>
      <c r="BL2994" s="8">
        <v>2945</v>
      </c>
      <c r="BM2994" s="8">
        <v>7438276.1069637239</v>
      </c>
      <c r="BN2994" s="8">
        <v>0</v>
      </c>
      <c r="BO2994" s="8">
        <v>7438276.1069637239</v>
      </c>
      <c r="BP2994" s="8">
        <v>3122725.6312963613</v>
      </c>
      <c r="BQ2994" s="8">
        <v>-4315550.475667363</v>
      </c>
      <c r="BR2994" s="8" t="str">
        <v>Yes</v>
      </c>
    </row>
    <row r="2995" spans="54:70" x14ac:dyDescent="0.2">
      <c r="BB2995" s="94"/>
      <c r="BL2995" s="8">
        <v>2946</v>
      </c>
      <c r="BM2995" s="8">
        <v>3224937.1969543016</v>
      </c>
      <c r="BN2995" s="8">
        <v>2245528.8794975299</v>
      </c>
      <c r="BO2995" s="8">
        <v>5470466.0764518315</v>
      </c>
      <c r="BP2995" s="8">
        <v>2318043.4128210493</v>
      </c>
      <c r="BQ2995" s="8">
        <v>-3152422.6636307822</v>
      </c>
      <c r="BR2995" s="8" t="str">
        <v>Yes</v>
      </c>
    </row>
    <row r="2996" spans="54:70" x14ac:dyDescent="0.2">
      <c r="BB2996" s="94"/>
      <c r="BL2996" s="8">
        <v>2947</v>
      </c>
      <c r="BM2996" s="8">
        <v>3667206.4214604064</v>
      </c>
      <c r="BN2996" s="8">
        <v>1201022.2921896838</v>
      </c>
      <c r="BO2996" s="8">
        <v>4868228.7136500906</v>
      </c>
      <c r="BP2996" s="8">
        <v>6560874.6635051128</v>
      </c>
      <c r="BQ2996" s="8">
        <v>1692645.9498550221</v>
      </c>
      <c r="BR2996" s="8" t="str">
        <v>No</v>
      </c>
    </row>
    <row r="2997" spans="54:70" x14ac:dyDescent="0.2">
      <c r="BB2997" s="94"/>
      <c r="BL2997" s="8">
        <v>2948</v>
      </c>
      <c r="BM2997" s="8">
        <v>6568500.5826221723</v>
      </c>
      <c r="BN2997" s="8">
        <v>4448819.3726712512</v>
      </c>
      <c r="BO2997" s="8">
        <v>11017319.955293424</v>
      </c>
      <c r="BP2997" s="8">
        <v>4615900.4025679687</v>
      </c>
      <c r="BQ2997" s="8">
        <v>-6401419.5527254557</v>
      </c>
      <c r="BR2997" s="8" t="str">
        <v>Yes</v>
      </c>
    </row>
    <row r="2998" spans="54:70" x14ac:dyDescent="0.2">
      <c r="BB2998" s="94"/>
      <c r="BL2998" s="8">
        <v>2949</v>
      </c>
      <c r="BM2998" s="8">
        <v>4956031.3859891891</v>
      </c>
      <c r="BN2998" s="8">
        <v>2764605.5685703685</v>
      </c>
      <c r="BO2998" s="8">
        <v>7720636.9545595571</v>
      </c>
      <c r="BP2998" s="8">
        <v>3648267.4142522346</v>
      </c>
      <c r="BQ2998" s="8">
        <v>-4072369.5403073225</v>
      </c>
      <c r="BR2998" s="8" t="str">
        <v>Yes</v>
      </c>
    </row>
    <row r="2999" spans="54:70" x14ac:dyDescent="0.2">
      <c r="BB2999" s="94"/>
      <c r="BL2999" s="8">
        <v>2950</v>
      </c>
      <c r="BM2999" s="8">
        <v>7662697.2161273547</v>
      </c>
      <c r="BN2999" s="8">
        <v>0</v>
      </c>
      <c r="BO2999" s="8">
        <v>7662697.2161273547</v>
      </c>
      <c r="BP2999" s="8">
        <v>6312574.3072441826</v>
      </c>
      <c r="BQ2999" s="8">
        <v>-1350122.9088831721</v>
      </c>
      <c r="BR2999" s="8" t="str">
        <v>Yes</v>
      </c>
    </row>
    <row r="3000" spans="54:70" x14ac:dyDescent="0.2">
      <c r="BB3000" s="94"/>
      <c r="BL3000" s="8">
        <v>2951</v>
      </c>
      <c r="BM3000" s="8">
        <v>4012052.0268236184</v>
      </c>
      <c r="BN3000" s="8">
        <v>1553862.3340486158</v>
      </c>
      <c r="BO3000" s="8">
        <v>5565914.3608722342</v>
      </c>
      <c r="BP3000" s="8">
        <v>6087198.5322489347</v>
      </c>
      <c r="BQ3000" s="8">
        <v>521284.17137670051</v>
      </c>
      <c r="BR3000" s="8" t="str">
        <v>No</v>
      </c>
    </row>
    <row r="3001" spans="54:70" x14ac:dyDescent="0.2">
      <c r="BB3001" s="94"/>
      <c r="BL3001" s="8">
        <v>2952</v>
      </c>
      <c r="BM3001" s="8">
        <v>2328090.1164321499</v>
      </c>
      <c r="BN3001" s="8">
        <v>2186912.9588430612</v>
      </c>
      <c r="BO3001" s="8">
        <v>4515003.0752752107</v>
      </c>
      <c r="BP3001" s="8">
        <v>3068917.8495871215</v>
      </c>
      <c r="BQ3001" s="8">
        <v>-1446085.2256880892</v>
      </c>
      <c r="BR3001" s="8" t="str">
        <v>Yes</v>
      </c>
    </row>
    <row r="3002" spans="54:70" x14ac:dyDescent="0.2">
      <c r="BB3002" s="94"/>
      <c r="BL3002" s="8">
        <v>2953</v>
      </c>
      <c r="BM3002" s="8">
        <v>4520061.6584941288</v>
      </c>
      <c r="BN3002" s="8">
        <v>4906885.2767270487</v>
      </c>
      <c r="BO3002" s="8">
        <v>9426946.9352211766</v>
      </c>
      <c r="BP3002" s="8">
        <v>4377017.7772829849</v>
      </c>
      <c r="BQ3002" s="8">
        <v>-5049929.1579381917</v>
      </c>
      <c r="BR3002" s="8" t="str">
        <v>Yes</v>
      </c>
    </row>
    <row r="3003" spans="54:70" x14ac:dyDescent="0.2">
      <c r="BB3003" s="94"/>
      <c r="BL3003" s="8">
        <v>2954</v>
      </c>
      <c r="BM3003" s="8">
        <v>5309482.975920816</v>
      </c>
      <c r="BN3003" s="8">
        <v>1851838.1018704323</v>
      </c>
      <c r="BO3003" s="8">
        <v>7161321.0777912484</v>
      </c>
      <c r="BP3003" s="8">
        <v>3067606.5390852741</v>
      </c>
      <c r="BQ3003" s="8">
        <v>-4093714.5387059744</v>
      </c>
      <c r="BR3003" s="8" t="str">
        <v>Yes</v>
      </c>
    </row>
    <row r="3004" spans="54:70" x14ac:dyDescent="0.2">
      <c r="BB3004" s="94"/>
      <c r="BL3004" s="8">
        <v>2955</v>
      </c>
      <c r="BM3004" s="8">
        <v>12488922.180120038</v>
      </c>
      <c r="BN3004" s="8">
        <v>16246591.64569428</v>
      </c>
      <c r="BO3004" s="8">
        <v>28735513.825814318</v>
      </c>
      <c r="BP3004" s="8">
        <v>2332476.5376987481</v>
      </c>
      <c r="BQ3004" s="8">
        <v>-26403037.288115568</v>
      </c>
      <c r="BR3004" s="8" t="str">
        <v>Yes</v>
      </c>
    </row>
    <row r="3005" spans="54:70" x14ac:dyDescent="0.2">
      <c r="BB3005" s="94"/>
      <c r="BL3005" s="8">
        <v>2956</v>
      </c>
      <c r="BM3005" s="8">
        <v>3334755.382619625</v>
      </c>
      <c r="BN3005" s="8">
        <v>1349323.7766539003</v>
      </c>
      <c r="BO3005" s="8">
        <v>4684079.1592735257</v>
      </c>
      <c r="BP3005" s="8">
        <v>3582056.9512362825</v>
      </c>
      <c r="BQ3005" s="8">
        <v>-1102022.2080372432</v>
      </c>
      <c r="BR3005" s="8" t="str">
        <v>Yes</v>
      </c>
    </row>
    <row r="3006" spans="54:70" x14ac:dyDescent="0.2">
      <c r="BB3006" s="94"/>
      <c r="BL3006" s="8">
        <v>2957</v>
      </c>
      <c r="BM3006" s="8">
        <v>3018029.4643934933</v>
      </c>
      <c r="BN3006" s="8">
        <v>0</v>
      </c>
      <c r="BO3006" s="8">
        <v>3018029.4643934933</v>
      </c>
      <c r="BP3006" s="8">
        <v>3231360.9326859079</v>
      </c>
      <c r="BQ3006" s="8">
        <v>213331.46829241468</v>
      </c>
      <c r="BR3006" s="8" t="str">
        <v>No</v>
      </c>
    </row>
    <row r="3007" spans="54:70" x14ac:dyDescent="0.2">
      <c r="BB3007" s="94"/>
      <c r="BL3007" s="8">
        <v>2958</v>
      </c>
      <c r="BM3007" s="8">
        <v>7476923.3655690495</v>
      </c>
      <c r="BN3007" s="8">
        <v>0</v>
      </c>
      <c r="BO3007" s="8">
        <v>7476923.3655690495</v>
      </c>
      <c r="BP3007" s="8">
        <v>3964465.1370665822</v>
      </c>
      <c r="BQ3007" s="8">
        <v>-3512458.2285024673</v>
      </c>
      <c r="BR3007" s="8" t="str">
        <v>Yes</v>
      </c>
    </row>
    <row r="3008" spans="54:70" x14ac:dyDescent="0.2">
      <c r="BB3008" s="94"/>
      <c r="BL3008" s="8">
        <v>2959</v>
      </c>
      <c r="BM3008" s="8">
        <v>2922572.4029058488</v>
      </c>
      <c r="BN3008" s="8">
        <v>269778.25798575807</v>
      </c>
      <c r="BO3008" s="8">
        <v>3192350.6608916069</v>
      </c>
      <c r="BP3008" s="8">
        <v>2398316.2666014964</v>
      </c>
      <c r="BQ3008" s="8">
        <v>-794034.39429011056</v>
      </c>
      <c r="BR3008" s="8" t="str">
        <v>Yes</v>
      </c>
    </row>
    <row r="3009" spans="54:70" x14ac:dyDescent="0.2">
      <c r="BB3009" s="94"/>
      <c r="BL3009" s="8">
        <v>2960</v>
      </c>
      <c r="BM3009" s="8">
        <v>6743428.5458083618</v>
      </c>
      <c r="BN3009" s="8">
        <v>0</v>
      </c>
      <c r="BO3009" s="8">
        <v>6743428.5458083618</v>
      </c>
      <c r="BP3009" s="8">
        <v>3330922.4927076977</v>
      </c>
      <c r="BQ3009" s="8">
        <v>-3412506.0531006642</v>
      </c>
      <c r="BR3009" s="8" t="str">
        <v>Yes</v>
      </c>
    </row>
    <row r="3010" spans="54:70" x14ac:dyDescent="0.2">
      <c r="BB3010" s="94"/>
      <c r="BL3010" s="8">
        <v>2961</v>
      </c>
      <c r="BM3010" s="8">
        <v>3538466.8292363472</v>
      </c>
      <c r="BN3010" s="8">
        <v>1069096.3609889755</v>
      </c>
      <c r="BO3010" s="8">
        <v>4607563.1902253227</v>
      </c>
      <c r="BP3010" s="8">
        <v>3289972.4046416092</v>
      </c>
      <c r="BQ3010" s="8">
        <v>-1317590.7855837136</v>
      </c>
      <c r="BR3010" s="8" t="str">
        <v>Yes</v>
      </c>
    </row>
    <row r="3011" spans="54:70" x14ac:dyDescent="0.2">
      <c r="BB3011" s="94"/>
      <c r="BL3011" s="8">
        <v>2962</v>
      </c>
      <c r="BM3011" s="8">
        <v>5177208.8280318426</v>
      </c>
      <c r="BN3011" s="8">
        <v>7121351.1429778524</v>
      </c>
      <c r="BO3011" s="8">
        <v>12298559.971009694</v>
      </c>
      <c r="BP3011" s="8">
        <v>3276566.0340156402</v>
      </c>
      <c r="BQ3011" s="8">
        <v>-9021993.9369940534</v>
      </c>
      <c r="BR3011" s="8" t="str">
        <v>Yes</v>
      </c>
    </row>
    <row r="3012" spans="54:70" x14ac:dyDescent="0.2">
      <c r="BB3012" s="94"/>
      <c r="BL3012" s="8">
        <v>2963</v>
      </c>
      <c r="BM3012" s="8">
        <v>5097003.1492291242</v>
      </c>
      <c r="BN3012" s="8">
        <v>0</v>
      </c>
      <c r="BO3012" s="8">
        <v>5097003.1492291242</v>
      </c>
      <c r="BP3012" s="8">
        <v>4113118.976963718</v>
      </c>
      <c r="BQ3012" s="8">
        <v>-983884.17226540623</v>
      </c>
      <c r="BR3012" s="8" t="str">
        <v>Yes</v>
      </c>
    </row>
    <row r="3013" spans="54:70" x14ac:dyDescent="0.2">
      <c r="BB3013" s="94"/>
      <c r="BL3013" s="8">
        <v>2964</v>
      </c>
      <c r="BM3013" s="8">
        <v>5140781.1141088791</v>
      </c>
      <c r="BN3013" s="8">
        <v>5300300.389149311</v>
      </c>
      <c r="BO3013" s="8">
        <v>10441081.503258191</v>
      </c>
      <c r="BP3013" s="8">
        <v>6757035.1013147123</v>
      </c>
      <c r="BQ3013" s="8">
        <v>-3684046.4019434787</v>
      </c>
      <c r="BR3013" s="8" t="str">
        <v>Yes</v>
      </c>
    </row>
    <row r="3014" spans="54:70" x14ac:dyDescent="0.2">
      <c r="BB3014" s="94"/>
      <c r="BL3014" s="8">
        <v>2965</v>
      </c>
      <c r="BM3014" s="8">
        <v>2636312.3550531212</v>
      </c>
      <c r="BN3014" s="8">
        <v>0</v>
      </c>
      <c r="BO3014" s="8">
        <v>2636312.3550531212</v>
      </c>
      <c r="BP3014" s="8">
        <v>6066231.4069425529</v>
      </c>
      <c r="BQ3014" s="8">
        <v>3429919.0518894317</v>
      </c>
      <c r="BR3014" s="8" t="str">
        <v>No</v>
      </c>
    </row>
    <row r="3015" spans="54:70" x14ac:dyDescent="0.2">
      <c r="BB3015" s="94"/>
      <c r="BL3015" s="8">
        <v>2966</v>
      </c>
      <c r="BM3015" s="8">
        <v>4917971.1643259432</v>
      </c>
      <c r="BN3015" s="8">
        <v>0</v>
      </c>
      <c r="BO3015" s="8">
        <v>4917971.1643259432</v>
      </c>
      <c r="BP3015" s="8">
        <v>6264171.9586474961</v>
      </c>
      <c r="BQ3015" s="8">
        <v>1346200.7943215529</v>
      </c>
      <c r="BR3015" s="8" t="str">
        <v>No</v>
      </c>
    </row>
    <row r="3016" spans="54:70" x14ac:dyDescent="0.2">
      <c r="BB3016" s="94"/>
      <c r="BL3016" s="8">
        <v>2967</v>
      </c>
      <c r="BM3016" s="8">
        <v>6969772.7554825582</v>
      </c>
      <c r="BN3016" s="8">
        <v>8167760.7246875763</v>
      </c>
      <c r="BO3016" s="8">
        <v>15137533.480170134</v>
      </c>
      <c r="BP3016" s="8">
        <v>6003552.5306401737</v>
      </c>
      <c r="BQ3016" s="8">
        <v>-9133980.9495299608</v>
      </c>
      <c r="BR3016" s="8" t="str">
        <v>Yes</v>
      </c>
    </row>
    <row r="3017" spans="54:70" x14ac:dyDescent="0.2">
      <c r="BB3017" s="94"/>
      <c r="BL3017" s="8">
        <v>2968</v>
      </c>
      <c r="BM3017" s="8">
        <v>2926740.9259594283</v>
      </c>
      <c r="BN3017" s="8">
        <v>0</v>
      </c>
      <c r="BO3017" s="8">
        <v>2926740.9259594283</v>
      </c>
      <c r="BP3017" s="8">
        <v>3141210.9999059727</v>
      </c>
      <c r="BQ3017" s="8">
        <v>214470.07394654443</v>
      </c>
      <c r="BR3017" s="8" t="str">
        <v>No</v>
      </c>
    </row>
    <row r="3018" spans="54:70" x14ac:dyDescent="0.2">
      <c r="BB3018" s="94"/>
      <c r="BL3018" s="8">
        <v>2969</v>
      </c>
      <c r="BM3018" s="8">
        <v>2118966.514667945</v>
      </c>
      <c r="BN3018" s="8">
        <v>0</v>
      </c>
      <c r="BO3018" s="8">
        <v>2118966.514667945</v>
      </c>
      <c r="BP3018" s="8">
        <v>3293316.2768297349</v>
      </c>
      <c r="BQ3018" s="8">
        <v>1174349.7621617899</v>
      </c>
      <c r="BR3018" s="8" t="str">
        <v>No</v>
      </c>
    </row>
    <row r="3019" spans="54:70" x14ac:dyDescent="0.2">
      <c r="BB3019" s="94"/>
      <c r="BL3019" s="8">
        <v>2970</v>
      </c>
      <c r="BM3019" s="8">
        <v>3201186.6375559582</v>
      </c>
      <c r="BN3019" s="8">
        <v>0</v>
      </c>
      <c r="BO3019" s="8">
        <v>3201186.6375559582</v>
      </c>
      <c r="BP3019" s="8">
        <v>2339273.8907785085</v>
      </c>
      <c r="BQ3019" s="8">
        <v>-861912.74677744973</v>
      </c>
      <c r="BR3019" s="8" t="str">
        <v>Yes</v>
      </c>
    </row>
    <row r="3020" spans="54:70" x14ac:dyDescent="0.2">
      <c r="BB3020" s="94"/>
      <c r="BL3020" s="8">
        <v>2971</v>
      </c>
      <c r="BM3020" s="8">
        <v>3814434.8367967363</v>
      </c>
      <c r="BN3020" s="8">
        <v>3302792.7527268222</v>
      </c>
      <c r="BO3020" s="8">
        <v>7117227.5895235585</v>
      </c>
      <c r="BP3020" s="8">
        <v>6202186.7411569422</v>
      </c>
      <c r="BQ3020" s="8">
        <v>-915040.84836661629</v>
      </c>
      <c r="BR3020" s="8" t="str">
        <v>Yes</v>
      </c>
    </row>
    <row r="3021" spans="54:70" x14ac:dyDescent="0.2">
      <c r="BB3021" s="94"/>
      <c r="BL3021" s="8">
        <v>2972</v>
      </c>
      <c r="BM3021" s="8">
        <v>6410791.1264340868</v>
      </c>
      <c r="BN3021" s="8">
        <v>3908712.6823156499</v>
      </c>
      <c r="BO3021" s="8">
        <v>10319503.808749737</v>
      </c>
      <c r="BP3021" s="8">
        <v>4140654.4330824455</v>
      </c>
      <c r="BQ3021" s="8">
        <v>-6178849.3756672917</v>
      </c>
      <c r="BR3021" s="8" t="str">
        <v>Yes</v>
      </c>
    </row>
    <row r="3022" spans="54:70" x14ac:dyDescent="0.2">
      <c r="BB3022" s="94"/>
      <c r="BL3022" s="8">
        <v>2973</v>
      </c>
      <c r="BM3022" s="8">
        <v>1538343.0162976435</v>
      </c>
      <c r="BN3022" s="8">
        <v>0</v>
      </c>
      <c r="BO3022" s="8">
        <v>1538343.0162976435</v>
      </c>
      <c r="BP3022" s="8">
        <v>4072019.1925593186</v>
      </c>
      <c r="BQ3022" s="8">
        <v>2533676.1762616751</v>
      </c>
      <c r="BR3022" s="8" t="str">
        <v>No</v>
      </c>
    </row>
    <row r="3023" spans="54:70" x14ac:dyDescent="0.2">
      <c r="BB3023" s="94"/>
      <c r="BL3023" s="8">
        <v>2974</v>
      </c>
      <c r="BM3023" s="8">
        <v>8144897.9486500314</v>
      </c>
      <c r="BN3023" s="8">
        <v>7263053.6052926825</v>
      </c>
      <c r="BO3023" s="8">
        <v>15407951.553942714</v>
      </c>
      <c r="BP3023" s="8">
        <v>4158751.0140541773</v>
      </c>
      <c r="BQ3023" s="8">
        <v>-11249200.539888537</v>
      </c>
      <c r="BR3023" s="8" t="str">
        <v>Yes</v>
      </c>
    </row>
    <row r="3024" spans="54:70" x14ac:dyDescent="0.2">
      <c r="BB3024" s="94"/>
      <c r="BL3024" s="8">
        <v>2975</v>
      </c>
      <c r="BM3024" s="8">
        <v>2666045.7009049966</v>
      </c>
      <c r="BN3024" s="8">
        <v>0</v>
      </c>
      <c r="BO3024" s="8">
        <v>2666045.7009049966</v>
      </c>
      <c r="BP3024" s="8">
        <v>3561217.0195987802</v>
      </c>
      <c r="BQ3024" s="8">
        <v>895171.3186937836</v>
      </c>
      <c r="BR3024" s="8" t="str">
        <v>No</v>
      </c>
    </row>
    <row r="3025" spans="54:70" x14ac:dyDescent="0.2">
      <c r="BB3025" s="94"/>
      <c r="BL3025" s="8">
        <v>2976</v>
      </c>
      <c r="BM3025" s="8">
        <v>5250273.0792987086</v>
      </c>
      <c r="BN3025" s="8">
        <v>0</v>
      </c>
      <c r="BO3025" s="8">
        <v>5250273.0792987086</v>
      </c>
      <c r="BP3025" s="8">
        <v>4484737.561399187</v>
      </c>
      <c r="BQ3025" s="8">
        <v>-765535.51789952163</v>
      </c>
      <c r="BR3025" s="8" t="str">
        <v>Yes</v>
      </c>
    </row>
    <row r="3026" spans="54:70" x14ac:dyDescent="0.2">
      <c r="BB3026" s="94"/>
      <c r="BL3026" s="8">
        <v>2977</v>
      </c>
      <c r="BM3026" s="8">
        <v>3454956.5921235899</v>
      </c>
      <c r="BN3026" s="8">
        <v>0</v>
      </c>
      <c r="BO3026" s="8">
        <v>3454956.5921235899</v>
      </c>
      <c r="BP3026" s="8">
        <v>6255828.7358571291</v>
      </c>
      <c r="BQ3026" s="8">
        <v>2800872.1437335392</v>
      </c>
      <c r="BR3026" s="8" t="str">
        <v>No</v>
      </c>
    </row>
    <row r="3027" spans="54:70" x14ac:dyDescent="0.2">
      <c r="BB3027" s="94"/>
      <c r="BL3027" s="8">
        <v>2978</v>
      </c>
      <c r="BM3027" s="8">
        <v>3164415.5418279069</v>
      </c>
      <c r="BN3027" s="8">
        <v>1386255.9107295494</v>
      </c>
      <c r="BO3027" s="8">
        <v>4550671.4525574557</v>
      </c>
      <c r="BP3027" s="8">
        <v>4163393.4606826077</v>
      </c>
      <c r="BQ3027" s="8">
        <v>-387277.99187484803</v>
      </c>
      <c r="BR3027" s="8" t="str">
        <v>Yes</v>
      </c>
    </row>
    <row r="3028" spans="54:70" x14ac:dyDescent="0.2">
      <c r="BB3028" s="94"/>
      <c r="BL3028" s="8">
        <v>2979</v>
      </c>
      <c r="BM3028" s="8">
        <v>3215442.3384435726</v>
      </c>
      <c r="BN3028" s="8">
        <v>0</v>
      </c>
      <c r="BO3028" s="8">
        <v>3215442.3384435726</v>
      </c>
      <c r="BP3028" s="8">
        <v>2131639.948390766</v>
      </c>
      <c r="BQ3028" s="8">
        <v>-1083802.3900528066</v>
      </c>
      <c r="BR3028" s="8" t="str">
        <v>Yes</v>
      </c>
    </row>
    <row r="3029" spans="54:70" x14ac:dyDescent="0.2">
      <c r="BB3029" s="94"/>
      <c r="BL3029" s="8">
        <v>2980</v>
      </c>
      <c r="BM3029" s="8">
        <v>3024234.2385562081</v>
      </c>
      <c r="BN3029" s="8">
        <v>2612768.2425632454</v>
      </c>
      <c r="BO3029" s="8">
        <v>5637002.4811194539</v>
      </c>
      <c r="BP3029" s="8">
        <v>2174866.2239150633</v>
      </c>
      <c r="BQ3029" s="8">
        <v>-3462136.2572043906</v>
      </c>
      <c r="BR3029" s="8" t="str">
        <v>Yes</v>
      </c>
    </row>
    <row r="3030" spans="54:70" x14ac:dyDescent="0.2">
      <c r="BB3030" s="94"/>
      <c r="BL3030" s="8">
        <v>2981</v>
      </c>
      <c r="BM3030" s="8">
        <v>5303804.1769382609</v>
      </c>
      <c r="BN3030" s="8">
        <v>3390084.7160622571</v>
      </c>
      <c r="BO3030" s="8">
        <v>8693888.893000517</v>
      </c>
      <c r="BP3030" s="8">
        <v>4133672.3602044843</v>
      </c>
      <c r="BQ3030" s="8">
        <v>-4560216.5327960327</v>
      </c>
      <c r="BR3030" s="8" t="str">
        <v>Yes</v>
      </c>
    </row>
    <row r="3031" spans="54:70" x14ac:dyDescent="0.2">
      <c r="BB3031" s="94"/>
      <c r="BL3031" s="8">
        <v>2982</v>
      </c>
      <c r="BM3031" s="8">
        <v>4941147.871087525</v>
      </c>
      <c r="BN3031" s="8">
        <v>0</v>
      </c>
      <c r="BO3031" s="8">
        <v>4941147.871087525</v>
      </c>
      <c r="BP3031" s="8">
        <v>3298503.0482351915</v>
      </c>
      <c r="BQ3031" s="8">
        <v>-1642644.8228523335</v>
      </c>
      <c r="BR3031" s="8" t="str">
        <v>Yes</v>
      </c>
    </row>
    <row r="3032" spans="54:70" x14ac:dyDescent="0.2">
      <c r="BB3032" s="94"/>
      <c r="BL3032" s="8">
        <v>2983</v>
      </c>
      <c r="BM3032" s="8">
        <v>5323457.9477443183</v>
      </c>
      <c r="BN3032" s="8">
        <v>0</v>
      </c>
      <c r="BO3032" s="8">
        <v>5323457.9477443183</v>
      </c>
      <c r="BP3032" s="8">
        <v>4592690.4210143862</v>
      </c>
      <c r="BQ3032" s="8">
        <v>-730767.52672993205</v>
      </c>
      <c r="BR3032" s="8" t="str">
        <v>Yes</v>
      </c>
    </row>
    <row r="3033" spans="54:70" x14ac:dyDescent="0.2">
      <c r="BB3033" s="94"/>
      <c r="BL3033" s="8">
        <v>2984</v>
      </c>
      <c r="BM3033" s="8">
        <v>8098402.0982747739</v>
      </c>
      <c r="BN3033" s="8">
        <v>5665327.6317365672</v>
      </c>
      <c r="BO3033" s="8">
        <v>13763729.73001134</v>
      </c>
      <c r="BP3033" s="8">
        <v>3440086.7349605314</v>
      </c>
      <c r="BQ3033" s="8">
        <v>-10323642.995050808</v>
      </c>
      <c r="BR3033" s="8" t="str">
        <v>Yes</v>
      </c>
    </row>
    <row r="3034" spans="54:70" x14ac:dyDescent="0.2">
      <c r="BB3034" s="94"/>
      <c r="BL3034" s="8">
        <v>2985</v>
      </c>
      <c r="BM3034" s="8">
        <v>5574856.822745719</v>
      </c>
      <c r="BN3034" s="8">
        <v>9515074.2637111619</v>
      </c>
      <c r="BO3034" s="8">
        <v>15089931.08645688</v>
      </c>
      <c r="BP3034" s="8">
        <v>4169379.7368387864</v>
      </c>
      <c r="BQ3034" s="8">
        <v>-10920551.349618094</v>
      </c>
      <c r="BR3034" s="8" t="str">
        <v>Yes</v>
      </c>
    </row>
    <row r="3035" spans="54:70" x14ac:dyDescent="0.2">
      <c r="BB3035" s="94"/>
      <c r="BL3035" s="8">
        <v>2986</v>
      </c>
      <c r="BM3035" s="8">
        <v>3856214.2271016063</v>
      </c>
      <c r="BN3035" s="8">
        <v>0</v>
      </c>
      <c r="BO3035" s="8">
        <v>3856214.2271016063</v>
      </c>
      <c r="BP3035" s="8">
        <v>6396284.1567000682</v>
      </c>
      <c r="BQ3035" s="8">
        <v>2540069.9295984618</v>
      </c>
      <c r="BR3035" s="8" t="str">
        <v>No</v>
      </c>
    </row>
    <row r="3036" spans="54:70" x14ac:dyDescent="0.2">
      <c r="BB3036" s="94"/>
      <c r="BL3036" s="8">
        <v>2987</v>
      </c>
      <c r="BM3036" s="8">
        <v>5482879.0653581843</v>
      </c>
      <c r="BN3036" s="8">
        <v>2894881.4926588889</v>
      </c>
      <c r="BO3036" s="8">
        <v>8377760.5580170732</v>
      </c>
      <c r="BP3036" s="8">
        <v>3328147.235326766</v>
      </c>
      <c r="BQ3036" s="8">
        <v>-5049613.3226903072</v>
      </c>
      <c r="BR3036" s="8" t="str">
        <v>Yes</v>
      </c>
    </row>
    <row r="3037" spans="54:70" x14ac:dyDescent="0.2">
      <c r="BB3037" s="94"/>
      <c r="BL3037" s="8">
        <v>2988</v>
      </c>
      <c r="BM3037" s="8">
        <v>5923645.6164215263</v>
      </c>
      <c r="BN3037" s="8">
        <v>12623764.821588231</v>
      </c>
      <c r="BO3037" s="8">
        <v>18547410.438009758</v>
      </c>
      <c r="BP3037" s="8">
        <v>3698843.8664000449</v>
      </c>
      <c r="BQ3037" s="8">
        <v>-14848566.571609713</v>
      </c>
      <c r="BR3037" s="8" t="str">
        <v>Yes</v>
      </c>
    </row>
    <row r="3038" spans="54:70" x14ac:dyDescent="0.2">
      <c r="BB3038" s="94"/>
      <c r="BL3038" s="8">
        <v>2989</v>
      </c>
      <c r="BM3038" s="8">
        <v>5959181.4147112593</v>
      </c>
      <c r="BN3038" s="8">
        <v>0</v>
      </c>
      <c r="BO3038" s="8">
        <v>5959181.4147112593</v>
      </c>
      <c r="BP3038" s="8">
        <v>6210813.7151953895</v>
      </c>
      <c r="BQ3038" s="8">
        <v>251632.30048413016</v>
      </c>
      <c r="BR3038" s="8" t="str">
        <v>No</v>
      </c>
    </row>
    <row r="3039" spans="54:70" x14ac:dyDescent="0.2">
      <c r="BB3039" s="94"/>
      <c r="BL3039" s="8">
        <v>2990</v>
      </c>
      <c r="BM3039" s="8">
        <v>3534780.9684003387</v>
      </c>
      <c r="BN3039" s="8">
        <v>2360811.3804914877</v>
      </c>
      <c r="BO3039" s="8">
        <v>5895592.3488918263</v>
      </c>
      <c r="BP3039" s="8">
        <v>5341777.8020233484</v>
      </c>
      <c r="BQ3039" s="8">
        <v>-553814.54686847795</v>
      </c>
      <c r="BR3039" s="8" t="str">
        <v>Yes</v>
      </c>
    </row>
    <row r="3040" spans="54:70" x14ac:dyDescent="0.2">
      <c r="BB3040" s="94"/>
      <c r="BL3040" s="8">
        <v>2991</v>
      </c>
      <c r="BM3040" s="8">
        <v>6555856.7273364114</v>
      </c>
      <c r="BN3040" s="8">
        <v>0</v>
      </c>
      <c r="BO3040" s="8">
        <v>6555856.7273364114</v>
      </c>
      <c r="BP3040" s="8">
        <v>3986728.8177583381</v>
      </c>
      <c r="BQ3040" s="8">
        <v>-2569127.9095780733</v>
      </c>
      <c r="BR3040" s="8" t="str">
        <v>Yes</v>
      </c>
    </row>
    <row r="3041" spans="54:70" x14ac:dyDescent="0.2">
      <c r="BB3041" s="94"/>
      <c r="BL3041" s="8">
        <v>2992</v>
      </c>
      <c r="BM3041" s="8">
        <v>1592292.306866644</v>
      </c>
      <c r="BN3041" s="8">
        <v>0</v>
      </c>
      <c r="BO3041" s="8">
        <v>1592292.306866644</v>
      </c>
      <c r="BP3041" s="8">
        <v>3334036.0078828726</v>
      </c>
      <c r="BQ3041" s="8">
        <v>1741743.7010162286</v>
      </c>
      <c r="BR3041" s="8" t="str">
        <v>No</v>
      </c>
    </row>
    <row r="3042" spans="54:70" x14ac:dyDescent="0.2">
      <c r="BB3042" s="94"/>
      <c r="BL3042" s="8">
        <v>2993</v>
      </c>
      <c r="BM3042" s="8">
        <v>9836729.9714112952</v>
      </c>
      <c r="BN3042" s="8">
        <v>6932042.8813898331</v>
      </c>
      <c r="BO3042" s="8">
        <v>16768772.852801129</v>
      </c>
      <c r="BP3042" s="8">
        <v>5918158.6925779721</v>
      </c>
      <c r="BQ3042" s="8">
        <v>-10850614.160223156</v>
      </c>
      <c r="BR3042" s="8" t="str">
        <v>Yes</v>
      </c>
    </row>
    <row r="3043" spans="54:70" x14ac:dyDescent="0.2">
      <c r="BB3043" s="94"/>
      <c r="BL3043" s="8">
        <v>2994</v>
      </c>
      <c r="BM3043" s="8">
        <v>9274293.8564416859</v>
      </c>
      <c r="BN3043" s="8">
        <v>3953002.2462793784</v>
      </c>
      <c r="BO3043" s="8">
        <v>13227296.102721065</v>
      </c>
      <c r="BP3043" s="8">
        <v>5926312.2737292703</v>
      </c>
      <c r="BQ3043" s="8">
        <v>-7300983.828991795</v>
      </c>
      <c r="BR3043" s="8" t="str">
        <v>Yes</v>
      </c>
    </row>
    <row r="3044" spans="54:70" x14ac:dyDescent="0.2">
      <c r="BB3044" s="94"/>
      <c r="BL3044" s="8">
        <v>2995</v>
      </c>
      <c r="BM3044" s="8">
        <v>2367068.6577823814</v>
      </c>
      <c r="BN3044" s="8">
        <v>3471150.3930493025</v>
      </c>
      <c r="BO3044" s="8">
        <v>5838219.0508316839</v>
      </c>
      <c r="BP3044" s="8">
        <v>2438707.7065676558</v>
      </c>
      <c r="BQ3044" s="8">
        <v>-3399511.3442640281</v>
      </c>
      <c r="BR3044" s="8" t="str">
        <v>Yes</v>
      </c>
    </row>
    <row r="3045" spans="54:70" x14ac:dyDescent="0.2">
      <c r="BB3045" s="94"/>
      <c r="BL3045" s="8">
        <v>2996</v>
      </c>
      <c r="BM3045" s="8">
        <v>1647876.3674965147</v>
      </c>
      <c r="BN3045" s="8">
        <v>1488543.1832461343</v>
      </c>
      <c r="BO3045" s="8">
        <v>3136419.550742649</v>
      </c>
      <c r="BP3045" s="8">
        <v>3434837.9466766687</v>
      </c>
      <c r="BQ3045" s="8">
        <v>298418.3959340197</v>
      </c>
      <c r="BR3045" s="8" t="str">
        <v>No</v>
      </c>
    </row>
    <row r="3046" spans="54:70" x14ac:dyDescent="0.2">
      <c r="BB3046" s="94"/>
      <c r="BL3046" s="8">
        <v>2997</v>
      </c>
      <c r="BM3046" s="8">
        <v>4551437.5669272402</v>
      </c>
      <c r="BN3046" s="8">
        <v>2009691.7836045315</v>
      </c>
      <c r="BO3046" s="8">
        <v>6561129.3505317718</v>
      </c>
      <c r="BP3046" s="8">
        <v>4481881.1363926744</v>
      </c>
      <c r="BQ3046" s="8">
        <v>-2079248.2141390974</v>
      </c>
      <c r="BR3046" s="8" t="str">
        <v>Yes</v>
      </c>
    </row>
    <row r="3047" spans="54:70" x14ac:dyDescent="0.2">
      <c r="BB3047" s="94"/>
      <c r="BL3047" s="8">
        <v>2998</v>
      </c>
      <c r="BM3047" s="8">
        <v>4480886.0539680691</v>
      </c>
      <c r="BN3047" s="8">
        <v>0</v>
      </c>
      <c r="BO3047" s="8">
        <v>4480886.0539680691</v>
      </c>
      <c r="BP3047" s="8">
        <v>4166249.0627528019</v>
      </c>
      <c r="BQ3047" s="8">
        <v>-314636.99121526722</v>
      </c>
      <c r="BR3047" s="8" t="str">
        <v>Yes</v>
      </c>
    </row>
    <row r="3048" spans="54:70" x14ac:dyDescent="0.2">
      <c r="BB3048" s="94"/>
      <c r="BL3048" s="8">
        <v>2999</v>
      </c>
      <c r="BM3048" s="8">
        <v>3990604.056689484</v>
      </c>
      <c r="BN3048" s="8">
        <v>2713073.0190305379</v>
      </c>
      <c r="BO3048" s="8">
        <v>6703677.0757200215</v>
      </c>
      <c r="BP3048" s="8">
        <v>3271503.5888753957</v>
      </c>
      <c r="BQ3048" s="8">
        <v>-3432173.4868446258</v>
      </c>
      <c r="BR3048" s="8" t="str">
        <v>Yes</v>
      </c>
    </row>
    <row r="3049" spans="54:70" x14ac:dyDescent="0.2">
      <c r="BB3049" s="94"/>
      <c r="BL3049" s="8">
        <v>3000</v>
      </c>
      <c r="BM3049" s="8">
        <v>2667780.9525843756</v>
      </c>
      <c r="BN3049" s="8">
        <v>0</v>
      </c>
      <c r="BO3049" s="8">
        <v>2667780.9525843756</v>
      </c>
      <c r="BP3049" s="8">
        <v>3305068.28678643</v>
      </c>
      <c r="BQ3049" s="8">
        <v>637287.33420205442</v>
      </c>
      <c r="BR3049" s="8" t="str">
        <v>No</v>
      </c>
    </row>
    <row r="3050" spans="54:70" x14ac:dyDescent="0.2">
      <c r="BB3050" s="94"/>
      <c r="BL3050" s="8">
        <v>3001</v>
      </c>
      <c r="BM3050" s="8">
        <v>3292417.0605328912</v>
      </c>
      <c r="BN3050" s="8">
        <v>2011648.7775781059</v>
      </c>
      <c r="BO3050" s="8">
        <v>5304065.8381109973</v>
      </c>
      <c r="BP3050" s="8">
        <v>2208092.3559733597</v>
      </c>
      <c r="BQ3050" s="8">
        <v>-3095973.4821376377</v>
      </c>
      <c r="BR3050" s="8" t="str">
        <v>Yes</v>
      </c>
    </row>
    <row r="3051" spans="54:70" x14ac:dyDescent="0.2">
      <c r="BB3051" s="94"/>
      <c r="BL3051" s="8">
        <v>3002</v>
      </c>
      <c r="BM3051" s="8">
        <v>4671469.8118629493</v>
      </c>
      <c r="BN3051" s="8">
        <v>2703258.2881421181</v>
      </c>
      <c r="BO3051" s="8">
        <v>7374728.1000050679</v>
      </c>
      <c r="BP3051" s="8">
        <v>3602210.1119770757</v>
      </c>
      <c r="BQ3051" s="8">
        <v>-3772517.9880279922</v>
      </c>
      <c r="BR3051" s="8" t="str">
        <v>Yes</v>
      </c>
    </row>
    <row r="3052" spans="54:70" x14ac:dyDescent="0.2">
      <c r="BB3052" s="94"/>
      <c r="BL3052" s="8">
        <v>3003</v>
      </c>
      <c r="BM3052" s="8">
        <v>1554661.4520318855</v>
      </c>
      <c r="BN3052" s="8">
        <v>0</v>
      </c>
      <c r="BO3052" s="8">
        <v>1554661.4520318855</v>
      </c>
      <c r="BP3052" s="8">
        <v>3358697.9043078842</v>
      </c>
      <c r="BQ3052" s="8">
        <v>1804036.4522759987</v>
      </c>
      <c r="BR3052" s="8" t="str">
        <v>No</v>
      </c>
    </row>
    <row r="3053" spans="54:70" x14ac:dyDescent="0.2">
      <c r="BB3053" s="94"/>
      <c r="BL3053" s="8">
        <v>3004</v>
      </c>
      <c r="BM3053" s="8">
        <v>4110741.0334903337</v>
      </c>
      <c r="BN3053" s="8">
        <v>4348667.8605930824</v>
      </c>
      <c r="BO3053" s="8">
        <v>8459408.8940834161</v>
      </c>
      <c r="BP3053" s="8">
        <v>3429770.0750216139</v>
      </c>
      <c r="BQ3053" s="8">
        <v>-5029638.8190618027</v>
      </c>
      <c r="BR3053" s="8" t="str">
        <v>Yes</v>
      </c>
    </row>
    <row r="3054" spans="54:70" x14ac:dyDescent="0.2">
      <c r="BB3054" s="94"/>
      <c r="BL3054" s="8">
        <v>3005</v>
      </c>
      <c r="BM3054" s="8">
        <v>5676173.8319061548</v>
      </c>
      <c r="BN3054" s="8">
        <v>6767954.4423194472</v>
      </c>
      <c r="BO3054" s="8">
        <v>12444128.274225602</v>
      </c>
      <c r="BP3054" s="8">
        <v>5647448.5772852767</v>
      </c>
      <c r="BQ3054" s="8">
        <v>-6796679.6969403252</v>
      </c>
      <c r="BR3054" s="8" t="str">
        <v>Yes</v>
      </c>
    </row>
    <row r="3055" spans="54:70" x14ac:dyDescent="0.2">
      <c r="BB3055" s="94"/>
      <c r="BL3055" s="8">
        <v>3006</v>
      </c>
      <c r="BM3055" s="8">
        <v>4227147.6242403556</v>
      </c>
      <c r="BN3055" s="8">
        <v>3804466.4060954517</v>
      </c>
      <c r="BO3055" s="8">
        <v>8031614.0303358072</v>
      </c>
      <c r="BP3055" s="8">
        <v>2290625.3108783248</v>
      </c>
      <c r="BQ3055" s="8">
        <v>-5740988.7194574829</v>
      </c>
      <c r="BR3055" s="8" t="str">
        <v>Yes</v>
      </c>
    </row>
    <row r="3056" spans="54:70" x14ac:dyDescent="0.2">
      <c r="BB3056" s="94"/>
      <c r="BL3056" s="8">
        <v>3007</v>
      </c>
      <c r="BM3056" s="8">
        <v>3099779.534458512</v>
      </c>
      <c r="BN3056" s="8">
        <v>1807093.257249719</v>
      </c>
      <c r="BO3056" s="8">
        <v>4906872.791708231</v>
      </c>
      <c r="BP3056" s="8">
        <v>2206739.2733856598</v>
      </c>
      <c r="BQ3056" s="8">
        <v>-2700133.5183225712</v>
      </c>
      <c r="BR3056" s="8" t="str">
        <v>Yes</v>
      </c>
    </row>
    <row r="3057" spans="54:70" x14ac:dyDescent="0.2">
      <c r="BB3057" s="94"/>
      <c r="BL3057" s="8">
        <v>3008</v>
      </c>
      <c r="BM3057" s="8">
        <v>4618747.0587252108</v>
      </c>
      <c r="BN3057" s="8">
        <v>0</v>
      </c>
      <c r="BO3057" s="8">
        <v>4618747.0587252108</v>
      </c>
      <c r="BP3057" s="8">
        <v>6625075.7958148345</v>
      </c>
      <c r="BQ3057" s="8">
        <v>2006328.7370896237</v>
      </c>
      <c r="BR3057" s="8" t="str">
        <v>No</v>
      </c>
    </row>
    <row r="3058" spans="54:70" x14ac:dyDescent="0.2">
      <c r="BB3058" s="94"/>
      <c r="BL3058" s="8">
        <v>3009</v>
      </c>
      <c r="BM3058" s="8">
        <v>5835951.420954546</v>
      </c>
      <c r="BN3058" s="8">
        <v>0</v>
      </c>
      <c r="BO3058" s="8">
        <v>5835951.420954546</v>
      </c>
      <c r="BP3058" s="8">
        <v>6417534.9449416725</v>
      </c>
      <c r="BQ3058" s="8">
        <v>581583.52398712654</v>
      </c>
      <c r="BR3058" s="8" t="str">
        <v>No</v>
      </c>
    </row>
    <row r="3059" spans="54:70" x14ac:dyDescent="0.2">
      <c r="BB3059" s="94"/>
      <c r="BL3059" s="8">
        <v>3010</v>
      </c>
      <c r="BM3059" s="8">
        <v>3585373.7168693431</v>
      </c>
      <c r="BN3059" s="8">
        <v>4514112.6084940955</v>
      </c>
      <c r="BO3059" s="8">
        <v>8099486.3253634386</v>
      </c>
      <c r="BP3059" s="8">
        <v>2269840.0706648054</v>
      </c>
      <c r="BQ3059" s="8">
        <v>-5829646.2546986332</v>
      </c>
      <c r="BR3059" s="8" t="str">
        <v>Yes</v>
      </c>
    </row>
    <row r="3060" spans="54:70" x14ac:dyDescent="0.2">
      <c r="BB3060" s="94"/>
      <c r="BL3060" s="8">
        <v>3011</v>
      </c>
      <c r="BM3060" s="8">
        <v>2826214.1519983788</v>
      </c>
      <c r="BN3060" s="8">
        <v>0</v>
      </c>
      <c r="BO3060" s="8">
        <v>2826214.1519983788</v>
      </c>
      <c r="BP3060" s="8">
        <v>4240285.4249714911</v>
      </c>
      <c r="BQ3060" s="8">
        <v>1414071.2729731123</v>
      </c>
      <c r="BR3060" s="8" t="str">
        <v>No</v>
      </c>
    </row>
    <row r="3061" spans="54:70" x14ac:dyDescent="0.2">
      <c r="BB3061" s="94"/>
      <c r="BL3061" s="8">
        <v>3012</v>
      </c>
      <c r="BM3061" s="8">
        <v>5203694.0602627853</v>
      </c>
      <c r="BN3061" s="8">
        <v>0</v>
      </c>
      <c r="BO3061" s="8">
        <v>5203694.0602627853</v>
      </c>
      <c r="BP3061" s="8">
        <v>2392033.8487750315</v>
      </c>
      <c r="BQ3061" s="8">
        <v>-2811660.2114877538</v>
      </c>
      <c r="BR3061" s="8" t="str">
        <v>Yes</v>
      </c>
    </row>
    <row r="3062" spans="54:70" x14ac:dyDescent="0.2">
      <c r="BB3062" s="94"/>
      <c r="BL3062" s="8">
        <v>3013</v>
      </c>
      <c r="BM3062" s="8">
        <v>5614068.3086660299</v>
      </c>
      <c r="BN3062" s="8">
        <v>6937667.1341736987</v>
      </c>
      <c r="BO3062" s="8">
        <v>12551735.442839729</v>
      </c>
      <c r="BP3062" s="8">
        <v>4229543.4531795848</v>
      </c>
      <c r="BQ3062" s="8">
        <v>-8322191.9896601439</v>
      </c>
      <c r="BR3062" s="8" t="str">
        <v>Yes</v>
      </c>
    </row>
    <row r="3063" spans="54:70" x14ac:dyDescent="0.2">
      <c r="BB3063" s="94"/>
      <c r="BL3063" s="8">
        <v>3014</v>
      </c>
      <c r="BM3063" s="8">
        <v>2927670.8370075887</v>
      </c>
      <c r="BN3063" s="8">
        <v>1781285.7357752416</v>
      </c>
      <c r="BO3063" s="8">
        <v>4708956.5727828303</v>
      </c>
      <c r="BP3063" s="8">
        <v>6262854.3786229631</v>
      </c>
      <c r="BQ3063" s="8">
        <v>1553897.8058401328</v>
      </c>
      <c r="BR3063" s="8" t="str">
        <v>No</v>
      </c>
    </row>
    <row r="3064" spans="54:70" x14ac:dyDescent="0.2">
      <c r="BB3064" s="94"/>
      <c r="BL3064" s="8">
        <v>3015</v>
      </c>
      <c r="BM3064" s="8">
        <v>1729616.9272189843</v>
      </c>
      <c r="BN3064" s="8">
        <v>198265.27698171354</v>
      </c>
      <c r="BO3064" s="8">
        <v>1927882.2042006978</v>
      </c>
      <c r="BP3064" s="8">
        <v>5989242.4057001602</v>
      </c>
      <c r="BQ3064" s="8">
        <v>4061360.2014994621</v>
      </c>
      <c r="BR3064" s="8" t="str">
        <v>No</v>
      </c>
    </row>
    <row r="3065" spans="54:70" x14ac:dyDescent="0.2">
      <c r="BB3065" s="94"/>
      <c r="BL3065" s="8">
        <v>3016</v>
      </c>
      <c r="BM3065" s="8">
        <v>3134803.7954531675</v>
      </c>
      <c r="BN3065" s="8">
        <v>2020446.2636154585</v>
      </c>
      <c r="BO3065" s="8">
        <v>5155250.0590686258</v>
      </c>
      <c r="BP3065" s="8">
        <v>4255924.8037805352</v>
      </c>
      <c r="BQ3065" s="8">
        <v>-899325.25528809056</v>
      </c>
      <c r="BR3065" s="8" t="str">
        <v>Yes</v>
      </c>
    </row>
    <row r="3066" spans="54:70" x14ac:dyDescent="0.2">
      <c r="BB3066" s="94"/>
      <c r="BL3066" s="8">
        <v>3017</v>
      </c>
      <c r="BM3066" s="8">
        <v>13327608.940614834</v>
      </c>
      <c r="BN3066" s="8">
        <v>0</v>
      </c>
      <c r="BO3066" s="8">
        <v>13327608.940614834</v>
      </c>
      <c r="BP3066" s="8">
        <v>4457111.1213503564</v>
      </c>
      <c r="BQ3066" s="8">
        <v>-8870497.819264479</v>
      </c>
      <c r="BR3066" s="8" t="str">
        <v>Yes</v>
      </c>
    </row>
    <row r="3067" spans="54:70" x14ac:dyDescent="0.2">
      <c r="BB3067" s="94"/>
      <c r="BL3067" s="8">
        <v>3018</v>
      </c>
      <c r="BM3067" s="8">
        <v>4900430.7151299752</v>
      </c>
      <c r="BN3067" s="8">
        <v>0</v>
      </c>
      <c r="BO3067" s="8">
        <v>4900430.7151299752</v>
      </c>
      <c r="BP3067" s="8">
        <v>6004975.4376080222</v>
      </c>
      <c r="BQ3067" s="8">
        <v>1104544.722478047</v>
      </c>
      <c r="BR3067" s="8" t="str">
        <v>No</v>
      </c>
    </row>
    <row r="3068" spans="54:70" x14ac:dyDescent="0.2">
      <c r="BB3068" s="94"/>
      <c r="BL3068" s="8">
        <v>3019</v>
      </c>
      <c r="BM3068" s="8">
        <v>4775147.8824805794</v>
      </c>
      <c r="BN3068" s="8">
        <v>0</v>
      </c>
      <c r="BO3068" s="8">
        <v>4775147.8824805794</v>
      </c>
      <c r="BP3068" s="8">
        <v>2194141.954192671</v>
      </c>
      <c r="BQ3068" s="8">
        <v>-2581005.9282879084</v>
      </c>
      <c r="BR3068" s="8" t="str">
        <v>Yes</v>
      </c>
    </row>
    <row r="3069" spans="54:70" x14ac:dyDescent="0.2">
      <c r="BB3069" s="94"/>
      <c r="BL3069" s="8">
        <v>3020</v>
      </c>
      <c r="BM3069" s="8">
        <v>4091528.0707415761</v>
      </c>
      <c r="BN3069" s="8">
        <v>6681135.0382330222</v>
      </c>
      <c r="BO3069" s="8">
        <v>10772663.108974598</v>
      </c>
      <c r="BP3069" s="8">
        <v>3067347.3452872792</v>
      </c>
      <c r="BQ3069" s="8">
        <v>-7705315.7636873191</v>
      </c>
      <c r="BR3069" s="8" t="str">
        <v>Yes</v>
      </c>
    </row>
    <row r="3070" spans="54:70" x14ac:dyDescent="0.2">
      <c r="BB3070" s="94"/>
      <c r="BL3070" s="8">
        <v>3021</v>
      </c>
      <c r="BM3070" s="8">
        <v>5793022.0798458736</v>
      </c>
      <c r="BN3070" s="8">
        <v>0</v>
      </c>
      <c r="BO3070" s="8">
        <v>5793022.0798458736</v>
      </c>
      <c r="BP3070" s="8">
        <v>5771040.1113332696</v>
      </c>
      <c r="BQ3070" s="8">
        <v>-21981.968512604013</v>
      </c>
      <c r="BR3070" s="8" t="str">
        <v>Yes</v>
      </c>
    </row>
    <row r="3071" spans="54:70" x14ac:dyDescent="0.2">
      <c r="BB3071" s="94"/>
      <c r="BL3071" s="8">
        <v>3022</v>
      </c>
      <c r="BM3071" s="8">
        <v>3335740.766087234</v>
      </c>
      <c r="BN3071" s="8">
        <v>0</v>
      </c>
      <c r="BO3071" s="8">
        <v>3335740.766087234</v>
      </c>
      <c r="BP3071" s="8">
        <v>5780973.4097895678</v>
      </c>
      <c r="BQ3071" s="8">
        <v>2445232.6437023338</v>
      </c>
      <c r="BR3071" s="8" t="str">
        <v>No</v>
      </c>
    </row>
    <row r="3072" spans="54:70" x14ac:dyDescent="0.2">
      <c r="BB3072" s="94"/>
      <c r="BL3072" s="8">
        <v>3023</v>
      </c>
      <c r="BM3072" s="8">
        <v>2651417.7475755396</v>
      </c>
      <c r="BN3072" s="8">
        <v>3408992.1723467517</v>
      </c>
      <c r="BO3072" s="8">
        <v>6060409.9199222913</v>
      </c>
      <c r="BP3072" s="8">
        <v>2379271.2858505454</v>
      </c>
      <c r="BQ3072" s="8">
        <v>-3681138.6340717459</v>
      </c>
      <c r="BR3072" s="8" t="str">
        <v>Yes</v>
      </c>
    </row>
    <row r="3073" spans="54:70" x14ac:dyDescent="0.2">
      <c r="BB3073" s="94"/>
      <c r="BL3073" s="8">
        <v>3024</v>
      </c>
      <c r="BM3073" s="8">
        <v>4665988.1021179873</v>
      </c>
      <c r="BN3073" s="8">
        <v>3809857.0289308266</v>
      </c>
      <c r="BO3073" s="8">
        <v>8475845.1310488135</v>
      </c>
      <c r="BP3073" s="8">
        <v>5880112.5297894599</v>
      </c>
      <c r="BQ3073" s="8">
        <v>-2595732.6012593536</v>
      </c>
      <c r="BR3073" s="8" t="str">
        <v>Yes</v>
      </c>
    </row>
    <row r="3074" spans="54:70" x14ac:dyDescent="0.2">
      <c r="BB3074" s="94"/>
      <c r="BL3074" s="8">
        <v>3025</v>
      </c>
      <c r="BM3074" s="8">
        <v>6740188.749014332</v>
      </c>
      <c r="BN3074" s="8">
        <v>0</v>
      </c>
      <c r="BO3074" s="8">
        <v>6740188.749014332</v>
      </c>
      <c r="BP3074" s="8">
        <v>4321190.9344355976</v>
      </c>
      <c r="BQ3074" s="8">
        <v>-2418997.8145787343</v>
      </c>
      <c r="BR3074" s="8" t="str">
        <v>Yes</v>
      </c>
    </row>
    <row r="3075" spans="54:70" x14ac:dyDescent="0.2">
      <c r="BB3075" s="94"/>
      <c r="BL3075" s="8">
        <v>3026</v>
      </c>
      <c r="BM3075" s="8">
        <v>3383247.800070825</v>
      </c>
      <c r="BN3075" s="8">
        <v>0</v>
      </c>
      <c r="BO3075" s="8">
        <v>3383247.800070825</v>
      </c>
      <c r="BP3075" s="8">
        <v>2232494.3511467311</v>
      </c>
      <c r="BQ3075" s="8">
        <v>-1150753.448924094</v>
      </c>
      <c r="BR3075" s="8" t="str">
        <v>Yes</v>
      </c>
    </row>
    <row r="3076" spans="54:70" x14ac:dyDescent="0.2">
      <c r="BB3076" s="94"/>
      <c r="BL3076" s="8">
        <v>3027</v>
      </c>
      <c r="BM3076" s="8">
        <v>2535096.2934090244</v>
      </c>
      <c r="BN3076" s="8">
        <v>2865968.5782483434</v>
      </c>
      <c r="BO3076" s="8">
        <v>5401064.8716573678</v>
      </c>
      <c r="BP3076" s="8">
        <v>3233106.5916536534</v>
      </c>
      <c r="BQ3076" s="8">
        <v>-2167958.2800037144</v>
      </c>
      <c r="BR3076" s="8" t="str">
        <v>Yes</v>
      </c>
    </row>
    <row r="3077" spans="54:70" x14ac:dyDescent="0.2">
      <c r="BB3077" s="94"/>
      <c r="BL3077" s="8">
        <v>3028</v>
      </c>
      <c r="BM3077" s="8">
        <v>2556981.9049460967</v>
      </c>
      <c r="BN3077" s="8">
        <v>229848.03183112244</v>
      </c>
      <c r="BO3077" s="8">
        <v>2786829.9367772192</v>
      </c>
      <c r="BP3077" s="8">
        <v>2166425.1790567543</v>
      </c>
      <c r="BQ3077" s="8">
        <v>-620404.75772046484</v>
      </c>
      <c r="BR3077" s="8" t="str">
        <v>Yes</v>
      </c>
    </row>
    <row r="3078" spans="54:70" x14ac:dyDescent="0.2">
      <c r="BB3078" s="94"/>
      <c r="BL3078" s="8">
        <v>3029</v>
      </c>
      <c r="BM3078" s="8">
        <v>12433553.725149238</v>
      </c>
      <c r="BN3078" s="8">
        <v>0</v>
      </c>
      <c r="BO3078" s="8">
        <v>12433553.725149238</v>
      </c>
      <c r="BP3078" s="8">
        <v>4164880.9802369806</v>
      </c>
      <c r="BQ3078" s="8">
        <v>-8268672.7449122574</v>
      </c>
      <c r="BR3078" s="8" t="str">
        <v>Yes</v>
      </c>
    </row>
    <row r="3079" spans="54:70" x14ac:dyDescent="0.2">
      <c r="BB3079" s="94"/>
      <c r="BL3079" s="8">
        <v>3030</v>
      </c>
      <c r="BM3079" s="8">
        <v>3746327.8493422549</v>
      </c>
      <c r="BN3079" s="8">
        <v>3177809.9760419731</v>
      </c>
      <c r="BO3079" s="8">
        <v>6924137.8253842276</v>
      </c>
      <c r="BP3079" s="8">
        <v>3465441.8873701659</v>
      </c>
      <c r="BQ3079" s="8">
        <v>-3458695.9380140617</v>
      </c>
      <c r="BR3079" s="8" t="str">
        <v>Yes</v>
      </c>
    </row>
    <row r="3080" spans="54:70" x14ac:dyDescent="0.2">
      <c r="BB3080" s="94"/>
      <c r="BL3080" s="8">
        <v>3031</v>
      </c>
      <c r="BM3080" s="8">
        <v>3688332.9413630934</v>
      </c>
      <c r="BN3080" s="8">
        <v>0</v>
      </c>
      <c r="BO3080" s="8">
        <v>3688332.9413630934</v>
      </c>
      <c r="BP3080" s="8">
        <v>3974169.1362730833</v>
      </c>
      <c r="BQ3080" s="8">
        <v>285836.19490998983</v>
      </c>
      <c r="BR3080" s="8" t="str">
        <v>No</v>
      </c>
    </row>
    <row r="3081" spans="54:70" x14ac:dyDescent="0.2">
      <c r="BB3081" s="94"/>
      <c r="BL3081" s="8">
        <v>3032</v>
      </c>
      <c r="BM3081" s="8">
        <v>3532936.1756743593</v>
      </c>
      <c r="BN3081" s="8">
        <v>2448757.0348115554</v>
      </c>
      <c r="BO3081" s="8">
        <v>5981693.2104859147</v>
      </c>
      <c r="BP3081" s="8">
        <v>6239660.8932448681</v>
      </c>
      <c r="BQ3081" s="8">
        <v>257967.68275895342</v>
      </c>
      <c r="BR3081" s="8" t="str">
        <v>No</v>
      </c>
    </row>
    <row r="3082" spans="54:70" x14ac:dyDescent="0.2">
      <c r="BB3082" s="94"/>
      <c r="BL3082" s="8">
        <v>3033</v>
      </c>
      <c r="BM3082" s="8">
        <v>5087473.2638344048</v>
      </c>
      <c r="BN3082" s="8">
        <v>5078680.6859172108</v>
      </c>
      <c r="BO3082" s="8">
        <v>10166153.949751616</v>
      </c>
      <c r="BP3082" s="8">
        <v>5502930.4400924174</v>
      </c>
      <c r="BQ3082" s="8">
        <v>-4663223.5096591981</v>
      </c>
      <c r="BR3082" s="8" t="str">
        <v>Yes</v>
      </c>
    </row>
    <row r="3083" spans="54:70" x14ac:dyDescent="0.2">
      <c r="BB3083" s="94"/>
      <c r="BL3083" s="8">
        <v>3034</v>
      </c>
      <c r="BM3083" s="8">
        <v>4196935.6331135053</v>
      </c>
      <c r="BN3083" s="8">
        <v>0</v>
      </c>
      <c r="BO3083" s="8">
        <v>4196935.6331135053</v>
      </c>
      <c r="BP3083" s="8">
        <v>6594942.7815482933</v>
      </c>
      <c r="BQ3083" s="8">
        <v>2398007.148434788</v>
      </c>
      <c r="BR3083" s="8" t="str">
        <v>No</v>
      </c>
    </row>
    <row r="3084" spans="54:70" x14ac:dyDescent="0.2">
      <c r="BB3084" s="94"/>
      <c r="BL3084" s="8">
        <v>3035</v>
      </c>
      <c r="BM3084" s="8">
        <v>5035170.0553711485</v>
      </c>
      <c r="BN3084" s="8">
        <v>0</v>
      </c>
      <c r="BO3084" s="8">
        <v>5035170.0553711485</v>
      </c>
      <c r="BP3084" s="8">
        <v>2272028.849636022</v>
      </c>
      <c r="BQ3084" s="8">
        <v>-2763141.2057351265</v>
      </c>
      <c r="BR3084" s="8" t="str">
        <v>Yes</v>
      </c>
    </row>
    <row r="3085" spans="54:70" x14ac:dyDescent="0.2">
      <c r="BB3085" s="94"/>
      <c r="BL3085" s="8">
        <v>3036</v>
      </c>
      <c r="BM3085" s="8">
        <v>4017080.7575632324</v>
      </c>
      <c r="BN3085" s="8">
        <v>0</v>
      </c>
      <c r="BO3085" s="8">
        <v>4017080.7575632324</v>
      </c>
      <c r="BP3085" s="8">
        <v>3340485.9697055961</v>
      </c>
      <c r="BQ3085" s="8">
        <v>-676594.78785763634</v>
      </c>
      <c r="BR3085" s="8" t="str">
        <v>Yes</v>
      </c>
    </row>
    <row r="3086" spans="54:70" x14ac:dyDescent="0.2">
      <c r="BB3086" s="94"/>
      <c r="BL3086" s="8">
        <v>3037</v>
      </c>
      <c r="BM3086" s="8">
        <v>8535917.6989987716</v>
      </c>
      <c r="BN3086" s="8">
        <v>0</v>
      </c>
      <c r="BO3086" s="8">
        <v>8535917.6989987716</v>
      </c>
      <c r="BP3086" s="8">
        <v>6272882.5540310275</v>
      </c>
      <c r="BQ3086" s="8">
        <v>-2263035.1449677441</v>
      </c>
      <c r="BR3086" s="8" t="str">
        <v>Yes</v>
      </c>
    </row>
    <row r="3087" spans="54:70" x14ac:dyDescent="0.2">
      <c r="BB3087" s="94"/>
      <c r="BL3087" s="8">
        <v>3038</v>
      </c>
      <c r="BM3087" s="8">
        <v>4418497.5715173297</v>
      </c>
      <c r="BN3087" s="8">
        <v>0</v>
      </c>
      <c r="BO3087" s="8">
        <v>4418497.5715173297</v>
      </c>
      <c r="BP3087" s="8">
        <v>3324059.4747185423</v>
      </c>
      <c r="BQ3087" s="8">
        <v>-1094438.0967987874</v>
      </c>
      <c r="BR3087" s="8" t="str">
        <v>Yes</v>
      </c>
    </row>
    <row r="3088" spans="54:70" x14ac:dyDescent="0.2">
      <c r="BB3088" s="94"/>
      <c r="BL3088" s="8">
        <v>3039</v>
      </c>
      <c r="BM3088" s="8">
        <v>3446944.5376457935</v>
      </c>
      <c r="BN3088" s="8">
        <v>6072328.7661879752</v>
      </c>
      <c r="BO3088" s="8">
        <v>9519273.3038337678</v>
      </c>
      <c r="BP3088" s="8">
        <v>4472191.802954156</v>
      </c>
      <c r="BQ3088" s="8">
        <v>-5047081.5008796118</v>
      </c>
      <c r="BR3088" s="8" t="str">
        <v>Yes</v>
      </c>
    </row>
    <row r="3089" spans="54:70" x14ac:dyDescent="0.2">
      <c r="BB3089" s="94"/>
      <c r="BL3089" s="8">
        <v>3040</v>
      </c>
      <c r="BM3089" s="8">
        <v>2658755.6758420737</v>
      </c>
      <c r="BN3089" s="8">
        <v>2867641.0040623615</v>
      </c>
      <c r="BO3089" s="8">
        <v>5526396.6799044348</v>
      </c>
      <c r="BP3089" s="8">
        <v>3900417.2591941105</v>
      </c>
      <c r="BQ3089" s="8">
        <v>-1625979.4207103243</v>
      </c>
      <c r="BR3089" s="8" t="str">
        <v>Yes</v>
      </c>
    </row>
    <row r="3090" spans="54:70" x14ac:dyDescent="0.2">
      <c r="BB3090" s="94"/>
      <c r="BL3090" s="8">
        <v>3041</v>
      </c>
      <c r="BM3090" s="8">
        <v>1874740.7932361048</v>
      </c>
      <c r="BN3090" s="8">
        <v>0</v>
      </c>
      <c r="BO3090" s="8">
        <v>1874740.7932361048</v>
      </c>
      <c r="BP3090" s="8">
        <v>3537972.5164721161</v>
      </c>
      <c r="BQ3090" s="8">
        <v>1663231.7232360113</v>
      </c>
      <c r="BR3090" s="8" t="str">
        <v>No</v>
      </c>
    </row>
    <row r="3091" spans="54:70" x14ac:dyDescent="0.2">
      <c r="BB3091" s="94"/>
      <c r="BL3091" s="8">
        <v>3042</v>
      </c>
      <c r="BM3091" s="8">
        <v>5981390.1166416053</v>
      </c>
      <c r="BN3091" s="8">
        <v>0</v>
      </c>
      <c r="BO3091" s="8">
        <v>5981390.1166416053</v>
      </c>
      <c r="BP3091" s="8">
        <v>4390052.2307395646</v>
      </c>
      <c r="BQ3091" s="8">
        <v>-1591337.8859020406</v>
      </c>
      <c r="BR3091" s="8" t="str">
        <v>Yes</v>
      </c>
    </row>
    <row r="3092" spans="54:70" x14ac:dyDescent="0.2">
      <c r="BB3092" s="94"/>
      <c r="BL3092" s="8">
        <v>3043</v>
      </c>
      <c r="BM3092" s="8">
        <v>6276927.7258217093</v>
      </c>
      <c r="BN3092" s="8">
        <v>0</v>
      </c>
      <c r="BO3092" s="8">
        <v>6276927.7258217093</v>
      </c>
      <c r="BP3092" s="8">
        <v>2138962.871298552</v>
      </c>
      <c r="BQ3092" s="8">
        <v>-4137964.8545231572</v>
      </c>
      <c r="BR3092" s="8" t="str">
        <v>Yes</v>
      </c>
    </row>
    <row r="3093" spans="54:70" x14ac:dyDescent="0.2">
      <c r="BB3093" s="94"/>
      <c r="BL3093" s="8">
        <v>3044</v>
      </c>
      <c r="BM3093" s="8">
        <v>8531653.9823064934</v>
      </c>
      <c r="BN3093" s="8">
        <v>0</v>
      </c>
      <c r="BO3093" s="8">
        <v>8531653.9823064934</v>
      </c>
      <c r="BP3093" s="8">
        <v>3111240.0293666162</v>
      </c>
      <c r="BQ3093" s="8">
        <v>-5420413.9529398773</v>
      </c>
      <c r="BR3093" s="8" t="str">
        <v>Yes</v>
      </c>
    </row>
    <row r="3094" spans="54:70" x14ac:dyDescent="0.2">
      <c r="BB3094" s="94"/>
      <c r="BL3094" s="8">
        <v>3045</v>
      </c>
      <c r="BM3094" s="8">
        <v>14451577.787299734</v>
      </c>
      <c r="BN3094" s="8">
        <v>9453479.9820574205</v>
      </c>
      <c r="BO3094" s="8">
        <v>23905057.769357152</v>
      </c>
      <c r="BP3094" s="8">
        <v>4758807.5800958816</v>
      </c>
      <c r="BQ3094" s="8">
        <v>-19146250.189261273</v>
      </c>
      <c r="BR3094" s="8" t="str">
        <v>Yes</v>
      </c>
    </row>
    <row r="3095" spans="54:70" x14ac:dyDescent="0.2">
      <c r="BB3095" s="94"/>
      <c r="BL3095" s="8">
        <v>3046</v>
      </c>
      <c r="BM3095" s="8">
        <v>3777479.9796273415</v>
      </c>
      <c r="BN3095" s="8">
        <v>1336801.1859214916</v>
      </c>
      <c r="BO3095" s="8">
        <v>5114281.1655488331</v>
      </c>
      <c r="BP3095" s="8">
        <v>6472433.1949517587</v>
      </c>
      <c r="BQ3095" s="8">
        <v>1358152.0294029256</v>
      </c>
      <c r="BR3095" s="8" t="str">
        <v>No</v>
      </c>
    </row>
    <row r="3096" spans="54:70" x14ac:dyDescent="0.2">
      <c r="BB3096" s="94"/>
      <c r="BL3096" s="8">
        <v>3047</v>
      </c>
      <c r="BM3096" s="8">
        <v>2251246.0003700666</v>
      </c>
      <c r="BN3096" s="8">
        <v>0</v>
      </c>
      <c r="BO3096" s="8">
        <v>2251246.0003700666</v>
      </c>
      <c r="BP3096" s="8">
        <v>2461285.2926994995</v>
      </c>
      <c r="BQ3096" s="8">
        <v>210039.29232943291</v>
      </c>
      <c r="BR3096" s="8" t="str">
        <v>No</v>
      </c>
    </row>
    <row r="3097" spans="54:70" x14ac:dyDescent="0.2">
      <c r="BB3097" s="94"/>
      <c r="BL3097" s="8">
        <v>3048</v>
      </c>
      <c r="BM3097" s="8">
        <v>3361458.4467382152</v>
      </c>
      <c r="BN3097" s="8">
        <v>0</v>
      </c>
      <c r="BO3097" s="8">
        <v>3361458.4467382152</v>
      </c>
      <c r="BP3097" s="8">
        <v>2290013.0343099595</v>
      </c>
      <c r="BQ3097" s="8">
        <v>-1071445.4124282557</v>
      </c>
      <c r="BR3097" s="8" t="str">
        <v>Yes</v>
      </c>
    </row>
    <row r="3098" spans="54:70" x14ac:dyDescent="0.2">
      <c r="BB3098" s="94"/>
      <c r="BL3098" s="8">
        <v>3049</v>
      </c>
      <c r="BM3098" s="8">
        <v>7272323.3686129013</v>
      </c>
      <c r="BN3098" s="8">
        <v>5849976.7034195978</v>
      </c>
      <c r="BO3098" s="8">
        <v>13122300.0720325</v>
      </c>
      <c r="BP3098" s="8">
        <v>6158991.0419147117</v>
      </c>
      <c r="BQ3098" s="8">
        <v>-6963309.0301177884</v>
      </c>
      <c r="BR3098" s="8" t="str">
        <v>Yes</v>
      </c>
    </row>
    <row r="3099" spans="54:70" x14ac:dyDescent="0.2">
      <c r="BB3099" s="94"/>
      <c r="BL3099" s="8">
        <v>3050</v>
      </c>
      <c r="BM3099" s="8">
        <v>4515339.2498702221</v>
      </c>
      <c r="BN3099" s="8">
        <v>0</v>
      </c>
      <c r="BO3099" s="8">
        <v>4515339.2498702221</v>
      </c>
      <c r="BP3099" s="8">
        <v>2119691.3012883742</v>
      </c>
      <c r="BQ3099" s="8">
        <v>-2395647.9485818478</v>
      </c>
      <c r="BR3099" s="8" t="str">
        <v>Yes</v>
      </c>
    </row>
    <row r="3100" spans="54:70" x14ac:dyDescent="0.2">
      <c r="BB3100" s="94"/>
      <c r="BL3100" s="8">
        <v>3051</v>
      </c>
      <c r="BM3100" s="8">
        <v>3222961.2624984295</v>
      </c>
      <c r="BN3100" s="8">
        <v>2101440.6954279616</v>
      </c>
      <c r="BO3100" s="8">
        <v>5324401.9579263907</v>
      </c>
      <c r="BP3100" s="8">
        <v>2281143.0842627739</v>
      </c>
      <c r="BQ3100" s="8">
        <v>-3043258.8736636168</v>
      </c>
      <c r="BR3100" s="8" t="str">
        <v>Yes</v>
      </c>
    </row>
    <row r="3101" spans="54:70" x14ac:dyDescent="0.2">
      <c r="BB3101" s="94"/>
      <c r="BL3101" s="8">
        <v>3052</v>
      </c>
      <c r="BM3101" s="8">
        <v>9789863.6051896196</v>
      </c>
      <c r="BN3101" s="8">
        <v>4471950.7086267527</v>
      </c>
      <c r="BO3101" s="8">
        <v>14261814.313816372</v>
      </c>
      <c r="BP3101" s="8">
        <v>6096364.5512420489</v>
      </c>
      <c r="BQ3101" s="8">
        <v>-8165449.7625743235</v>
      </c>
      <c r="BR3101" s="8" t="str">
        <v>Yes</v>
      </c>
    </row>
    <row r="3102" spans="54:70" x14ac:dyDescent="0.2">
      <c r="BB3102" s="94"/>
      <c r="BL3102" s="8">
        <v>3053</v>
      </c>
      <c r="BM3102" s="8">
        <v>6903645.7977333702</v>
      </c>
      <c r="BN3102" s="8">
        <v>0</v>
      </c>
      <c r="BO3102" s="8">
        <v>6903645.7977333702</v>
      </c>
      <c r="BP3102" s="8">
        <v>6428280.7787013082</v>
      </c>
      <c r="BQ3102" s="8">
        <v>-475365.01903206203</v>
      </c>
      <c r="BR3102" s="8" t="str">
        <v>Yes</v>
      </c>
    </row>
    <row r="3103" spans="54:70" x14ac:dyDescent="0.2">
      <c r="BB3103" s="94"/>
      <c r="BL3103" s="8">
        <v>3054</v>
      </c>
      <c r="BM3103" s="8">
        <v>1360197.4182272928</v>
      </c>
      <c r="BN3103" s="8">
        <v>0</v>
      </c>
      <c r="BO3103" s="8">
        <v>1360197.4182272928</v>
      </c>
      <c r="BP3103" s="8">
        <v>4437382.5728328954</v>
      </c>
      <c r="BQ3103" s="8">
        <v>3077185.1546056028</v>
      </c>
      <c r="BR3103" s="8" t="str">
        <v>No</v>
      </c>
    </row>
    <row r="3104" spans="54:70" x14ac:dyDescent="0.2">
      <c r="BB3104" s="94"/>
      <c r="BL3104" s="8">
        <v>3055</v>
      </c>
      <c r="BM3104" s="8">
        <v>3217330.9320476609</v>
      </c>
      <c r="BN3104" s="8">
        <v>0</v>
      </c>
      <c r="BO3104" s="8">
        <v>3217330.9320476609</v>
      </c>
      <c r="BP3104" s="8">
        <v>3979151.1265899893</v>
      </c>
      <c r="BQ3104" s="8">
        <v>761820.19454232836</v>
      </c>
      <c r="BR3104" s="8" t="str">
        <v>No</v>
      </c>
    </row>
    <row r="3105" spans="54:70" x14ac:dyDescent="0.2">
      <c r="BB3105" s="94"/>
      <c r="BL3105" s="8">
        <v>3056</v>
      </c>
      <c r="BM3105" s="8">
        <v>8192079.1318565486</v>
      </c>
      <c r="BN3105" s="8">
        <v>6667905.0490434598</v>
      </c>
      <c r="BO3105" s="8">
        <v>14859984.180900007</v>
      </c>
      <c r="BP3105" s="8">
        <v>4143427.0070076357</v>
      </c>
      <c r="BQ3105" s="8">
        <v>-10716557.173892371</v>
      </c>
      <c r="BR3105" s="8" t="str">
        <v>Yes</v>
      </c>
    </row>
    <row r="3106" spans="54:70" x14ac:dyDescent="0.2">
      <c r="BB3106" s="94"/>
      <c r="BL3106" s="8">
        <v>3057</v>
      </c>
      <c r="BM3106" s="8">
        <v>5400951.3303786656</v>
      </c>
      <c r="BN3106" s="8">
        <v>3817728.7960862699</v>
      </c>
      <c r="BO3106" s="8">
        <v>9218680.126464935</v>
      </c>
      <c r="BP3106" s="8">
        <v>2467650.3083856907</v>
      </c>
      <c r="BQ3106" s="8">
        <v>-6751029.8180792443</v>
      </c>
      <c r="BR3106" s="8" t="str">
        <v>Yes</v>
      </c>
    </row>
    <row r="3107" spans="54:70" x14ac:dyDescent="0.2">
      <c r="BB3107" s="94"/>
      <c r="BL3107" s="8">
        <v>3058</v>
      </c>
      <c r="BM3107" s="8">
        <v>9905617.6160304621</v>
      </c>
      <c r="BN3107" s="8">
        <v>0</v>
      </c>
      <c r="BO3107" s="8">
        <v>9905617.6160304621</v>
      </c>
      <c r="BP3107" s="8">
        <v>2207543.3487811768</v>
      </c>
      <c r="BQ3107" s="8">
        <v>-7698074.2672492852</v>
      </c>
      <c r="BR3107" s="8" t="str">
        <v>Yes</v>
      </c>
    </row>
    <row r="3108" spans="54:70" x14ac:dyDescent="0.2">
      <c r="BB3108" s="94"/>
      <c r="BL3108" s="8">
        <v>3059</v>
      </c>
      <c r="BM3108" s="8">
        <v>3235109.0751066543</v>
      </c>
      <c r="BN3108" s="8">
        <v>0</v>
      </c>
      <c r="BO3108" s="8">
        <v>3235109.0751066543</v>
      </c>
      <c r="BP3108" s="8">
        <v>6555674.6365842856</v>
      </c>
      <c r="BQ3108" s="8">
        <v>3320565.5614776313</v>
      </c>
      <c r="BR3108" s="8" t="str">
        <v>No</v>
      </c>
    </row>
    <row r="3109" spans="54:70" x14ac:dyDescent="0.2">
      <c r="BB3109" s="94"/>
      <c r="BL3109" s="8">
        <v>3060</v>
      </c>
      <c r="BM3109" s="8">
        <v>3581342.3530207546</v>
      </c>
      <c r="BN3109" s="8">
        <v>0</v>
      </c>
      <c r="BO3109" s="8">
        <v>3581342.3530207546</v>
      </c>
      <c r="BP3109" s="8">
        <v>6206989.1868000776</v>
      </c>
      <c r="BQ3109" s="8">
        <v>2625646.8337793229</v>
      </c>
      <c r="BR3109" s="8" t="str">
        <v>No</v>
      </c>
    </row>
    <row r="3110" spans="54:70" x14ac:dyDescent="0.2">
      <c r="BB3110" s="94"/>
      <c r="BL3110" s="8">
        <v>3061</v>
      </c>
      <c r="BM3110" s="8">
        <v>5650948.7715153862</v>
      </c>
      <c r="BN3110" s="8">
        <v>0</v>
      </c>
      <c r="BO3110" s="8">
        <v>5650948.7715153862</v>
      </c>
      <c r="BP3110" s="8">
        <v>4244370.4617394684</v>
      </c>
      <c r="BQ3110" s="8">
        <v>-1406578.3097759178</v>
      </c>
      <c r="BR3110" s="8" t="str">
        <v>Yes</v>
      </c>
    </row>
    <row r="3111" spans="54:70" x14ac:dyDescent="0.2">
      <c r="BB3111" s="94"/>
      <c r="BL3111" s="8">
        <v>3062</v>
      </c>
      <c r="BM3111" s="8">
        <v>4381514.2163631786</v>
      </c>
      <c r="BN3111" s="8">
        <v>0</v>
      </c>
      <c r="BO3111" s="8">
        <v>4381514.2163631786</v>
      </c>
      <c r="BP3111" s="8">
        <v>6458551.5610299492</v>
      </c>
      <c r="BQ3111" s="8">
        <v>2077037.3446667707</v>
      </c>
      <c r="BR3111" s="8" t="str">
        <v>No</v>
      </c>
    </row>
    <row r="3112" spans="54:70" x14ac:dyDescent="0.2">
      <c r="BB3112" s="94"/>
      <c r="BL3112" s="8">
        <v>3063</v>
      </c>
      <c r="BM3112" s="8">
        <v>4141997.3288217345</v>
      </c>
      <c r="BN3112" s="8">
        <v>0</v>
      </c>
      <c r="BO3112" s="8">
        <v>4141997.3288217345</v>
      </c>
      <c r="BP3112" s="8">
        <v>4311150.7900557937</v>
      </c>
      <c r="BQ3112" s="8">
        <v>169153.46123405918</v>
      </c>
      <c r="BR3112" s="8" t="str">
        <v>No</v>
      </c>
    </row>
    <row r="3113" spans="54:70" x14ac:dyDescent="0.2">
      <c r="BB3113" s="94"/>
      <c r="BL3113" s="8">
        <v>3064</v>
      </c>
      <c r="BM3113" s="8">
        <v>4169742.1344863647</v>
      </c>
      <c r="BN3113" s="8">
        <v>3324403.700378418</v>
      </c>
      <c r="BO3113" s="8">
        <v>7494145.8348647822</v>
      </c>
      <c r="BP3113" s="8">
        <v>4760110.5409557894</v>
      </c>
      <c r="BQ3113" s="8">
        <v>-2734035.2939089928</v>
      </c>
      <c r="BR3113" s="8" t="str">
        <v>Yes</v>
      </c>
    </row>
    <row r="3114" spans="54:70" x14ac:dyDescent="0.2">
      <c r="BB3114" s="94"/>
      <c r="BL3114" s="8">
        <v>3065</v>
      </c>
      <c r="BM3114" s="8">
        <v>3416831.9987222818</v>
      </c>
      <c r="BN3114" s="8">
        <v>7055053.2784236241</v>
      </c>
      <c r="BO3114" s="8">
        <v>10471885.277145905</v>
      </c>
      <c r="BP3114" s="8">
        <v>2069917.4360171957</v>
      </c>
      <c r="BQ3114" s="8">
        <v>-8401967.8411287107</v>
      </c>
      <c r="BR3114" s="8" t="str">
        <v>Yes</v>
      </c>
    </row>
    <row r="3115" spans="54:70" x14ac:dyDescent="0.2">
      <c r="BB3115" s="94"/>
      <c r="BL3115" s="8">
        <v>3066</v>
      </c>
      <c r="BM3115" s="8">
        <v>4892301.8758565402</v>
      </c>
      <c r="BN3115" s="8">
        <v>0</v>
      </c>
      <c r="BO3115" s="8">
        <v>4892301.8758565402</v>
      </c>
      <c r="BP3115" s="8">
        <v>2234674.9414580702</v>
      </c>
      <c r="BQ3115" s="8">
        <v>-2657626.93439847</v>
      </c>
      <c r="BR3115" s="8" t="str">
        <v>Yes</v>
      </c>
    </row>
    <row r="3116" spans="54:70" x14ac:dyDescent="0.2">
      <c r="BB3116" s="94"/>
      <c r="BL3116" s="8">
        <v>3067</v>
      </c>
      <c r="BM3116" s="8">
        <v>3657292.935605647</v>
      </c>
      <c r="BN3116" s="8">
        <v>0</v>
      </c>
      <c r="BO3116" s="8">
        <v>3657292.935605647</v>
      </c>
      <c r="BP3116" s="8">
        <v>4617720.9845411601</v>
      </c>
      <c r="BQ3116" s="8">
        <v>960428.04893551301</v>
      </c>
      <c r="BR3116" s="8" t="str">
        <v>No</v>
      </c>
    </row>
    <row r="3117" spans="54:70" x14ac:dyDescent="0.2">
      <c r="BB3117" s="94"/>
      <c r="BL3117" s="8">
        <v>3068</v>
      </c>
      <c r="BM3117" s="8">
        <v>4005129.1498204935</v>
      </c>
      <c r="BN3117" s="8">
        <v>0</v>
      </c>
      <c r="BO3117" s="8">
        <v>4005129.1498204935</v>
      </c>
      <c r="BP3117" s="8">
        <v>4354496.5870491695</v>
      </c>
      <c r="BQ3117" s="8">
        <v>349367.43722867593</v>
      </c>
      <c r="BR3117" s="8" t="str">
        <v>No</v>
      </c>
    </row>
    <row r="3118" spans="54:70" x14ac:dyDescent="0.2">
      <c r="BB3118" s="94"/>
      <c r="BL3118" s="8">
        <v>3069</v>
      </c>
      <c r="BM3118" s="8">
        <v>4579053.4036548361</v>
      </c>
      <c r="BN3118" s="8">
        <v>5430751.5975793982</v>
      </c>
      <c r="BO3118" s="8">
        <v>10009805.001234233</v>
      </c>
      <c r="BP3118" s="8">
        <v>1946669.3709882554</v>
      </c>
      <c r="BQ3118" s="8">
        <v>-8063135.630245978</v>
      </c>
      <c r="BR3118" s="8" t="str">
        <v>Yes</v>
      </c>
    </row>
    <row r="3119" spans="54:70" x14ac:dyDescent="0.2">
      <c r="BB3119" s="94"/>
      <c r="BL3119" s="8">
        <v>3070</v>
      </c>
      <c r="BM3119" s="8">
        <v>4565299.566273272</v>
      </c>
      <c r="BN3119" s="8">
        <v>0</v>
      </c>
      <c r="BO3119" s="8">
        <v>4565299.566273272</v>
      </c>
      <c r="BP3119" s="8">
        <v>4266299.6710219728</v>
      </c>
      <c r="BQ3119" s="8">
        <v>-298999.89525129925</v>
      </c>
      <c r="BR3119" s="8" t="str">
        <v>Yes</v>
      </c>
    </row>
    <row r="3120" spans="54:70" x14ac:dyDescent="0.2">
      <c r="BB3120" s="94"/>
      <c r="BL3120" s="8">
        <v>3071</v>
      </c>
      <c r="BM3120" s="8">
        <v>2396226.7011361318</v>
      </c>
      <c r="BN3120" s="8">
        <v>0</v>
      </c>
      <c r="BO3120" s="8">
        <v>2396226.7011361318</v>
      </c>
      <c r="BP3120" s="8">
        <v>3807971.9104521042</v>
      </c>
      <c r="BQ3120" s="8">
        <v>1411745.2093159724</v>
      </c>
      <c r="BR3120" s="8" t="str">
        <v>No</v>
      </c>
    </row>
    <row r="3121" spans="54:70" x14ac:dyDescent="0.2">
      <c r="BB3121" s="94"/>
      <c r="BL3121" s="8">
        <v>3072</v>
      </c>
      <c r="BM3121" s="8">
        <v>1649460.2131625316</v>
      </c>
      <c r="BN3121" s="8">
        <v>0</v>
      </c>
      <c r="BO3121" s="8">
        <v>1649460.2131625316</v>
      </c>
      <c r="BP3121" s="8">
        <v>2210575.1362956967</v>
      </c>
      <c r="BQ3121" s="8">
        <v>561114.92313316511</v>
      </c>
      <c r="BR3121" s="8" t="str">
        <v>No</v>
      </c>
    </row>
    <row r="3122" spans="54:70" x14ac:dyDescent="0.2">
      <c r="BB3122" s="94"/>
      <c r="BL3122" s="8">
        <v>3073</v>
      </c>
      <c r="BM3122" s="8">
        <v>5521239.8394925175</v>
      </c>
      <c r="BN3122" s="8">
        <v>5828569.7046022872</v>
      </c>
      <c r="BO3122" s="8">
        <v>11349809.544094805</v>
      </c>
      <c r="BP3122" s="8">
        <v>6363878.7464883057</v>
      </c>
      <c r="BQ3122" s="8">
        <v>-4985930.7976064989</v>
      </c>
      <c r="BR3122" s="8" t="str">
        <v>Yes</v>
      </c>
    </row>
    <row r="3123" spans="54:70" x14ac:dyDescent="0.2">
      <c r="BB3123" s="94"/>
      <c r="BL3123" s="8">
        <v>3074</v>
      </c>
      <c r="BM3123" s="8">
        <v>3474702.2418109574</v>
      </c>
      <c r="BN3123" s="8">
        <v>0</v>
      </c>
      <c r="BO3123" s="8">
        <v>3474702.2418109574</v>
      </c>
      <c r="BP3123" s="8">
        <v>4366444.1556517622</v>
      </c>
      <c r="BQ3123" s="8">
        <v>891741.91384080471</v>
      </c>
      <c r="BR3123" s="8" t="str">
        <v>No</v>
      </c>
    </row>
    <row r="3124" spans="54:70" x14ac:dyDescent="0.2">
      <c r="BB3124" s="94"/>
      <c r="BL3124" s="8">
        <v>3075</v>
      </c>
      <c r="BM3124" s="8">
        <v>4465975.9678519461</v>
      </c>
      <c r="BN3124" s="8">
        <v>0</v>
      </c>
      <c r="BO3124" s="8">
        <v>4465975.9678519461</v>
      </c>
      <c r="BP3124" s="8">
        <v>2077849.8503157771</v>
      </c>
      <c r="BQ3124" s="8">
        <v>-2388126.117536169</v>
      </c>
      <c r="BR3124" s="8" t="str">
        <v>Yes</v>
      </c>
    </row>
    <row r="3125" spans="54:70" x14ac:dyDescent="0.2">
      <c r="BB3125" s="94"/>
      <c r="BL3125" s="8">
        <v>3076</v>
      </c>
      <c r="BM3125" s="8">
        <v>2876226.7113542864</v>
      </c>
      <c r="BN3125" s="8">
        <v>0</v>
      </c>
      <c r="BO3125" s="8">
        <v>2876226.7113542864</v>
      </c>
      <c r="BP3125" s="8">
        <v>2460162.5663301097</v>
      </c>
      <c r="BQ3125" s="8">
        <v>-416064.14502417669</v>
      </c>
      <c r="BR3125" s="8" t="str">
        <v>Yes</v>
      </c>
    </row>
    <row r="3126" spans="54:70" x14ac:dyDescent="0.2">
      <c r="BB3126" s="94"/>
      <c r="BL3126" s="8">
        <v>3077</v>
      </c>
      <c r="BM3126" s="8">
        <v>12171716.911917893</v>
      </c>
      <c r="BN3126" s="8">
        <v>0</v>
      </c>
      <c r="BO3126" s="8">
        <v>12171716.911917893</v>
      </c>
      <c r="BP3126" s="8">
        <v>3377937.3769379631</v>
      </c>
      <c r="BQ3126" s="8">
        <v>-8793779.5349799301</v>
      </c>
      <c r="BR3126" s="8" t="str">
        <v>Yes</v>
      </c>
    </row>
    <row r="3127" spans="54:70" x14ac:dyDescent="0.2">
      <c r="BB3127" s="94"/>
      <c r="BL3127" s="8">
        <v>3078</v>
      </c>
      <c r="BM3127" s="8">
        <v>5611459.420075207</v>
      </c>
      <c r="BN3127" s="8">
        <v>0</v>
      </c>
      <c r="BO3127" s="8">
        <v>5611459.420075207</v>
      </c>
      <c r="BP3127" s="8">
        <v>4495523.7477088096</v>
      </c>
      <c r="BQ3127" s="8">
        <v>-1115935.6723663975</v>
      </c>
      <c r="BR3127" s="8" t="str">
        <v>Yes</v>
      </c>
    </row>
    <row r="3128" spans="54:70" x14ac:dyDescent="0.2">
      <c r="BB3128" s="94"/>
      <c r="BL3128" s="8">
        <v>3079</v>
      </c>
      <c r="BM3128" s="8">
        <v>2982436.947928708</v>
      </c>
      <c r="BN3128" s="8">
        <v>3545713.3169842265</v>
      </c>
      <c r="BO3128" s="8">
        <v>6528150.264912935</v>
      </c>
      <c r="BP3128" s="8">
        <v>3463173.401553038</v>
      </c>
      <c r="BQ3128" s="8">
        <v>-3064976.8633598969</v>
      </c>
      <c r="BR3128" s="8" t="str">
        <v>Yes</v>
      </c>
    </row>
    <row r="3129" spans="54:70" x14ac:dyDescent="0.2">
      <c r="BB3129" s="94"/>
      <c r="BL3129" s="8">
        <v>3080</v>
      </c>
      <c r="BM3129" s="8">
        <v>2867302.9948540702</v>
      </c>
      <c r="BN3129" s="8">
        <v>1844297.1823149147</v>
      </c>
      <c r="BO3129" s="8">
        <v>4711600.1771689849</v>
      </c>
      <c r="BP3129" s="8">
        <v>3170214.7693935893</v>
      </c>
      <c r="BQ3129" s="8">
        <v>-1541385.4077753955</v>
      </c>
      <c r="BR3129" s="8" t="str">
        <v>Yes</v>
      </c>
    </row>
    <row r="3130" spans="54:70" x14ac:dyDescent="0.2">
      <c r="BB3130" s="94"/>
      <c r="BL3130" s="8">
        <v>3081</v>
      </c>
      <c r="BM3130" s="8">
        <v>3556523.3959287135</v>
      </c>
      <c r="BN3130" s="8">
        <v>0</v>
      </c>
      <c r="BO3130" s="8">
        <v>3556523.3959287135</v>
      </c>
      <c r="BP3130" s="8">
        <v>6329207.2582568228</v>
      </c>
      <c r="BQ3130" s="8">
        <v>2772683.8623281093</v>
      </c>
      <c r="BR3130" s="8" t="str">
        <v>No</v>
      </c>
    </row>
    <row r="3131" spans="54:70" x14ac:dyDescent="0.2">
      <c r="BB3131" s="94"/>
      <c r="BL3131" s="8">
        <v>3082</v>
      </c>
      <c r="BM3131" s="8">
        <v>6004920.3053300129</v>
      </c>
      <c r="BN3131" s="8">
        <v>14582826.609819489</v>
      </c>
      <c r="BO3131" s="8">
        <v>20587746.915149502</v>
      </c>
      <c r="BP3131" s="8">
        <v>3353253.3148073531</v>
      </c>
      <c r="BQ3131" s="8">
        <v>-17234493.600342151</v>
      </c>
      <c r="BR3131" s="8" t="str">
        <v>Yes</v>
      </c>
    </row>
    <row r="3132" spans="54:70" x14ac:dyDescent="0.2">
      <c r="BB3132" s="94"/>
      <c r="BL3132" s="8">
        <v>3083</v>
      </c>
      <c r="BM3132" s="8">
        <v>7889342.9510880243</v>
      </c>
      <c r="BN3132" s="8">
        <v>0</v>
      </c>
      <c r="BO3132" s="8">
        <v>7889342.9510880243</v>
      </c>
      <c r="BP3132" s="8">
        <v>6025391.3593678223</v>
      </c>
      <c r="BQ3132" s="8">
        <v>-1863951.591720202</v>
      </c>
      <c r="BR3132" s="8" t="str">
        <v>Yes</v>
      </c>
    </row>
    <row r="3133" spans="54:70" x14ac:dyDescent="0.2">
      <c r="BB3133" s="94"/>
      <c r="BL3133" s="8">
        <v>3084</v>
      </c>
      <c r="BM3133" s="8">
        <v>4776762.0925911684</v>
      </c>
      <c r="BN3133" s="8">
        <v>0</v>
      </c>
      <c r="BO3133" s="8">
        <v>4776762.0925911684</v>
      </c>
      <c r="BP3133" s="8">
        <v>4765216.1883408399</v>
      </c>
      <c r="BQ3133" s="8">
        <v>-11545.904250328429</v>
      </c>
      <c r="BR3133" s="8" t="str">
        <v>Yes</v>
      </c>
    </row>
    <row r="3134" spans="54:70" x14ac:dyDescent="0.2">
      <c r="BB3134" s="94"/>
      <c r="BL3134" s="8">
        <v>3085</v>
      </c>
      <c r="BM3134" s="8">
        <v>5188641.2194061382</v>
      </c>
      <c r="BN3134" s="8">
        <v>0</v>
      </c>
      <c r="BO3134" s="8">
        <v>5188641.2194061382</v>
      </c>
      <c r="BP3134" s="8">
        <v>6404965.079066922</v>
      </c>
      <c r="BQ3134" s="8">
        <v>1216323.8596607838</v>
      </c>
      <c r="BR3134" s="8" t="str">
        <v>No</v>
      </c>
    </row>
    <row r="3135" spans="54:70" x14ac:dyDescent="0.2">
      <c r="BB3135" s="94"/>
      <c r="BL3135" s="8">
        <v>3086</v>
      </c>
      <c r="BM3135" s="8">
        <v>2230650.9805141338</v>
      </c>
      <c r="BN3135" s="8">
        <v>1690500.1067261992</v>
      </c>
      <c r="BO3135" s="8">
        <v>3921151.0872403327</v>
      </c>
      <c r="BP3135" s="8">
        <v>4141126.980072719</v>
      </c>
      <c r="BQ3135" s="8">
        <v>219975.89283238631</v>
      </c>
      <c r="BR3135" s="8" t="str">
        <v>No</v>
      </c>
    </row>
    <row r="3136" spans="54:70" x14ac:dyDescent="0.2">
      <c r="BB3136" s="94"/>
      <c r="BL3136" s="8">
        <v>3087</v>
      </c>
      <c r="BM3136" s="8">
        <v>6838779.4752034117</v>
      </c>
      <c r="BN3136" s="8">
        <v>7863578.1430179738</v>
      </c>
      <c r="BO3136" s="8">
        <v>14702357.618221385</v>
      </c>
      <c r="BP3136" s="8">
        <v>6494698.5682007996</v>
      </c>
      <c r="BQ3136" s="8">
        <v>-8207659.0500205858</v>
      </c>
      <c r="BR3136" s="8" t="str">
        <v>Yes</v>
      </c>
    </row>
    <row r="3137" spans="54:70" x14ac:dyDescent="0.2">
      <c r="BB3137" s="94"/>
      <c r="BL3137" s="8">
        <v>3088</v>
      </c>
      <c r="BM3137" s="8">
        <v>11007631.492275128</v>
      </c>
      <c r="BN3137" s="8">
        <v>0</v>
      </c>
      <c r="BO3137" s="8">
        <v>11007631.492275128</v>
      </c>
      <c r="BP3137" s="8">
        <v>4311729.7813441735</v>
      </c>
      <c r="BQ3137" s="8">
        <v>-6695901.7109309547</v>
      </c>
      <c r="BR3137" s="8" t="str">
        <v>Yes</v>
      </c>
    </row>
    <row r="3138" spans="54:70" x14ac:dyDescent="0.2">
      <c r="BB3138" s="94"/>
      <c r="BL3138" s="8">
        <v>3089</v>
      </c>
      <c r="BM3138" s="8">
        <v>3658093.5905090105</v>
      </c>
      <c r="BN3138" s="8">
        <v>3219287.2221279531</v>
      </c>
      <c r="BO3138" s="8">
        <v>6877380.812636964</v>
      </c>
      <c r="BP3138" s="8">
        <v>2262740.0334690064</v>
      </c>
      <c r="BQ3138" s="8">
        <v>-4614640.7791679576</v>
      </c>
      <c r="BR3138" s="8" t="str">
        <v>Yes</v>
      </c>
    </row>
    <row r="3139" spans="54:70" x14ac:dyDescent="0.2">
      <c r="BB3139" s="94"/>
      <c r="BL3139" s="8">
        <v>3090</v>
      </c>
      <c r="BM3139" s="8">
        <v>7381469.6194803379</v>
      </c>
      <c r="BN3139" s="8">
        <v>8476281.163747726</v>
      </c>
      <c r="BO3139" s="8">
        <v>15857750.783228064</v>
      </c>
      <c r="BP3139" s="8">
        <v>2206944.9502350185</v>
      </c>
      <c r="BQ3139" s="8">
        <v>-13650805.832993045</v>
      </c>
      <c r="BR3139" s="8" t="str">
        <v>Yes</v>
      </c>
    </row>
    <row r="3140" spans="54:70" x14ac:dyDescent="0.2">
      <c r="BB3140" s="94"/>
      <c r="BL3140" s="8">
        <v>3091</v>
      </c>
      <c r="BM3140" s="8">
        <v>5393219.1006259928</v>
      </c>
      <c r="BN3140" s="8">
        <v>0</v>
      </c>
      <c r="BO3140" s="8">
        <v>5393219.1006259928</v>
      </c>
      <c r="BP3140" s="8">
        <v>6516710.1638037469</v>
      </c>
      <c r="BQ3140" s="8">
        <v>1123491.0631777542</v>
      </c>
      <c r="BR3140" s="8" t="str">
        <v>No</v>
      </c>
    </row>
    <row r="3141" spans="54:70" x14ac:dyDescent="0.2">
      <c r="BB3141" s="94"/>
      <c r="BL3141" s="8">
        <v>3092</v>
      </c>
      <c r="BM3141" s="8">
        <v>1929093.1947714002</v>
      </c>
      <c r="BN3141" s="8">
        <v>481326.6077352807</v>
      </c>
      <c r="BO3141" s="8">
        <v>2410419.8025066811</v>
      </c>
      <c r="BP3141" s="8">
        <v>4416973.3721495634</v>
      </c>
      <c r="BQ3141" s="8">
        <v>2006553.5696428823</v>
      </c>
      <c r="BR3141" s="8" t="str">
        <v>No</v>
      </c>
    </row>
    <row r="3142" spans="54:70" x14ac:dyDescent="0.2">
      <c r="BB3142" s="94"/>
      <c r="BL3142" s="8">
        <v>3093</v>
      </c>
      <c r="BM3142" s="8">
        <v>2213005.5424083574</v>
      </c>
      <c r="BN3142" s="8">
        <v>2879518.8799904371</v>
      </c>
      <c r="BO3142" s="8">
        <v>5092524.4223987944</v>
      </c>
      <c r="BP3142" s="8">
        <v>2344769.3334928406</v>
      </c>
      <c r="BQ3142" s="8">
        <v>-2747755.0889059538</v>
      </c>
      <c r="BR3142" s="8" t="str">
        <v>Yes</v>
      </c>
    </row>
    <row r="3143" spans="54:70" x14ac:dyDescent="0.2">
      <c r="BB3143" s="94"/>
      <c r="BL3143" s="8">
        <v>3094</v>
      </c>
      <c r="BM3143" s="8">
        <v>3428607.307423865</v>
      </c>
      <c r="BN3143" s="8">
        <v>5977289.3095234605</v>
      </c>
      <c r="BO3143" s="8">
        <v>9405896.6169473249</v>
      </c>
      <c r="BP3143" s="8">
        <v>3234057.5928764082</v>
      </c>
      <c r="BQ3143" s="8">
        <v>-6171839.0240709167</v>
      </c>
      <c r="BR3143" s="8" t="str">
        <v>Yes</v>
      </c>
    </row>
    <row r="3144" spans="54:70" x14ac:dyDescent="0.2">
      <c r="BB3144" s="94"/>
      <c r="BL3144" s="8">
        <v>3095</v>
      </c>
      <c r="BM3144" s="8">
        <v>3164706.7711383095</v>
      </c>
      <c r="BN3144" s="8">
        <v>0</v>
      </c>
      <c r="BO3144" s="8">
        <v>3164706.7711383095</v>
      </c>
      <c r="BP3144" s="8">
        <v>4454700.3875768427</v>
      </c>
      <c r="BQ3144" s="8">
        <v>1289993.6164385332</v>
      </c>
      <c r="BR3144" s="8" t="str">
        <v>No</v>
      </c>
    </row>
    <row r="3145" spans="54:70" x14ac:dyDescent="0.2">
      <c r="BB3145" s="94"/>
      <c r="BL3145" s="8">
        <v>3096</v>
      </c>
      <c r="BM3145" s="8">
        <v>2203597.5665918635</v>
      </c>
      <c r="BN3145" s="8">
        <v>1327395.7909423015</v>
      </c>
      <c r="BO3145" s="8">
        <v>3530993.357534165</v>
      </c>
      <c r="BP3145" s="8">
        <v>3307316.1457077474</v>
      </c>
      <c r="BQ3145" s="8">
        <v>-223677.2118264176</v>
      </c>
      <c r="BR3145" s="8" t="str">
        <v>Yes</v>
      </c>
    </row>
    <row r="3146" spans="54:70" x14ac:dyDescent="0.2">
      <c r="BB3146" s="94"/>
      <c r="BL3146" s="8">
        <v>3097</v>
      </c>
      <c r="BM3146" s="8">
        <v>1781408.7283388902</v>
      </c>
      <c r="BN3146" s="8">
        <v>0</v>
      </c>
      <c r="BO3146" s="8">
        <v>1781408.7283388902</v>
      </c>
      <c r="BP3146" s="8">
        <v>5712549.1489674849</v>
      </c>
      <c r="BQ3146" s="8">
        <v>3931140.4206285947</v>
      </c>
      <c r="BR3146" s="8" t="str">
        <v>No</v>
      </c>
    </row>
    <row r="3147" spans="54:70" x14ac:dyDescent="0.2">
      <c r="BB3147" s="94"/>
      <c r="BL3147" s="8">
        <v>3098</v>
      </c>
      <c r="BM3147" s="8">
        <v>7799462.1856212318</v>
      </c>
      <c r="BN3147" s="8">
        <v>0</v>
      </c>
      <c r="BO3147" s="8">
        <v>7799462.1856212318</v>
      </c>
      <c r="BP3147" s="8">
        <v>6354905.5677477466</v>
      </c>
      <c r="BQ3147" s="8">
        <v>-1444556.6178734852</v>
      </c>
      <c r="BR3147" s="8" t="str">
        <v>Yes</v>
      </c>
    </row>
    <row r="3148" spans="54:70" x14ac:dyDescent="0.2">
      <c r="BB3148" s="94"/>
      <c r="BL3148" s="8">
        <v>3099</v>
      </c>
      <c r="BM3148" s="8">
        <v>4563212.8890861515</v>
      </c>
      <c r="BN3148" s="8">
        <v>0</v>
      </c>
      <c r="BO3148" s="8">
        <v>4563212.8890861515</v>
      </c>
      <c r="BP3148" s="8">
        <v>3091827.1341635571</v>
      </c>
      <c r="BQ3148" s="8">
        <v>-1471385.7549225944</v>
      </c>
      <c r="BR3148" s="8" t="str">
        <v>Yes</v>
      </c>
    </row>
    <row r="3149" spans="54:70" x14ac:dyDescent="0.2">
      <c r="BB3149" s="94"/>
      <c r="BL3149" s="8">
        <v>3100</v>
      </c>
      <c r="BM3149" s="8">
        <v>3593522.6431149263</v>
      </c>
      <c r="BN3149" s="8">
        <v>0</v>
      </c>
      <c r="BO3149" s="8">
        <v>3593522.6431149263</v>
      </c>
      <c r="BP3149" s="8">
        <v>3208896.0243915226</v>
      </c>
      <c r="BQ3149" s="8">
        <v>-384626.61872340366</v>
      </c>
      <c r="BR3149" s="8" t="str">
        <v>Yes</v>
      </c>
    </row>
    <row r="3150" spans="54:70" x14ac:dyDescent="0.2">
      <c r="BB3150" s="94"/>
      <c r="BL3150" s="8">
        <v>3101</v>
      </c>
      <c r="BM3150" s="8">
        <v>3521028.3423075238</v>
      </c>
      <c r="BN3150" s="8">
        <v>0</v>
      </c>
      <c r="BO3150" s="8">
        <v>3521028.3423075238</v>
      </c>
      <c r="BP3150" s="8">
        <v>2354265.0058739241</v>
      </c>
      <c r="BQ3150" s="8">
        <v>-1166763.3364335997</v>
      </c>
      <c r="BR3150" s="8" t="str">
        <v>Yes</v>
      </c>
    </row>
    <row r="3151" spans="54:70" x14ac:dyDescent="0.2">
      <c r="BB3151" s="94"/>
      <c r="BL3151" s="8">
        <v>3102</v>
      </c>
      <c r="BM3151" s="8">
        <v>6715030.9407669101</v>
      </c>
      <c r="BN3151" s="8">
        <v>7520093.1199774817</v>
      </c>
      <c r="BO3151" s="8">
        <v>14235124.060744392</v>
      </c>
      <c r="BP3151" s="8">
        <v>3505165.0965721249</v>
      </c>
      <c r="BQ3151" s="8">
        <v>-10729958.964172266</v>
      </c>
      <c r="BR3151" s="8" t="str">
        <v>Yes</v>
      </c>
    </row>
    <row r="3152" spans="54:70" x14ac:dyDescent="0.2">
      <c r="BB3152" s="94"/>
      <c r="BL3152" s="8">
        <v>3103</v>
      </c>
      <c r="BM3152" s="8">
        <v>4278054.9911303166</v>
      </c>
      <c r="BN3152" s="8">
        <v>42191.860139455079</v>
      </c>
      <c r="BO3152" s="8">
        <v>4320246.8512697713</v>
      </c>
      <c r="BP3152" s="8">
        <v>5596638.613068928</v>
      </c>
      <c r="BQ3152" s="8">
        <v>1276391.7617991567</v>
      </c>
      <c r="BR3152" s="8" t="str">
        <v>No</v>
      </c>
    </row>
    <row r="3153" spans="54:70" x14ac:dyDescent="0.2">
      <c r="BB3153" s="94"/>
      <c r="BL3153" s="8">
        <v>3104</v>
      </c>
      <c r="BM3153" s="8">
        <v>3326008.5361877047</v>
      </c>
      <c r="BN3153" s="8">
        <v>0</v>
      </c>
      <c r="BO3153" s="8">
        <v>3326008.5361877047</v>
      </c>
      <c r="BP3153" s="8">
        <v>4222414.5789756766</v>
      </c>
      <c r="BQ3153" s="8">
        <v>896406.04278797191</v>
      </c>
      <c r="BR3153" s="8" t="str">
        <v>No</v>
      </c>
    </row>
    <row r="3154" spans="54:70" x14ac:dyDescent="0.2">
      <c r="BB3154" s="94"/>
      <c r="BL3154" s="8">
        <v>3105</v>
      </c>
      <c r="BM3154" s="8">
        <v>5428625.7665994298</v>
      </c>
      <c r="BN3154" s="8">
        <v>3623889.1316354829</v>
      </c>
      <c r="BO3154" s="8">
        <v>9052514.8982349131</v>
      </c>
      <c r="BP3154" s="8">
        <v>4370706.1377075696</v>
      </c>
      <c r="BQ3154" s="8">
        <v>-4681808.7605273435</v>
      </c>
      <c r="BR3154" s="8" t="str">
        <v>Yes</v>
      </c>
    </row>
    <row r="3155" spans="54:70" x14ac:dyDescent="0.2">
      <c r="BB3155" s="94"/>
      <c r="BL3155" s="8">
        <v>3106</v>
      </c>
      <c r="BM3155" s="8">
        <v>2096881.6937812939</v>
      </c>
      <c r="BN3155" s="8">
        <v>-493.00378788678881</v>
      </c>
      <c r="BO3155" s="8">
        <v>2096388.6899934071</v>
      </c>
      <c r="BP3155" s="8">
        <v>3418177.8726775325</v>
      </c>
      <c r="BQ3155" s="8">
        <v>1321789.1826841254</v>
      </c>
      <c r="BR3155" s="8" t="str">
        <v>No</v>
      </c>
    </row>
    <row r="3156" spans="54:70" x14ac:dyDescent="0.2">
      <c r="BB3156" s="94"/>
      <c r="BL3156" s="8">
        <v>3107</v>
      </c>
      <c r="BM3156" s="8">
        <v>1998043.775688414</v>
      </c>
      <c r="BN3156" s="8">
        <v>1284296.4395731897</v>
      </c>
      <c r="BO3156" s="8">
        <v>3282340.2152616037</v>
      </c>
      <c r="BP3156" s="8">
        <v>2351408.6704042079</v>
      </c>
      <c r="BQ3156" s="8">
        <v>-930931.54485739581</v>
      </c>
      <c r="BR3156" s="8" t="str">
        <v>Yes</v>
      </c>
    </row>
    <row r="3157" spans="54:70" x14ac:dyDescent="0.2">
      <c r="BB3157" s="94"/>
      <c r="BL3157" s="8">
        <v>3108</v>
      </c>
      <c r="BM3157" s="8">
        <v>5337755.8107000943</v>
      </c>
      <c r="BN3157" s="8">
        <v>0</v>
      </c>
      <c r="BO3157" s="8">
        <v>5337755.8107000943</v>
      </c>
      <c r="BP3157" s="8">
        <v>2493080.1501117572</v>
      </c>
      <c r="BQ3157" s="8">
        <v>-2844675.6605883371</v>
      </c>
      <c r="BR3157" s="8" t="str">
        <v>Yes</v>
      </c>
    </row>
    <row r="3158" spans="54:70" x14ac:dyDescent="0.2">
      <c r="BB3158" s="94"/>
      <c r="BL3158" s="8">
        <v>3109</v>
      </c>
      <c r="BM3158" s="8">
        <v>7382787.069123745</v>
      </c>
      <c r="BN3158" s="8">
        <v>7523846.4773896523</v>
      </c>
      <c r="BO3158" s="8">
        <v>14906633.546513397</v>
      </c>
      <c r="BP3158" s="8">
        <v>4291921.2336943774</v>
      </c>
      <c r="BQ3158" s="8">
        <v>-10614712.312819019</v>
      </c>
      <c r="BR3158" s="8" t="str">
        <v>Yes</v>
      </c>
    </row>
    <row r="3159" spans="54:70" x14ac:dyDescent="0.2">
      <c r="BB3159" s="94"/>
      <c r="BL3159" s="8">
        <v>3110</v>
      </c>
      <c r="BM3159" s="8">
        <v>3408363.4317308338</v>
      </c>
      <c r="BN3159" s="8">
        <v>0</v>
      </c>
      <c r="BO3159" s="8">
        <v>3408363.4317308338</v>
      </c>
      <c r="BP3159" s="8">
        <v>2100814.2948647891</v>
      </c>
      <c r="BQ3159" s="8">
        <v>-1307549.1368660447</v>
      </c>
      <c r="BR3159" s="8" t="str">
        <v>Yes</v>
      </c>
    </row>
    <row r="3160" spans="54:70" x14ac:dyDescent="0.2">
      <c r="BB3160" s="94"/>
      <c r="BL3160" s="8">
        <v>3111</v>
      </c>
      <c r="BM3160" s="8">
        <v>9065665.4242007993</v>
      </c>
      <c r="BN3160" s="8">
        <v>9006286.1959572677</v>
      </c>
      <c r="BO3160" s="8">
        <v>18071951.620158069</v>
      </c>
      <c r="BP3160" s="8">
        <v>3318110.7773140864</v>
      </c>
      <c r="BQ3160" s="8">
        <v>-14753840.842843983</v>
      </c>
      <c r="BR3160" s="8" t="str">
        <v>Yes</v>
      </c>
    </row>
    <row r="3161" spans="54:70" x14ac:dyDescent="0.2">
      <c r="BB3161" s="94"/>
      <c r="BL3161" s="8">
        <v>3112</v>
      </c>
      <c r="BM3161" s="8">
        <v>7019404.9135507848</v>
      </c>
      <c r="BN3161" s="8">
        <v>0</v>
      </c>
      <c r="BO3161" s="8">
        <v>7019404.9135507848</v>
      </c>
      <c r="BP3161" s="8">
        <v>6785687.4607019732</v>
      </c>
      <c r="BQ3161" s="8">
        <v>-233717.45284881163</v>
      </c>
      <c r="BR3161" s="8" t="str">
        <v>Yes</v>
      </c>
    </row>
    <row r="3162" spans="54:70" x14ac:dyDescent="0.2">
      <c r="BB3162" s="94"/>
      <c r="BL3162" s="8">
        <v>3113</v>
      </c>
      <c r="BM3162" s="8">
        <v>2648551.0552514396</v>
      </c>
      <c r="BN3162" s="8">
        <v>888251.04056870984</v>
      </c>
      <c r="BO3162" s="8">
        <v>3536802.0958201494</v>
      </c>
      <c r="BP3162" s="8">
        <v>6528839.9875485217</v>
      </c>
      <c r="BQ3162" s="8">
        <v>2992037.8917283723</v>
      </c>
      <c r="BR3162" s="8" t="str">
        <v>No</v>
      </c>
    </row>
    <row r="3163" spans="54:70" x14ac:dyDescent="0.2">
      <c r="BB3163" s="94"/>
      <c r="BL3163" s="8">
        <v>3114</v>
      </c>
      <c r="BM3163" s="8">
        <v>2450122.6542376615</v>
      </c>
      <c r="BN3163" s="8">
        <v>0</v>
      </c>
      <c r="BO3163" s="8">
        <v>2450122.6542376615</v>
      </c>
      <c r="BP3163" s="8">
        <v>3372053.7424678383</v>
      </c>
      <c r="BQ3163" s="8">
        <v>921931.08823017683</v>
      </c>
      <c r="BR3163" s="8" t="str">
        <v>No</v>
      </c>
    </row>
    <row r="3164" spans="54:70" x14ac:dyDescent="0.2">
      <c r="BB3164" s="94"/>
      <c r="BL3164" s="8">
        <v>3115</v>
      </c>
      <c r="BM3164" s="8">
        <v>2693000.2044527088</v>
      </c>
      <c r="BN3164" s="8">
        <v>2798560.317643465</v>
      </c>
      <c r="BO3164" s="8">
        <v>5491560.5220961738</v>
      </c>
      <c r="BP3164" s="8">
        <v>2363410.9562589764</v>
      </c>
      <c r="BQ3164" s="8">
        <v>-3128149.5658371975</v>
      </c>
      <c r="BR3164" s="8" t="str">
        <v>Yes</v>
      </c>
    </row>
    <row r="3165" spans="54:70" x14ac:dyDescent="0.2">
      <c r="BB3165" s="94"/>
      <c r="BL3165" s="8">
        <v>3116</v>
      </c>
      <c r="BM3165" s="8">
        <v>9571556.4598886725</v>
      </c>
      <c r="BN3165" s="8">
        <v>0</v>
      </c>
      <c r="BO3165" s="8">
        <v>9571556.4598886725</v>
      </c>
      <c r="BP3165" s="8">
        <v>3391868.6631743889</v>
      </c>
      <c r="BQ3165" s="8">
        <v>-6179687.7967142835</v>
      </c>
      <c r="BR3165" s="8" t="str">
        <v>Yes</v>
      </c>
    </row>
    <row r="3166" spans="54:70" x14ac:dyDescent="0.2">
      <c r="BB3166" s="94"/>
      <c r="BL3166" s="8">
        <v>3117</v>
      </c>
      <c r="BM3166" s="8">
        <v>3456987.1855352786</v>
      </c>
      <c r="BN3166" s="8">
        <v>0</v>
      </c>
      <c r="BO3166" s="8">
        <v>3456987.1855352786</v>
      </c>
      <c r="BP3166" s="8">
        <v>4559846.7653826214</v>
      </c>
      <c r="BQ3166" s="8">
        <v>1102859.5798473428</v>
      </c>
      <c r="BR3166" s="8" t="str">
        <v>No</v>
      </c>
    </row>
    <row r="3167" spans="54:70" x14ac:dyDescent="0.2">
      <c r="BB3167" s="94"/>
      <c r="BL3167" s="8">
        <v>3118</v>
      </c>
      <c r="BM3167" s="8">
        <v>1849691.1742939875</v>
      </c>
      <c r="BN3167" s="8">
        <v>1284568.7775598329</v>
      </c>
      <c r="BO3167" s="8">
        <v>3134259.9518538201</v>
      </c>
      <c r="BP3167" s="8">
        <v>3104336.4956610454</v>
      </c>
      <c r="BQ3167" s="8">
        <v>-29923.456192774698</v>
      </c>
      <c r="BR3167" s="8" t="str">
        <v>Yes</v>
      </c>
    </row>
    <row r="3168" spans="54:70" x14ac:dyDescent="0.2">
      <c r="BB3168" s="94"/>
      <c r="BL3168" s="8">
        <v>3119</v>
      </c>
      <c r="BM3168" s="8">
        <v>2300613.0749066146</v>
      </c>
      <c r="BN3168" s="8">
        <v>81917.953890157281</v>
      </c>
      <c r="BO3168" s="8">
        <v>2382531.028796772</v>
      </c>
      <c r="BP3168" s="8">
        <v>5965191.5288196029</v>
      </c>
      <c r="BQ3168" s="8">
        <v>3582660.5000228309</v>
      </c>
      <c r="BR3168" s="8" t="str">
        <v>No</v>
      </c>
    </row>
    <row r="3169" spans="54:70" x14ac:dyDescent="0.2">
      <c r="BB3169" s="94"/>
      <c r="BL3169" s="8">
        <v>3120</v>
      </c>
      <c r="BM3169" s="8">
        <v>5392220.1873459471</v>
      </c>
      <c r="BN3169" s="8">
        <v>0</v>
      </c>
      <c r="BO3169" s="8">
        <v>5392220.1873459471</v>
      </c>
      <c r="BP3169" s="8">
        <v>5980674.2818530146</v>
      </c>
      <c r="BQ3169" s="8">
        <v>588454.09450706746</v>
      </c>
      <c r="BR3169" s="8" t="str">
        <v>No</v>
      </c>
    </row>
    <row r="3170" spans="54:70" x14ac:dyDescent="0.2">
      <c r="BB3170" s="94"/>
      <c r="BL3170" s="8">
        <v>3121</v>
      </c>
      <c r="BM3170" s="8">
        <v>5284340.5835611382</v>
      </c>
      <c r="BN3170" s="8">
        <v>4253681.8029085221</v>
      </c>
      <c r="BO3170" s="8">
        <v>9538022.3864696603</v>
      </c>
      <c r="BP3170" s="8">
        <v>3394089.8979139626</v>
      </c>
      <c r="BQ3170" s="8">
        <v>-6143932.4885556977</v>
      </c>
      <c r="BR3170" s="8" t="str">
        <v>Yes</v>
      </c>
    </row>
    <row r="3171" spans="54:70" x14ac:dyDescent="0.2">
      <c r="BB3171" s="94"/>
      <c r="BL3171" s="8">
        <v>3122</v>
      </c>
      <c r="BM3171" s="8">
        <v>6515520.1105394736</v>
      </c>
      <c r="BN3171" s="8">
        <v>0</v>
      </c>
      <c r="BO3171" s="8">
        <v>6515520.1105394736</v>
      </c>
      <c r="BP3171" s="8">
        <v>4218119.0938343313</v>
      </c>
      <c r="BQ3171" s="8">
        <v>-2297401.0167051423</v>
      </c>
      <c r="BR3171" s="8" t="str">
        <v>Yes</v>
      </c>
    </row>
    <row r="3172" spans="54:70" x14ac:dyDescent="0.2">
      <c r="BB3172" s="94"/>
      <c r="BL3172" s="8">
        <v>3123</v>
      </c>
      <c r="BM3172" s="8">
        <v>2014030.4384151378</v>
      </c>
      <c r="BN3172" s="8">
        <v>663872.0221322393</v>
      </c>
      <c r="BO3172" s="8">
        <v>2677902.4605473774</v>
      </c>
      <c r="BP3172" s="8">
        <v>4444644.6507336479</v>
      </c>
      <c r="BQ3172" s="8">
        <v>1766742.1901862705</v>
      </c>
      <c r="BR3172" s="8" t="str">
        <v>No</v>
      </c>
    </row>
    <row r="3173" spans="54:70" x14ac:dyDescent="0.2">
      <c r="BB3173" s="94"/>
      <c r="BL3173" s="8">
        <v>3124</v>
      </c>
      <c r="BM3173" s="8">
        <v>3508978.0411983849</v>
      </c>
      <c r="BN3173" s="8">
        <v>3386250.3944618925</v>
      </c>
      <c r="BO3173" s="8">
        <v>6895228.4356602775</v>
      </c>
      <c r="BP3173" s="8">
        <v>3265067.6809205948</v>
      </c>
      <c r="BQ3173" s="8">
        <v>-3630160.7547396827</v>
      </c>
      <c r="BR3173" s="8" t="str">
        <v>Yes</v>
      </c>
    </row>
    <row r="3174" spans="54:70" x14ac:dyDescent="0.2">
      <c r="BB3174" s="94"/>
      <c r="BL3174" s="8">
        <v>3125</v>
      </c>
      <c r="BM3174" s="8">
        <v>2686417.3061806788</v>
      </c>
      <c r="BN3174" s="8">
        <v>1578135.3041159387</v>
      </c>
      <c r="BO3174" s="8">
        <v>4264552.6102966173</v>
      </c>
      <c r="BP3174" s="8">
        <v>3267897.7777606864</v>
      </c>
      <c r="BQ3174" s="8">
        <v>-996654.83253593091</v>
      </c>
      <c r="BR3174" s="8" t="str">
        <v>Yes</v>
      </c>
    </row>
    <row r="3175" spans="54:70" x14ac:dyDescent="0.2">
      <c r="BB3175" s="94"/>
      <c r="BL3175" s="8">
        <v>3126</v>
      </c>
      <c r="BM3175" s="8">
        <v>3273510.2024495327</v>
      </c>
      <c r="BN3175" s="8">
        <v>2190223.099382374</v>
      </c>
      <c r="BO3175" s="8">
        <v>5463733.3018319067</v>
      </c>
      <c r="BP3175" s="8">
        <v>3374451.2116135731</v>
      </c>
      <c r="BQ3175" s="8">
        <v>-2089282.0902183335</v>
      </c>
      <c r="BR3175" s="8" t="str">
        <v>Yes</v>
      </c>
    </row>
    <row r="3176" spans="54:70" x14ac:dyDescent="0.2">
      <c r="BB3176" s="94"/>
      <c r="BL3176" s="8">
        <v>3127</v>
      </c>
      <c r="BM3176" s="8">
        <v>4257790.4139957242</v>
      </c>
      <c r="BN3176" s="8">
        <v>2699642.2214163463</v>
      </c>
      <c r="BO3176" s="8">
        <v>6957432.6354120709</v>
      </c>
      <c r="BP3176" s="8">
        <v>3343485.3951026388</v>
      </c>
      <c r="BQ3176" s="8">
        <v>-3613947.2403094321</v>
      </c>
      <c r="BR3176" s="8" t="str">
        <v>Yes</v>
      </c>
    </row>
    <row r="3177" spans="54:70" x14ac:dyDescent="0.2">
      <c r="BB3177" s="94"/>
      <c r="BL3177" s="8">
        <v>3128</v>
      </c>
      <c r="BM3177" s="8">
        <v>4288781.0598165803</v>
      </c>
      <c r="BN3177" s="8">
        <v>0</v>
      </c>
      <c r="BO3177" s="8">
        <v>4288781.0598165803</v>
      </c>
      <c r="BP3177" s="8">
        <v>4495863.599274748</v>
      </c>
      <c r="BQ3177" s="8">
        <v>207082.53945816774</v>
      </c>
      <c r="BR3177" s="8" t="str">
        <v>No</v>
      </c>
    </row>
    <row r="3178" spans="54:70" x14ac:dyDescent="0.2">
      <c r="BB3178" s="94"/>
      <c r="BL3178" s="8">
        <v>3129</v>
      </c>
      <c r="BM3178" s="8">
        <v>3269317.1610313961</v>
      </c>
      <c r="BN3178" s="8">
        <v>0</v>
      </c>
      <c r="BO3178" s="8">
        <v>3269317.1610313961</v>
      </c>
      <c r="BP3178" s="8">
        <v>6396938.6258465471</v>
      </c>
      <c r="BQ3178" s="8">
        <v>3127621.4648151509</v>
      </c>
      <c r="BR3178" s="8" t="str">
        <v>No</v>
      </c>
    </row>
    <row r="3179" spans="54:70" x14ac:dyDescent="0.2">
      <c r="BB3179" s="94"/>
      <c r="BL3179" s="8">
        <v>3130</v>
      </c>
      <c r="BM3179" s="8">
        <v>1962857.1891981191</v>
      </c>
      <c r="BN3179" s="8">
        <v>2011338.4006626043</v>
      </c>
      <c r="BO3179" s="8">
        <v>3974195.5898607234</v>
      </c>
      <c r="BP3179" s="8">
        <v>3081251.3032325632</v>
      </c>
      <c r="BQ3179" s="8">
        <v>-892944.28662816016</v>
      </c>
      <c r="BR3179" s="8" t="str">
        <v>Yes</v>
      </c>
    </row>
    <row r="3180" spans="54:70" x14ac:dyDescent="0.2">
      <c r="BB3180" s="94"/>
      <c r="BL3180" s="8">
        <v>3131</v>
      </c>
      <c r="BM3180" s="8">
        <v>2951468.2970321318</v>
      </c>
      <c r="BN3180" s="8">
        <v>0</v>
      </c>
      <c r="BO3180" s="8">
        <v>2951468.2970321318</v>
      </c>
      <c r="BP3180" s="8">
        <v>6843043.9664565995</v>
      </c>
      <c r="BQ3180" s="8">
        <v>3891575.6694244677</v>
      </c>
      <c r="BR3180" s="8" t="str">
        <v>No</v>
      </c>
    </row>
    <row r="3181" spans="54:70" x14ac:dyDescent="0.2">
      <c r="BB3181" s="94"/>
      <c r="BL3181" s="8">
        <v>3132</v>
      </c>
      <c r="BM3181" s="8">
        <v>6409623.5476735644</v>
      </c>
      <c r="BN3181" s="8">
        <v>0</v>
      </c>
      <c r="BO3181" s="8">
        <v>6409623.5476735644</v>
      </c>
      <c r="BP3181" s="8">
        <v>2236462.7784800795</v>
      </c>
      <c r="BQ3181" s="8">
        <v>-4173160.7691934849</v>
      </c>
      <c r="BR3181" s="8" t="str">
        <v>Yes</v>
      </c>
    </row>
    <row r="3182" spans="54:70" x14ac:dyDescent="0.2">
      <c r="BB3182" s="94"/>
      <c r="BL3182" s="8">
        <v>3133</v>
      </c>
      <c r="BM3182" s="8">
        <v>6833028.8547587302</v>
      </c>
      <c r="BN3182" s="8">
        <v>0</v>
      </c>
      <c r="BO3182" s="8">
        <v>6833028.8547587302</v>
      </c>
      <c r="BP3182" s="8">
        <v>3284436.1031460613</v>
      </c>
      <c r="BQ3182" s="8">
        <v>-3548592.7516126689</v>
      </c>
      <c r="BR3182" s="8" t="str">
        <v>Yes</v>
      </c>
    </row>
    <row r="3183" spans="54:70" x14ac:dyDescent="0.2">
      <c r="BB3183" s="94"/>
      <c r="BL3183" s="8">
        <v>3134</v>
      </c>
      <c r="BM3183" s="8">
        <v>9809073.0933832731</v>
      </c>
      <c r="BN3183" s="8">
        <v>8975606.2220060993</v>
      </c>
      <c r="BO3183" s="8">
        <v>18784679.315389372</v>
      </c>
      <c r="BP3183" s="8">
        <v>4292425.9424983691</v>
      </c>
      <c r="BQ3183" s="8">
        <v>-14492253.372891003</v>
      </c>
      <c r="BR3183" s="8" t="str">
        <v>Yes</v>
      </c>
    </row>
    <row r="3184" spans="54:70" x14ac:dyDescent="0.2">
      <c r="BB3184" s="94"/>
      <c r="BL3184" s="8">
        <v>3135</v>
      </c>
      <c r="BM3184" s="8">
        <v>2326110.5236295294</v>
      </c>
      <c r="BN3184" s="8">
        <v>0</v>
      </c>
      <c r="BO3184" s="8">
        <v>2326110.5236295294</v>
      </c>
      <c r="BP3184" s="8">
        <v>4526077.7767893095</v>
      </c>
      <c r="BQ3184" s="8">
        <v>2199967.2531597801</v>
      </c>
      <c r="BR3184" s="8" t="str">
        <v>No</v>
      </c>
    </row>
    <row r="3185" spans="54:70" x14ac:dyDescent="0.2">
      <c r="BB3185" s="94"/>
      <c r="BL3185" s="8">
        <v>3136</v>
      </c>
      <c r="BM3185" s="8">
        <v>8866866.0478638895</v>
      </c>
      <c r="BN3185" s="8">
        <v>0</v>
      </c>
      <c r="BO3185" s="8">
        <v>8866866.0478638895</v>
      </c>
      <c r="BP3185" s="8">
        <v>6229982.2199908048</v>
      </c>
      <c r="BQ3185" s="8">
        <v>-2636883.8278730847</v>
      </c>
      <c r="BR3185" s="8" t="str">
        <v>Yes</v>
      </c>
    </row>
    <row r="3186" spans="54:70" x14ac:dyDescent="0.2">
      <c r="BB3186" s="94"/>
      <c r="BL3186" s="8">
        <v>3137</v>
      </c>
      <c r="BM3186" s="8">
        <v>3936603.1475741612</v>
      </c>
      <c r="BN3186" s="8">
        <v>2668842.386358961</v>
      </c>
      <c r="BO3186" s="8">
        <v>6605445.5339331217</v>
      </c>
      <c r="BP3186" s="8">
        <v>4125195.2249093945</v>
      </c>
      <c r="BQ3186" s="8">
        <v>-2480250.3090237272</v>
      </c>
      <c r="BR3186" s="8" t="str">
        <v>Yes</v>
      </c>
    </row>
    <row r="3187" spans="54:70" x14ac:dyDescent="0.2">
      <c r="BB3187" s="94"/>
      <c r="BL3187" s="8">
        <v>3138</v>
      </c>
      <c r="BM3187" s="8">
        <v>8376387.8401925471</v>
      </c>
      <c r="BN3187" s="8">
        <v>0</v>
      </c>
      <c r="BO3187" s="8">
        <v>8376387.8401925471</v>
      </c>
      <c r="BP3187" s="8">
        <v>6482182.7895882875</v>
      </c>
      <c r="BQ3187" s="8">
        <v>-1894205.0506042596</v>
      </c>
      <c r="BR3187" s="8" t="str">
        <v>Yes</v>
      </c>
    </row>
    <row r="3188" spans="54:70" x14ac:dyDescent="0.2">
      <c r="BB3188" s="94"/>
      <c r="BL3188" s="8">
        <v>3139</v>
      </c>
      <c r="BM3188" s="8">
        <v>2045502.3610439515</v>
      </c>
      <c r="BN3188" s="8">
        <v>0</v>
      </c>
      <c r="BO3188" s="8">
        <v>2045502.3610439515</v>
      </c>
      <c r="BP3188" s="8">
        <v>4556583.650278206</v>
      </c>
      <c r="BQ3188" s="8">
        <v>2511081.2892342545</v>
      </c>
      <c r="BR3188" s="8" t="str">
        <v>No</v>
      </c>
    </row>
    <row r="3189" spans="54:70" x14ac:dyDescent="0.2">
      <c r="BB3189" s="94"/>
      <c r="BL3189" s="8">
        <v>3140</v>
      </c>
      <c r="BM3189" s="8">
        <v>6922522.9553100839</v>
      </c>
      <c r="BN3189" s="8">
        <v>0</v>
      </c>
      <c r="BO3189" s="8">
        <v>6922522.9553100839</v>
      </c>
      <c r="BP3189" s="8">
        <v>2291649.930901377</v>
      </c>
      <c r="BQ3189" s="8">
        <v>-4630873.0244087074</v>
      </c>
      <c r="BR3189" s="8" t="str">
        <v>Yes</v>
      </c>
    </row>
    <row r="3190" spans="54:70" x14ac:dyDescent="0.2">
      <c r="BB3190" s="94"/>
      <c r="BL3190" s="8">
        <v>3141</v>
      </c>
      <c r="BM3190" s="8">
        <v>4731579.4746861076</v>
      </c>
      <c r="BN3190" s="8">
        <v>2898746.7187222941</v>
      </c>
      <c r="BO3190" s="8">
        <v>7630326.1934084017</v>
      </c>
      <c r="BP3190" s="8">
        <v>3431905.8979205666</v>
      </c>
      <c r="BQ3190" s="8">
        <v>-4198420.2954878351</v>
      </c>
      <c r="BR3190" s="8" t="str">
        <v>Yes</v>
      </c>
    </row>
    <row r="3191" spans="54:70" x14ac:dyDescent="0.2">
      <c r="BB3191" s="94"/>
      <c r="BL3191" s="8">
        <v>3142</v>
      </c>
      <c r="BM3191" s="8">
        <v>8756968.2646991611</v>
      </c>
      <c r="BN3191" s="8">
        <v>7554037.2277490078</v>
      </c>
      <c r="BO3191" s="8">
        <v>16311005.49244817</v>
      </c>
      <c r="BP3191" s="8">
        <v>3253528.2565673087</v>
      </c>
      <c r="BQ3191" s="8">
        <v>-13057477.235880861</v>
      </c>
      <c r="BR3191" s="8" t="str">
        <v>Yes</v>
      </c>
    </row>
    <row r="3192" spans="54:70" x14ac:dyDescent="0.2">
      <c r="BB3192" s="94"/>
      <c r="BL3192" s="8">
        <v>3143</v>
      </c>
      <c r="BM3192" s="8">
        <v>4942928.1327457372</v>
      </c>
      <c r="BN3192" s="8">
        <v>3447884.7600404434</v>
      </c>
      <c r="BO3192" s="8">
        <v>8390812.8927861806</v>
      </c>
      <c r="BP3192" s="8">
        <v>5956106.1053790962</v>
      </c>
      <c r="BQ3192" s="8">
        <v>-2434706.7874070844</v>
      </c>
      <c r="BR3192" s="8" t="str">
        <v>Yes</v>
      </c>
    </row>
    <row r="3193" spans="54:70" x14ac:dyDescent="0.2">
      <c r="BB3193" s="94"/>
      <c r="BL3193" s="8">
        <v>3144</v>
      </c>
      <c r="BM3193" s="8">
        <v>9721230.5164644849</v>
      </c>
      <c r="BN3193" s="8">
        <v>8857466.7802420631</v>
      </c>
      <c r="BO3193" s="8">
        <v>18578697.29670655</v>
      </c>
      <c r="BP3193" s="8">
        <v>4452370.1999156047</v>
      </c>
      <c r="BQ3193" s="8">
        <v>-14126327.096790945</v>
      </c>
      <c r="BR3193" s="8" t="str">
        <v>Yes</v>
      </c>
    </row>
    <row r="3194" spans="54:70" x14ac:dyDescent="0.2">
      <c r="BB3194" s="94"/>
      <c r="BL3194" s="8">
        <v>3145</v>
      </c>
      <c r="BM3194" s="8">
        <v>5198110.8153125793</v>
      </c>
      <c r="BN3194" s="8">
        <v>0</v>
      </c>
      <c r="BO3194" s="8">
        <v>5198110.8153125793</v>
      </c>
      <c r="BP3194" s="8">
        <v>3381481.8308526333</v>
      </c>
      <c r="BQ3194" s="8">
        <v>-1816628.9844599459</v>
      </c>
      <c r="BR3194" s="8" t="str">
        <v>Yes</v>
      </c>
    </row>
    <row r="3195" spans="54:70" x14ac:dyDescent="0.2">
      <c r="BB3195" s="94"/>
      <c r="BL3195" s="8">
        <v>3146</v>
      </c>
      <c r="BM3195" s="8">
        <v>6216697.8917022627</v>
      </c>
      <c r="BN3195" s="8">
        <v>0</v>
      </c>
      <c r="BO3195" s="8">
        <v>6216697.8917022627</v>
      </c>
      <c r="BP3195" s="8">
        <v>6128084.7749315742</v>
      </c>
      <c r="BQ3195" s="8">
        <v>-88613.116770688444</v>
      </c>
      <c r="BR3195" s="8" t="str">
        <v>Yes</v>
      </c>
    </row>
    <row r="3196" spans="54:70" x14ac:dyDescent="0.2">
      <c r="BB3196" s="94"/>
      <c r="BL3196" s="8">
        <v>3147</v>
      </c>
      <c r="BM3196" s="8">
        <v>4577895.0866977237</v>
      </c>
      <c r="BN3196" s="8">
        <v>0</v>
      </c>
      <c r="BO3196" s="8">
        <v>4577895.0866977237</v>
      </c>
      <c r="BP3196" s="8">
        <v>3632646.2794872187</v>
      </c>
      <c r="BQ3196" s="8">
        <v>-945248.80721050501</v>
      </c>
      <c r="BR3196" s="8" t="str">
        <v>Yes</v>
      </c>
    </row>
    <row r="3197" spans="54:70" x14ac:dyDescent="0.2">
      <c r="BB3197" s="94"/>
      <c r="BL3197" s="8">
        <v>3148</v>
      </c>
      <c r="BM3197" s="8">
        <v>2509824.9257356958</v>
      </c>
      <c r="BN3197" s="8">
        <v>0</v>
      </c>
      <c r="BO3197" s="8">
        <v>2509824.9257356958</v>
      </c>
      <c r="BP3197" s="8">
        <v>3950836.4123864346</v>
      </c>
      <c r="BQ3197" s="8">
        <v>1441011.4866507389</v>
      </c>
      <c r="BR3197" s="8" t="str">
        <v>No</v>
      </c>
    </row>
    <row r="3198" spans="54:70" x14ac:dyDescent="0.2">
      <c r="BB3198" s="94"/>
      <c r="BL3198" s="8">
        <v>3149</v>
      </c>
      <c r="BM3198" s="8">
        <v>5378455.5599095868</v>
      </c>
      <c r="BN3198" s="8">
        <v>874486.59732712794</v>
      </c>
      <c r="BO3198" s="8">
        <v>6252942.1572367148</v>
      </c>
      <c r="BP3198" s="8">
        <v>5947199.7572661201</v>
      </c>
      <c r="BQ3198" s="8">
        <v>-305742.39997059479</v>
      </c>
      <c r="BR3198" s="8" t="str">
        <v>Yes</v>
      </c>
    </row>
    <row r="3199" spans="54:70" x14ac:dyDescent="0.2">
      <c r="BB3199" s="94"/>
      <c r="BL3199" s="8">
        <v>3150</v>
      </c>
      <c r="BM3199" s="8">
        <v>9996009.3035430349</v>
      </c>
      <c r="BN3199" s="8">
        <v>0</v>
      </c>
      <c r="BO3199" s="8">
        <v>9996009.3035430349</v>
      </c>
      <c r="BP3199" s="8">
        <v>3273840.6811233233</v>
      </c>
      <c r="BQ3199" s="8">
        <v>-6722168.6224197112</v>
      </c>
      <c r="BR3199" s="8" t="str">
        <v>Yes</v>
      </c>
    </row>
    <row r="3200" spans="54:70" x14ac:dyDescent="0.2">
      <c r="BB3200" s="94"/>
      <c r="BL3200" s="8">
        <v>3151</v>
      </c>
      <c r="BM3200" s="8">
        <v>5135055.8006803924</v>
      </c>
      <c r="BN3200" s="8">
        <v>0</v>
      </c>
      <c r="BO3200" s="8">
        <v>5135055.8006803924</v>
      </c>
      <c r="BP3200" s="8">
        <v>2133792.6764232307</v>
      </c>
      <c r="BQ3200" s="8">
        <v>-3001263.1242571617</v>
      </c>
      <c r="BR3200" s="8" t="str">
        <v>Yes</v>
      </c>
    </row>
    <row r="3201" spans="54:70" x14ac:dyDescent="0.2">
      <c r="BB3201" s="94"/>
      <c r="BL3201" s="8">
        <v>3152</v>
      </c>
      <c r="BM3201" s="8">
        <v>3198592.4439036092</v>
      </c>
      <c r="BN3201" s="8">
        <v>3334464.3691022713</v>
      </c>
      <c r="BO3201" s="8">
        <v>6533056.8130058805</v>
      </c>
      <c r="BP3201" s="8">
        <v>6038379.8589975769</v>
      </c>
      <c r="BQ3201" s="8">
        <v>-494676.95400830358</v>
      </c>
      <c r="BR3201" s="8" t="str">
        <v>Yes</v>
      </c>
    </row>
    <row r="3202" spans="54:70" x14ac:dyDescent="0.2">
      <c r="BB3202" s="94"/>
      <c r="BL3202" s="8">
        <v>3153</v>
      </c>
      <c r="BM3202" s="8">
        <v>4209844.753650168</v>
      </c>
      <c r="BN3202" s="8">
        <v>1967180.4641953441</v>
      </c>
      <c r="BO3202" s="8">
        <v>6177025.2178455126</v>
      </c>
      <c r="BP3202" s="8">
        <v>3745184.4573705783</v>
      </c>
      <c r="BQ3202" s="8">
        <v>-2431840.7604749342</v>
      </c>
      <c r="BR3202" s="8" t="str">
        <v>Yes</v>
      </c>
    </row>
    <row r="3203" spans="54:70" x14ac:dyDescent="0.2">
      <c r="BB3203" s="94"/>
      <c r="BL3203" s="8">
        <v>3154</v>
      </c>
      <c r="BM3203" s="8">
        <v>4255605.0764366165</v>
      </c>
      <c r="BN3203" s="8">
        <v>0</v>
      </c>
      <c r="BO3203" s="8">
        <v>4255605.0764366165</v>
      </c>
      <c r="BP3203" s="8">
        <v>3986635.2206670381</v>
      </c>
      <c r="BQ3203" s="8">
        <v>-268969.85576957837</v>
      </c>
      <c r="BR3203" s="8" t="str">
        <v>Yes</v>
      </c>
    </row>
    <row r="3204" spans="54:70" x14ac:dyDescent="0.2">
      <c r="BB3204" s="94"/>
      <c r="BL3204" s="8">
        <v>3155</v>
      </c>
      <c r="BM3204" s="8">
        <v>5265059.6108310986</v>
      </c>
      <c r="BN3204" s="8">
        <v>6999965.3873316655</v>
      </c>
      <c r="BO3204" s="8">
        <v>12265024.998162765</v>
      </c>
      <c r="BP3204" s="8">
        <v>4391198.5185943889</v>
      </c>
      <c r="BQ3204" s="8">
        <v>-7873826.4795683762</v>
      </c>
      <c r="BR3204" s="8" t="str">
        <v>Yes</v>
      </c>
    </row>
    <row r="3205" spans="54:70" x14ac:dyDescent="0.2">
      <c r="BB3205" s="94"/>
      <c r="BL3205" s="8">
        <v>3156</v>
      </c>
      <c r="BM3205" s="8">
        <v>3302665.9853175031</v>
      </c>
      <c r="BN3205" s="8">
        <v>0</v>
      </c>
      <c r="BO3205" s="8">
        <v>3302665.9853175031</v>
      </c>
      <c r="BP3205" s="8">
        <v>3265682.7969465517</v>
      </c>
      <c r="BQ3205" s="8">
        <v>-36983.188370951451</v>
      </c>
      <c r="BR3205" s="8" t="str">
        <v>Yes</v>
      </c>
    </row>
    <row r="3206" spans="54:70" x14ac:dyDescent="0.2">
      <c r="BB3206" s="94"/>
      <c r="BL3206" s="8">
        <v>3157</v>
      </c>
      <c r="BM3206" s="8">
        <v>6146934.4184428044</v>
      </c>
      <c r="BN3206" s="8">
        <v>0</v>
      </c>
      <c r="BO3206" s="8">
        <v>6146934.4184428044</v>
      </c>
      <c r="BP3206" s="8">
        <v>4426921.4937705221</v>
      </c>
      <c r="BQ3206" s="8">
        <v>-1720012.9246722823</v>
      </c>
      <c r="BR3206" s="8" t="str">
        <v>Yes</v>
      </c>
    </row>
    <row r="3207" spans="54:70" x14ac:dyDescent="0.2">
      <c r="BB3207" s="94"/>
      <c r="BL3207" s="8">
        <v>3158</v>
      </c>
      <c r="BM3207" s="8">
        <v>5059631.5536233038</v>
      </c>
      <c r="BN3207" s="8">
        <v>0</v>
      </c>
      <c r="BO3207" s="8">
        <v>5059631.5536233038</v>
      </c>
      <c r="BP3207" s="8">
        <v>3319043.6802961505</v>
      </c>
      <c r="BQ3207" s="8">
        <v>-1740587.8733271533</v>
      </c>
      <c r="BR3207" s="8" t="str">
        <v>Yes</v>
      </c>
    </row>
    <row r="3208" spans="54:70" x14ac:dyDescent="0.2">
      <c r="BB3208" s="94"/>
      <c r="BL3208" s="8">
        <v>3159</v>
      </c>
      <c r="BM3208" s="8">
        <v>6300540.9996298347</v>
      </c>
      <c r="BN3208" s="8">
        <v>4654881.6245456245</v>
      </c>
      <c r="BO3208" s="8">
        <v>10955422.624175459</v>
      </c>
      <c r="BP3208" s="8">
        <v>4507216.3691254454</v>
      </c>
      <c r="BQ3208" s="8">
        <v>-6448206.2550500138</v>
      </c>
      <c r="BR3208" s="8" t="str">
        <v>Yes</v>
      </c>
    </row>
    <row r="3209" spans="54:70" x14ac:dyDescent="0.2">
      <c r="BB3209" s="94"/>
      <c r="BL3209" s="8">
        <v>3160</v>
      </c>
      <c r="BM3209" s="8">
        <v>4988645.2602353133</v>
      </c>
      <c r="BN3209" s="8">
        <v>0</v>
      </c>
      <c r="BO3209" s="8">
        <v>4988645.2602353133</v>
      </c>
      <c r="BP3209" s="8">
        <v>6059218.4307556236</v>
      </c>
      <c r="BQ3209" s="8">
        <v>1070573.1705203103</v>
      </c>
      <c r="BR3209" s="8" t="str">
        <v>No</v>
      </c>
    </row>
    <row r="3210" spans="54:70" x14ac:dyDescent="0.2">
      <c r="BB3210" s="94"/>
      <c r="BL3210" s="8">
        <v>3161</v>
      </c>
      <c r="BM3210" s="8">
        <v>8663647.6470184568</v>
      </c>
      <c r="BN3210" s="8">
        <v>10027684.680254053</v>
      </c>
      <c r="BO3210" s="8">
        <v>18691332.327272512</v>
      </c>
      <c r="BP3210" s="8">
        <v>2390198.552984837</v>
      </c>
      <c r="BQ3210" s="8">
        <v>-16301133.774287675</v>
      </c>
      <c r="BR3210" s="8" t="str">
        <v>Yes</v>
      </c>
    </row>
    <row r="3211" spans="54:70" x14ac:dyDescent="0.2">
      <c r="BB3211" s="94"/>
      <c r="BL3211" s="8">
        <v>3162</v>
      </c>
      <c r="BM3211" s="8">
        <v>11376246.543004803</v>
      </c>
      <c r="BN3211" s="8">
        <v>0</v>
      </c>
      <c r="BO3211" s="8">
        <v>11376246.543004803</v>
      </c>
      <c r="BP3211" s="8">
        <v>3922649.3239750848</v>
      </c>
      <c r="BQ3211" s="8">
        <v>-7453597.219029719</v>
      </c>
      <c r="BR3211" s="8" t="str">
        <v>Yes</v>
      </c>
    </row>
    <row r="3212" spans="54:70" x14ac:dyDescent="0.2">
      <c r="BB3212" s="94"/>
      <c r="BL3212" s="8">
        <v>3163</v>
      </c>
      <c r="BM3212" s="8">
        <v>2849386.48554477</v>
      </c>
      <c r="BN3212" s="8">
        <v>0</v>
      </c>
      <c r="BO3212" s="8">
        <v>2849386.48554477</v>
      </c>
      <c r="BP3212" s="8">
        <v>3496979.6451838976</v>
      </c>
      <c r="BQ3212" s="8">
        <v>647593.15963912755</v>
      </c>
      <c r="BR3212" s="8" t="str">
        <v>No</v>
      </c>
    </row>
    <row r="3213" spans="54:70" x14ac:dyDescent="0.2">
      <c r="BB3213" s="94"/>
      <c r="BL3213" s="8">
        <v>3164</v>
      </c>
      <c r="BM3213" s="8">
        <v>4622923.2442494547</v>
      </c>
      <c r="BN3213" s="8">
        <v>0</v>
      </c>
      <c r="BO3213" s="8">
        <v>4622923.2442494547</v>
      </c>
      <c r="BP3213" s="8">
        <v>2254052.2329604169</v>
      </c>
      <c r="BQ3213" s="8">
        <v>-2368871.0112890378</v>
      </c>
      <c r="BR3213" s="8" t="str">
        <v>Yes</v>
      </c>
    </row>
    <row r="3214" spans="54:70" x14ac:dyDescent="0.2">
      <c r="BB3214" s="94"/>
      <c r="BL3214" s="8">
        <v>3165</v>
      </c>
      <c r="BM3214" s="8">
        <v>5189052.0650689481</v>
      </c>
      <c r="BN3214" s="8">
        <v>0</v>
      </c>
      <c r="BO3214" s="8">
        <v>5189052.0650689481</v>
      </c>
      <c r="BP3214" s="8">
        <v>3221424.1329451506</v>
      </c>
      <c r="BQ3214" s="8">
        <v>-1967627.9321237975</v>
      </c>
      <c r="BR3214" s="8" t="str">
        <v>Yes</v>
      </c>
    </row>
    <row r="3215" spans="54:70" x14ac:dyDescent="0.2">
      <c r="BB3215" s="94"/>
      <c r="BL3215" s="8">
        <v>3166</v>
      </c>
      <c r="BM3215" s="8">
        <v>4874009.636865804</v>
      </c>
      <c r="BN3215" s="8">
        <v>0</v>
      </c>
      <c r="BO3215" s="8">
        <v>4874009.636865804</v>
      </c>
      <c r="BP3215" s="8">
        <v>6010051.855758599</v>
      </c>
      <c r="BQ3215" s="8">
        <v>1136042.218892795</v>
      </c>
      <c r="BR3215" s="8" t="str">
        <v>No</v>
      </c>
    </row>
    <row r="3216" spans="54:70" x14ac:dyDescent="0.2">
      <c r="BB3216" s="94"/>
      <c r="BL3216" s="8">
        <v>3167</v>
      </c>
      <c r="BM3216" s="8">
        <v>2018759.8302075658</v>
      </c>
      <c r="BN3216" s="8">
        <v>0</v>
      </c>
      <c r="BO3216" s="8">
        <v>2018759.8302075658</v>
      </c>
      <c r="BP3216" s="8">
        <v>3477390.5914063007</v>
      </c>
      <c r="BQ3216" s="8">
        <v>1458630.7611987349</v>
      </c>
      <c r="BR3216" s="8" t="str">
        <v>No</v>
      </c>
    </row>
    <row r="3217" spans="54:70" x14ac:dyDescent="0.2">
      <c r="BB3217" s="94"/>
      <c r="BL3217" s="8">
        <v>3168</v>
      </c>
      <c r="BM3217" s="8">
        <v>3371856.239396268</v>
      </c>
      <c r="BN3217" s="8">
        <v>0</v>
      </c>
      <c r="BO3217" s="8">
        <v>3371856.239396268</v>
      </c>
      <c r="BP3217" s="8">
        <v>2447213.9059000853</v>
      </c>
      <c r="BQ3217" s="8">
        <v>-924642.33349618269</v>
      </c>
      <c r="BR3217" s="8" t="str">
        <v>Yes</v>
      </c>
    </row>
    <row r="3218" spans="54:70" x14ac:dyDescent="0.2">
      <c r="BB3218" s="94"/>
      <c r="BL3218" s="8">
        <v>3169</v>
      </c>
      <c r="BM3218" s="8">
        <v>3210341.9963787384</v>
      </c>
      <c r="BN3218" s="8">
        <v>0</v>
      </c>
      <c r="BO3218" s="8">
        <v>3210341.9963787384</v>
      </c>
      <c r="BP3218" s="8">
        <v>3154402.2706525135</v>
      </c>
      <c r="BQ3218" s="8">
        <v>-55939.725726224948</v>
      </c>
      <c r="BR3218" s="8" t="str">
        <v>Yes</v>
      </c>
    </row>
    <row r="3219" spans="54:70" x14ac:dyDescent="0.2">
      <c r="BB3219" s="94"/>
      <c r="BL3219" s="8">
        <v>3170</v>
      </c>
      <c r="BM3219" s="8">
        <v>2717844.1540069352</v>
      </c>
      <c r="BN3219" s="8">
        <v>1217740.1016251312</v>
      </c>
      <c r="BO3219" s="8">
        <v>3935584.2556320662</v>
      </c>
      <c r="BP3219" s="8">
        <v>3272777.5258280211</v>
      </c>
      <c r="BQ3219" s="8">
        <v>-662806.72980404506</v>
      </c>
      <c r="BR3219" s="8" t="str">
        <v>Yes</v>
      </c>
    </row>
    <row r="3220" spans="54:70" x14ac:dyDescent="0.2">
      <c r="BB3220" s="94"/>
      <c r="BL3220" s="8">
        <v>3171</v>
      </c>
      <c r="BM3220" s="8">
        <v>4715790.2942521442</v>
      </c>
      <c r="BN3220" s="8">
        <v>0</v>
      </c>
      <c r="BO3220" s="8">
        <v>4715790.2942521442</v>
      </c>
      <c r="BP3220" s="8">
        <v>2382641.4423484532</v>
      </c>
      <c r="BQ3220" s="8">
        <v>-2333148.851903691</v>
      </c>
      <c r="BR3220" s="8" t="str">
        <v>Yes</v>
      </c>
    </row>
    <row r="3221" spans="54:70" x14ac:dyDescent="0.2">
      <c r="BB3221" s="94"/>
      <c r="BL3221" s="8">
        <v>3172</v>
      </c>
      <c r="BM3221" s="8">
        <v>4728815.1553918608</v>
      </c>
      <c r="BN3221" s="8">
        <v>3675203.7123457217</v>
      </c>
      <c r="BO3221" s="8">
        <v>8404018.867737582</v>
      </c>
      <c r="BP3221" s="8">
        <v>5873657.4394198619</v>
      </c>
      <c r="BQ3221" s="8">
        <v>-2530361.4283177201</v>
      </c>
      <c r="BR3221" s="8" t="str">
        <v>Yes</v>
      </c>
    </row>
    <row r="3222" spans="54:70" x14ac:dyDescent="0.2">
      <c r="BB3222" s="94"/>
      <c r="BL3222" s="8">
        <v>3173</v>
      </c>
      <c r="BM3222" s="8">
        <v>3203696.5862790998</v>
      </c>
      <c r="BN3222" s="8">
        <v>0</v>
      </c>
      <c r="BO3222" s="8">
        <v>3203696.5862790998</v>
      </c>
      <c r="BP3222" s="8">
        <v>2270284.1884527025</v>
      </c>
      <c r="BQ3222" s="8">
        <v>-933412.39782639733</v>
      </c>
      <c r="BR3222" s="8" t="str">
        <v>Yes</v>
      </c>
    </row>
    <row r="3223" spans="54:70" x14ac:dyDescent="0.2">
      <c r="BB3223" s="94"/>
      <c r="BL3223" s="8">
        <v>3174</v>
      </c>
      <c r="BM3223" s="8">
        <v>2636243.1867004544</v>
      </c>
      <c r="BN3223" s="8">
        <v>0</v>
      </c>
      <c r="BO3223" s="8">
        <v>2636243.1867004544</v>
      </c>
      <c r="BP3223" s="8">
        <v>3389011.8199702515</v>
      </c>
      <c r="BQ3223" s="8">
        <v>752768.63326979708</v>
      </c>
      <c r="BR3223" s="8" t="str">
        <v>No</v>
      </c>
    </row>
    <row r="3224" spans="54:70" x14ac:dyDescent="0.2">
      <c r="BB3224" s="94"/>
      <c r="BL3224" s="8">
        <v>3175</v>
      </c>
      <c r="BM3224" s="8">
        <v>1803732.3856730894</v>
      </c>
      <c r="BN3224" s="8">
        <v>1123214.5320708731</v>
      </c>
      <c r="BO3224" s="8">
        <v>2926946.9177439623</v>
      </c>
      <c r="BP3224" s="8">
        <v>2257957.7739542341</v>
      </c>
      <c r="BQ3224" s="8">
        <v>-668989.14378972817</v>
      </c>
      <c r="BR3224" s="8" t="str">
        <v>Yes</v>
      </c>
    </row>
    <row r="3225" spans="54:70" x14ac:dyDescent="0.2">
      <c r="BB3225" s="94"/>
      <c r="BL3225" s="8">
        <v>3176</v>
      </c>
      <c r="BM3225" s="8">
        <v>3251289.8454030948</v>
      </c>
      <c r="BN3225" s="8">
        <v>1762500.7196721842</v>
      </c>
      <c r="BO3225" s="8">
        <v>5013790.5650752792</v>
      </c>
      <c r="BP3225" s="8">
        <v>4428089.8281332897</v>
      </c>
      <c r="BQ3225" s="8">
        <v>-585700.73694198951</v>
      </c>
      <c r="BR3225" s="8" t="str">
        <v>Yes</v>
      </c>
    </row>
    <row r="3226" spans="54:70" x14ac:dyDescent="0.2">
      <c r="BB3226" s="94"/>
      <c r="BL3226" s="8">
        <v>3177</v>
      </c>
      <c r="BM3226" s="8">
        <v>4565978.298598323</v>
      </c>
      <c r="BN3226" s="8">
        <v>0</v>
      </c>
      <c r="BO3226" s="8">
        <v>4565978.298598323</v>
      </c>
      <c r="BP3226" s="8">
        <v>2309757.0965203708</v>
      </c>
      <c r="BQ3226" s="8">
        <v>-2256221.2020779522</v>
      </c>
      <c r="BR3226" s="8" t="str">
        <v>Yes</v>
      </c>
    </row>
    <row r="3227" spans="54:70" x14ac:dyDescent="0.2">
      <c r="BB3227" s="94"/>
      <c r="BL3227" s="8">
        <v>3178</v>
      </c>
      <c r="BM3227" s="8">
        <v>3303220.9276605616</v>
      </c>
      <c r="BN3227" s="8">
        <v>1103672.8743119654</v>
      </c>
      <c r="BO3227" s="8">
        <v>4406893.8019725271</v>
      </c>
      <c r="BP3227" s="8">
        <v>5858011.7125162361</v>
      </c>
      <c r="BQ3227" s="8">
        <v>1451117.9105437091</v>
      </c>
      <c r="BR3227" s="8" t="str">
        <v>No</v>
      </c>
    </row>
    <row r="3228" spans="54:70" x14ac:dyDescent="0.2">
      <c r="BB3228" s="94"/>
      <c r="BL3228" s="8">
        <v>3179</v>
      </c>
      <c r="BM3228" s="8">
        <v>4386251.6924914736</v>
      </c>
      <c r="BN3228" s="8">
        <v>802547.37186797627</v>
      </c>
      <c r="BO3228" s="8">
        <v>5188799.0643594498</v>
      </c>
      <c r="BP3228" s="8">
        <v>6457941.914470599</v>
      </c>
      <c r="BQ3228" s="8">
        <v>1269142.8501111493</v>
      </c>
      <c r="BR3228" s="8" t="str">
        <v>No</v>
      </c>
    </row>
    <row r="3229" spans="54:70" x14ac:dyDescent="0.2">
      <c r="BB3229" s="94"/>
      <c r="BL3229" s="8">
        <v>3180</v>
      </c>
      <c r="BM3229" s="8">
        <v>4765437.3956471682</v>
      </c>
      <c r="BN3229" s="8">
        <v>0</v>
      </c>
      <c r="BO3229" s="8">
        <v>4765437.3956471682</v>
      </c>
      <c r="BP3229" s="8">
        <v>5928803.3332840083</v>
      </c>
      <c r="BQ3229" s="8">
        <v>1163365.9376368402</v>
      </c>
      <c r="BR3229" s="8" t="str">
        <v>No</v>
      </c>
    </row>
    <row r="3230" spans="54:70" x14ac:dyDescent="0.2">
      <c r="BB3230" s="94"/>
      <c r="BL3230" s="8">
        <v>3181</v>
      </c>
      <c r="BM3230" s="8">
        <v>3501384.0040812185</v>
      </c>
      <c r="BN3230" s="8">
        <v>0</v>
      </c>
      <c r="BO3230" s="8">
        <v>3501384.0040812185</v>
      </c>
      <c r="BP3230" s="8">
        <v>6365021.9156158296</v>
      </c>
      <c r="BQ3230" s="8">
        <v>2863637.9115346111</v>
      </c>
      <c r="BR3230" s="8" t="str">
        <v>No</v>
      </c>
    </row>
    <row r="3231" spans="54:70" x14ac:dyDescent="0.2">
      <c r="BB3231" s="94"/>
      <c r="BL3231" s="8">
        <v>3182</v>
      </c>
      <c r="BM3231" s="8">
        <v>3670667.1095479131</v>
      </c>
      <c r="BN3231" s="8">
        <v>0</v>
      </c>
      <c r="BO3231" s="8">
        <v>3670667.1095479131</v>
      </c>
      <c r="BP3231" s="8">
        <v>3329701.5072463909</v>
      </c>
      <c r="BQ3231" s="8">
        <v>-340965.60230152216</v>
      </c>
      <c r="BR3231" s="8" t="str">
        <v>Yes</v>
      </c>
    </row>
    <row r="3232" spans="54:70" x14ac:dyDescent="0.2">
      <c r="BB3232" s="94"/>
      <c r="BL3232" s="8">
        <v>3183</v>
      </c>
      <c r="BM3232" s="8">
        <v>5190498.7276439099</v>
      </c>
      <c r="BN3232" s="8">
        <v>0</v>
      </c>
      <c r="BO3232" s="8">
        <v>5190498.7276439099</v>
      </c>
      <c r="BP3232" s="8">
        <v>4077658.5595248789</v>
      </c>
      <c r="BQ3232" s="8">
        <v>-1112840.168119031</v>
      </c>
      <c r="BR3232" s="8" t="str">
        <v>Yes</v>
      </c>
    </row>
    <row r="3233" spans="54:70" x14ac:dyDescent="0.2">
      <c r="BB3233" s="94"/>
      <c r="BL3233" s="8">
        <v>3184</v>
      </c>
      <c r="BM3233" s="8">
        <v>2729959.9017098602</v>
      </c>
      <c r="BN3233" s="8">
        <v>0</v>
      </c>
      <c r="BO3233" s="8">
        <v>2729959.9017098602</v>
      </c>
      <c r="BP3233" s="8">
        <v>3356875.2615419799</v>
      </c>
      <c r="BQ3233" s="8">
        <v>626915.35983211966</v>
      </c>
      <c r="BR3233" s="8" t="str">
        <v>No</v>
      </c>
    </row>
    <row r="3234" spans="54:70" x14ac:dyDescent="0.2">
      <c r="BB3234" s="94"/>
      <c r="BL3234" s="8">
        <v>3185</v>
      </c>
      <c r="BM3234" s="8">
        <v>2468727.3021782665</v>
      </c>
      <c r="BN3234" s="8">
        <v>0</v>
      </c>
      <c r="BO3234" s="8">
        <v>2468727.3021782665</v>
      </c>
      <c r="BP3234" s="8">
        <v>6673394.3365460467</v>
      </c>
      <c r="BQ3234" s="8">
        <v>4204667.0343677802</v>
      </c>
      <c r="BR3234" s="8" t="str">
        <v>No</v>
      </c>
    </row>
    <row r="3235" spans="54:70" x14ac:dyDescent="0.2">
      <c r="BB3235" s="94"/>
      <c r="BL3235" s="8">
        <v>3186</v>
      </c>
      <c r="BM3235" s="8">
        <v>7428557.7913169209</v>
      </c>
      <c r="BN3235" s="8">
        <v>6793723.5474889623</v>
      </c>
      <c r="BO3235" s="8">
        <v>14222281.338805884</v>
      </c>
      <c r="BP3235" s="8">
        <v>2212399.5688789808</v>
      </c>
      <c r="BQ3235" s="8">
        <v>-12009881.769926904</v>
      </c>
      <c r="BR3235" s="8" t="str">
        <v>Yes</v>
      </c>
    </row>
    <row r="3236" spans="54:70" x14ac:dyDescent="0.2">
      <c r="BB3236" s="94"/>
      <c r="BL3236" s="8">
        <v>3187</v>
      </c>
      <c r="BM3236" s="8">
        <v>3026965.0287050554</v>
      </c>
      <c r="BN3236" s="8">
        <v>1707316.221378593</v>
      </c>
      <c r="BO3236" s="8">
        <v>4734281.2500836486</v>
      </c>
      <c r="BP3236" s="8">
        <v>4264423.6515242588</v>
      </c>
      <c r="BQ3236" s="8">
        <v>-469857.59855938982</v>
      </c>
      <c r="BR3236" s="8" t="str">
        <v>Yes</v>
      </c>
    </row>
    <row r="3237" spans="54:70" x14ac:dyDescent="0.2">
      <c r="BB3237" s="94"/>
      <c r="BL3237" s="8">
        <v>3188</v>
      </c>
      <c r="BM3237" s="8">
        <v>3784240.4059115928</v>
      </c>
      <c r="BN3237" s="8">
        <v>0</v>
      </c>
      <c r="BO3237" s="8">
        <v>3784240.4059115928</v>
      </c>
      <c r="BP3237" s="8">
        <v>6445178.4107254045</v>
      </c>
      <c r="BQ3237" s="8">
        <v>2660938.0048138117</v>
      </c>
      <c r="BR3237" s="8" t="str">
        <v>No</v>
      </c>
    </row>
    <row r="3238" spans="54:70" x14ac:dyDescent="0.2">
      <c r="BB3238" s="94"/>
      <c r="BL3238" s="8">
        <v>3189</v>
      </c>
      <c r="BM3238" s="8">
        <v>11255077.46932075</v>
      </c>
      <c r="BN3238" s="8">
        <v>0</v>
      </c>
      <c r="BO3238" s="8">
        <v>11255077.46932075</v>
      </c>
      <c r="BP3238" s="8">
        <v>2406065.8605660698</v>
      </c>
      <c r="BQ3238" s="8">
        <v>-8849011.6087546796</v>
      </c>
      <c r="BR3238" s="8" t="str">
        <v>Yes</v>
      </c>
    </row>
    <row r="3239" spans="54:70" x14ac:dyDescent="0.2">
      <c r="BB3239" s="94"/>
      <c r="BL3239" s="8">
        <v>3190</v>
      </c>
      <c r="BM3239" s="8">
        <v>5278398.5964426696</v>
      </c>
      <c r="BN3239" s="8">
        <v>0</v>
      </c>
      <c r="BO3239" s="8">
        <v>5278398.5964426696</v>
      </c>
      <c r="BP3239" s="8">
        <v>3520687.732396102</v>
      </c>
      <c r="BQ3239" s="8">
        <v>-1757710.8640465676</v>
      </c>
      <c r="BR3239" s="8" t="str">
        <v>Yes</v>
      </c>
    </row>
    <row r="3240" spans="54:70" x14ac:dyDescent="0.2">
      <c r="BB3240" s="94"/>
      <c r="BL3240" s="8">
        <v>3191</v>
      </c>
      <c r="BM3240" s="8">
        <v>1709185.7484021969</v>
      </c>
      <c r="BN3240" s="8">
        <v>4474192.8302731914</v>
      </c>
      <c r="BO3240" s="8">
        <v>6183378.5786753884</v>
      </c>
      <c r="BP3240" s="8">
        <v>2442640.2988188807</v>
      </c>
      <c r="BQ3240" s="8">
        <v>-3740738.2798565077</v>
      </c>
      <c r="BR3240" s="8" t="str">
        <v>Yes</v>
      </c>
    </row>
    <row r="3241" spans="54:70" x14ac:dyDescent="0.2">
      <c r="BB3241" s="94"/>
      <c r="BL3241" s="8">
        <v>3192</v>
      </c>
      <c r="BM3241" s="8">
        <v>9389538.7708378881</v>
      </c>
      <c r="BN3241" s="8">
        <v>25768599.333137114</v>
      </c>
      <c r="BO3241" s="8">
        <v>35158138.103974998</v>
      </c>
      <c r="BP3241" s="8">
        <v>6271099.6660190569</v>
      </c>
      <c r="BQ3241" s="8">
        <v>-28887038.437955942</v>
      </c>
      <c r="BR3241" s="8" t="str">
        <v>Yes</v>
      </c>
    </row>
    <row r="3242" spans="54:70" x14ac:dyDescent="0.2">
      <c r="BB3242" s="94"/>
      <c r="BL3242" s="8">
        <v>3193</v>
      </c>
      <c r="BM3242" s="8">
        <v>2920166.5674968893</v>
      </c>
      <c r="BN3242" s="8">
        <v>2925986.6007243516</v>
      </c>
      <c r="BO3242" s="8">
        <v>5846153.1682212409</v>
      </c>
      <c r="BP3242" s="8">
        <v>2115971.8042288451</v>
      </c>
      <c r="BQ3242" s="8">
        <v>-3730181.3639923958</v>
      </c>
      <c r="BR3242" s="8" t="str">
        <v>Yes</v>
      </c>
    </row>
    <row r="3243" spans="54:70" x14ac:dyDescent="0.2">
      <c r="BB3243" s="94"/>
      <c r="BL3243" s="8">
        <v>3194</v>
      </c>
      <c r="BM3243" s="8">
        <v>2639272.3457727833</v>
      </c>
      <c r="BN3243" s="8">
        <v>1771150.5138358255</v>
      </c>
      <c r="BO3243" s="8">
        <v>4410422.8596086092</v>
      </c>
      <c r="BP3243" s="8">
        <v>3850082.2261171257</v>
      </c>
      <c r="BQ3243" s="8">
        <v>-560340.63349148352</v>
      </c>
      <c r="BR3243" s="8" t="str">
        <v>Yes</v>
      </c>
    </row>
    <row r="3244" spans="54:70" x14ac:dyDescent="0.2">
      <c r="BB3244" s="94"/>
      <c r="BL3244" s="8">
        <v>3195</v>
      </c>
      <c r="BM3244" s="8">
        <v>5831796.0224260986</v>
      </c>
      <c r="BN3244" s="8">
        <v>0</v>
      </c>
      <c r="BO3244" s="8">
        <v>5831796.0224260986</v>
      </c>
      <c r="BP3244" s="8">
        <v>6373055.7590091228</v>
      </c>
      <c r="BQ3244" s="8">
        <v>541259.73658302426</v>
      </c>
      <c r="BR3244" s="8" t="str">
        <v>No</v>
      </c>
    </row>
    <row r="3245" spans="54:70" x14ac:dyDescent="0.2">
      <c r="BB3245" s="94"/>
      <c r="BL3245" s="8">
        <v>3196</v>
      </c>
      <c r="BM3245" s="8">
        <v>3363288.2114715073</v>
      </c>
      <c r="BN3245" s="8">
        <v>2344834.7646597801</v>
      </c>
      <c r="BO3245" s="8">
        <v>5708122.9761312874</v>
      </c>
      <c r="BP3245" s="8">
        <v>6041461.8505005892</v>
      </c>
      <c r="BQ3245" s="8">
        <v>333338.87436930183</v>
      </c>
      <c r="BR3245" s="8" t="str">
        <v>No</v>
      </c>
    </row>
    <row r="3246" spans="54:70" x14ac:dyDescent="0.2">
      <c r="BB3246" s="94"/>
      <c r="BL3246" s="8">
        <v>3197</v>
      </c>
      <c r="BM3246" s="8">
        <v>3468503.8453774657</v>
      </c>
      <c r="BN3246" s="8">
        <v>4195895.5904754475</v>
      </c>
      <c r="BO3246" s="8">
        <v>7664399.4358529132</v>
      </c>
      <c r="BP3246" s="8">
        <v>2348316.7441313467</v>
      </c>
      <c r="BQ3246" s="8">
        <v>-5316082.691721566</v>
      </c>
      <c r="BR3246" s="8" t="str">
        <v>Yes</v>
      </c>
    </row>
    <row r="3247" spans="54:70" x14ac:dyDescent="0.2">
      <c r="BB3247" s="94"/>
      <c r="BL3247" s="8">
        <v>3198</v>
      </c>
      <c r="BM3247" s="8">
        <v>7576532.9790517557</v>
      </c>
      <c r="BN3247" s="8">
        <v>0</v>
      </c>
      <c r="BO3247" s="8">
        <v>7576532.9790517557</v>
      </c>
      <c r="BP3247" s="8">
        <v>6831444.9505323665</v>
      </c>
      <c r="BQ3247" s="8">
        <v>-745088.02851938922</v>
      </c>
      <c r="BR3247" s="8" t="str">
        <v>Yes</v>
      </c>
    </row>
    <row r="3248" spans="54:70" x14ac:dyDescent="0.2">
      <c r="BB3248" s="94"/>
      <c r="BL3248" s="8">
        <v>3199</v>
      </c>
      <c r="BM3248" s="8">
        <v>4174467.2021866059</v>
      </c>
      <c r="BN3248" s="8">
        <v>1821293.3656857568</v>
      </c>
      <c r="BO3248" s="8">
        <v>5995760.5678723622</v>
      </c>
      <c r="BP3248" s="8">
        <v>6335488.4984072447</v>
      </c>
      <c r="BQ3248" s="8">
        <v>339727.93053488247</v>
      </c>
      <c r="BR3248" s="8" t="str">
        <v>No</v>
      </c>
    </row>
    <row r="3249" spans="54:70" x14ac:dyDescent="0.2">
      <c r="BB3249" s="94"/>
      <c r="BL3249" s="8">
        <v>3200</v>
      </c>
      <c r="BM3249" s="8">
        <v>2151478.1401345078</v>
      </c>
      <c r="BN3249" s="8">
        <v>0</v>
      </c>
      <c r="BO3249" s="8">
        <v>2151478.1401345078</v>
      </c>
      <c r="BP3249" s="8">
        <v>3639919.0319063384</v>
      </c>
      <c r="BQ3249" s="8">
        <v>1488440.8917718306</v>
      </c>
      <c r="BR3249" s="8" t="str">
        <v>No</v>
      </c>
    </row>
    <row r="3250" spans="54:70" x14ac:dyDescent="0.2">
      <c r="BB3250" s="94"/>
      <c r="BL3250" s="8">
        <v>3201</v>
      </c>
      <c r="BM3250" s="8">
        <v>4365914.8626931524</v>
      </c>
      <c r="BN3250" s="8">
        <v>6871858.843093439</v>
      </c>
      <c r="BO3250" s="8">
        <v>11237773.705786591</v>
      </c>
      <c r="BP3250" s="8">
        <v>4388186.4656689893</v>
      </c>
      <c r="BQ3250" s="8">
        <v>-6849587.2401176021</v>
      </c>
      <c r="BR3250" s="8" t="str">
        <v>Yes</v>
      </c>
    </row>
    <row r="3251" spans="54:70" x14ac:dyDescent="0.2">
      <c r="BB3251" s="94"/>
      <c r="BL3251" s="8">
        <v>3202</v>
      </c>
      <c r="BM3251" s="8">
        <v>6104109.5457633398</v>
      </c>
      <c r="BN3251" s="8">
        <v>0</v>
      </c>
      <c r="BO3251" s="8">
        <v>6104109.5457633398</v>
      </c>
      <c r="BP3251" s="8">
        <v>6071978.916264588</v>
      </c>
      <c r="BQ3251" s="8">
        <v>-32130.629498751834</v>
      </c>
      <c r="BR3251" s="8" t="str">
        <v>Yes</v>
      </c>
    </row>
    <row r="3252" spans="54:70" x14ac:dyDescent="0.2">
      <c r="BB3252" s="94"/>
      <c r="BL3252" s="8">
        <v>3203</v>
      </c>
      <c r="BM3252" s="8">
        <v>2777095.3413893958</v>
      </c>
      <c r="BN3252" s="8">
        <v>0</v>
      </c>
      <c r="BO3252" s="8">
        <v>2777095.3413893958</v>
      </c>
      <c r="BP3252" s="8">
        <v>4444477.2193103628</v>
      </c>
      <c r="BQ3252" s="8">
        <v>1667381.8779209671</v>
      </c>
      <c r="BR3252" s="8" t="str">
        <v>No</v>
      </c>
    </row>
    <row r="3253" spans="54:70" x14ac:dyDescent="0.2">
      <c r="BB3253" s="94"/>
      <c r="BL3253" s="8">
        <v>3204</v>
      </c>
      <c r="BM3253" s="8">
        <v>5596713.918605051</v>
      </c>
      <c r="BN3253" s="8">
        <v>0</v>
      </c>
      <c r="BO3253" s="8">
        <v>5596713.918605051</v>
      </c>
      <c r="BP3253" s="8">
        <v>3146143.110163304</v>
      </c>
      <c r="BQ3253" s="8">
        <v>-2450570.808441747</v>
      </c>
      <c r="BR3253" s="8" t="str">
        <v>Yes</v>
      </c>
    </row>
    <row r="3254" spans="54:70" x14ac:dyDescent="0.2">
      <c r="BB3254" s="94"/>
      <c r="BL3254" s="8">
        <v>3205</v>
      </c>
      <c r="BM3254" s="8">
        <v>3542612.5456516491</v>
      </c>
      <c r="BN3254" s="8">
        <v>0</v>
      </c>
      <c r="BO3254" s="8">
        <v>3542612.5456516491</v>
      </c>
      <c r="BP3254" s="8">
        <v>6984225.1835867949</v>
      </c>
      <c r="BQ3254" s="8">
        <v>3441612.6379351458</v>
      </c>
      <c r="BR3254" s="8" t="str">
        <v>No</v>
      </c>
    </row>
    <row r="3255" spans="54:70" x14ac:dyDescent="0.2">
      <c r="BB3255" s="94"/>
      <c r="BL3255" s="8">
        <v>3206</v>
      </c>
      <c r="BM3255" s="8">
        <v>7282780.7448187368</v>
      </c>
      <c r="BN3255" s="8">
        <v>8596260.4712886848</v>
      </c>
      <c r="BO3255" s="8">
        <v>15879041.216107421</v>
      </c>
      <c r="BP3255" s="8">
        <v>3496411.4458027435</v>
      </c>
      <c r="BQ3255" s="8">
        <v>-12382629.770304676</v>
      </c>
      <c r="BR3255" s="8" t="str">
        <v>Yes</v>
      </c>
    </row>
    <row r="3256" spans="54:70" x14ac:dyDescent="0.2">
      <c r="BB3256" s="94"/>
      <c r="BL3256" s="8">
        <v>3207</v>
      </c>
      <c r="BM3256" s="8">
        <v>2406769.5081246221</v>
      </c>
      <c r="BN3256" s="8">
        <v>1361495.5156055824</v>
      </c>
      <c r="BO3256" s="8">
        <v>3768265.0237302044</v>
      </c>
      <c r="BP3256" s="8">
        <v>4584119.898135189</v>
      </c>
      <c r="BQ3256" s="8">
        <v>815854.87440498453</v>
      </c>
      <c r="BR3256" s="8" t="str">
        <v>No</v>
      </c>
    </row>
    <row r="3257" spans="54:70" x14ac:dyDescent="0.2">
      <c r="BB3257" s="94"/>
      <c r="BL3257" s="8">
        <v>3208</v>
      </c>
      <c r="BM3257" s="8">
        <v>2790542.0567174838</v>
      </c>
      <c r="BN3257" s="8">
        <v>1698379.8492623835</v>
      </c>
      <c r="BO3257" s="8">
        <v>4488921.9059798671</v>
      </c>
      <c r="BP3257" s="8">
        <v>5807292.8352151215</v>
      </c>
      <c r="BQ3257" s="8">
        <v>1318370.9292352544</v>
      </c>
      <c r="BR3257" s="8" t="str">
        <v>No</v>
      </c>
    </row>
    <row r="3258" spans="54:70" x14ac:dyDescent="0.2">
      <c r="BB3258" s="94"/>
      <c r="BL3258" s="8">
        <v>3209</v>
      </c>
      <c r="BM3258" s="8">
        <v>1983545.0825038778</v>
      </c>
      <c r="BN3258" s="8">
        <v>113733.87003687672</v>
      </c>
      <c r="BO3258" s="8">
        <v>2097278.9525407543</v>
      </c>
      <c r="BP3258" s="8">
        <v>4434560.7419180246</v>
      </c>
      <c r="BQ3258" s="8">
        <v>2337281.7893772703</v>
      </c>
      <c r="BR3258" s="8" t="str">
        <v>No</v>
      </c>
    </row>
    <row r="3259" spans="54:70" x14ac:dyDescent="0.2">
      <c r="BB3259" s="94"/>
      <c r="BL3259" s="8">
        <v>3210</v>
      </c>
      <c r="BM3259" s="8">
        <v>4598850.1978313597</v>
      </c>
      <c r="BN3259" s="8">
        <v>5772384.6394101745</v>
      </c>
      <c r="BO3259" s="8">
        <v>10371234.837241534</v>
      </c>
      <c r="BP3259" s="8">
        <v>2337891.949062949</v>
      </c>
      <c r="BQ3259" s="8">
        <v>-8033342.8881785851</v>
      </c>
      <c r="BR3259" s="8" t="str">
        <v>Yes</v>
      </c>
    </row>
    <row r="3260" spans="54:70" x14ac:dyDescent="0.2">
      <c r="BB3260" s="94"/>
      <c r="BL3260" s="8">
        <v>3211</v>
      </c>
      <c r="BM3260" s="8">
        <v>5635864.6268709376</v>
      </c>
      <c r="BN3260" s="8">
        <v>3360098.9359243512</v>
      </c>
      <c r="BO3260" s="8">
        <v>8995963.5627952889</v>
      </c>
      <c r="BP3260" s="8">
        <v>4051634.0981407389</v>
      </c>
      <c r="BQ3260" s="8">
        <v>-4944329.46465455</v>
      </c>
      <c r="BR3260" s="8" t="str">
        <v>Yes</v>
      </c>
    </row>
    <row r="3261" spans="54:70" x14ac:dyDescent="0.2">
      <c r="BB3261" s="94"/>
      <c r="BL3261" s="8">
        <v>3212</v>
      </c>
      <c r="BM3261" s="8">
        <v>3348639.9612944541</v>
      </c>
      <c r="BN3261" s="8">
        <v>0</v>
      </c>
      <c r="BO3261" s="8">
        <v>3348639.9612944541</v>
      </c>
      <c r="BP3261" s="8">
        <v>6459693.9547097702</v>
      </c>
      <c r="BQ3261" s="8">
        <v>3111053.9934153161</v>
      </c>
      <c r="BR3261" s="8" t="str">
        <v>No</v>
      </c>
    </row>
    <row r="3262" spans="54:70" x14ac:dyDescent="0.2">
      <c r="BB3262" s="94"/>
      <c r="BL3262" s="8">
        <v>3213</v>
      </c>
      <c r="BM3262" s="8">
        <v>4477683.1367978184</v>
      </c>
      <c r="BN3262" s="8">
        <v>0</v>
      </c>
      <c r="BO3262" s="8">
        <v>4477683.1367978184</v>
      </c>
      <c r="BP3262" s="8">
        <v>4261039.9919375377</v>
      </c>
      <c r="BQ3262" s="8">
        <v>-216643.14486028068</v>
      </c>
      <c r="BR3262" s="8" t="str">
        <v>Yes</v>
      </c>
    </row>
    <row r="3263" spans="54:70" x14ac:dyDescent="0.2">
      <c r="BB3263" s="94"/>
      <c r="BL3263" s="8">
        <v>3214</v>
      </c>
      <c r="BM3263" s="8">
        <v>4580781.9433228746</v>
      </c>
      <c r="BN3263" s="8">
        <v>0</v>
      </c>
      <c r="BO3263" s="8">
        <v>4580781.9433228746</v>
      </c>
      <c r="BP3263" s="8">
        <v>3365086.0737830894</v>
      </c>
      <c r="BQ3263" s="8">
        <v>-1215695.8695397852</v>
      </c>
      <c r="BR3263" s="8" t="str">
        <v>Yes</v>
      </c>
    </row>
    <row r="3264" spans="54:70" x14ac:dyDescent="0.2">
      <c r="BB3264" s="94"/>
      <c r="BL3264" s="8">
        <v>3215</v>
      </c>
      <c r="BM3264" s="8">
        <v>4405763.2770984489</v>
      </c>
      <c r="BN3264" s="8">
        <v>0</v>
      </c>
      <c r="BO3264" s="8">
        <v>4405763.2770984489</v>
      </c>
      <c r="BP3264" s="8">
        <v>4313598.4200724568</v>
      </c>
      <c r="BQ3264" s="8">
        <v>-92164.857025992125</v>
      </c>
      <c r="BR3264" s="8" t="str">
        <v>Yes</v>
      </c>
    </row>
    <row r="3265" spans="54:70" x14ac:dyDescent="0.2">
      <c r="BB3265" s="94"/>
      <c r="BL3265" s="8">
        <v>3216</v>
      </c>
      <c r="BM3265" s="8">
        <v>3648769.9538849527</v>
      </c>
      <c r="BN3265" s="8">
        <v>0</v>
      </c>
      <c r="BO3265" s="8">
        <v>3648769.9538849527</v>
      </c>
      <c r="BP3265" s="8">
        <v>2131251.224324917</v>
      </c>
      <c r="BQ3265" s="8">
        <v>-1517518.7295600357</v>
      </c>
      <c r="BR3265" s="8" t="str">
        <v>Yes</v>
      </c>
    </row>
    <row r="3266" spans="54:70" x14ac:dyDescent="0.2">
      <c r="BB3266" s="94"/>
      <c r="BL3266" s="8">
        <v>3217</v>
      </c>
      <c r="BM3266" s="8">
        <v>2682597.4481215822</v>
      </c>
      <c r="BN3266" s="8">
        <v>0</v>
      </c>
      <c r="BO3266" s="8">
        <v>2682597.4481215822</v>
      </c>
      <c r="BP3266" s="8">
        <v>2379006.3050383255</v>
      </c>
      <c r="BQ3266" s="8">
        <v>-303591.14308325667</v>
      </c>
      <c r="BR3266" s="8" t="str">
        <v>Yes</v>
      </c>
    </row>
    <row r="3267" spans="54:70" x14ac:dyDescent="0.2">
      <c r="BB3267" s="94"/>
      <c r="BL3267" s="8">
        <v>3218</v>
      </c>
      <c r="BM3267" s="8">
        <v>7470626.5361078978</v>
      </c>
      <c r="BN3267" s="8">
        <v>5902392.0501562096</v>
      </c>
      <c r="BO3267" s="8">
        <v>13373018.586264107</v>
      </c>
      <c r="BP3267" s="8">
        <v>6374099.8257629741</v>
      </c>
      <c r="BQ3267" s="8">
        <v>-6998918.7605011333</v>
      </c>
      <c r="BR3267" s="8" t="str">
        <v>Yes</v>
      </c>
    </row>
    <row r="3268" spans="54:70" x14ac:dyDescent="0.2">
      <c r="BB3268" s="94"/>
      <c r="BL3268" s="8">
        <v>3219</v>
      </c>
      <c r="BM3268" s="8">
        <v>2766177.6549523491</v>
      </c>
      <c r="BN3268" s="8">
        <v>547482.990029376</v>
      </c>
      <c r="BO3268" s="8">
        <v>3313660.6449817251</v>
      </c>
      <c r="BP3268" s="8">
        <v>6001993.0138963806</v>
      </c>
      <c r="BQ3268" s="8">
        <v>2688332.3689146554</v>
      </c>
      <c r="BR3268" s="8" t="str">
        <v>No</v>
      </c>
    </row>
    <row r="3269" spans="54:70" x14ac:dyDescent="0.2">
      <c r="BB3269" s="94"/>
      <c r="BL3269" s="8">
        <v>3220</v>
      </c>
      <c r="BM3269" s="8">
        <v>1628976.2363875159</v>
      </c>
      <c r="BN3269" s="8">
        <v>552481.5342437689</v>
      </c>
      <c r="BO3269" s="8">
        <v>2181457.7706312849</v>
      </c>
      <c r="BP3269" s="8">
        <v>3614019.8331985185</v>
      </c>
      <c r="BQ3269" s="8">
        <v>1432562.0625672336</v>
      </c>
      <c r="BR3269" s="8" t="str">
        <v>No</v>
      </c>
    </row>
    <row r="3270" spans="54:70" x14ac:dyDescent="0.2">
      <c r="BB3270" s="94"/>
      <c r="BL3270" s="8">
        <v>3221</v>
      </c>
      <c r="BM3270" s="8">
        <v>9641714.9296104107</v>
      </c>
      <c r="BN3270" s="8">
        <v>0</v>
      </c>
      <c r="BO3270" s="8">
        <v>9641714.9296104107</v>
      </c>
      <c r="BP3270" s="8">
        <v>3931618.7659245422</v>
      </c>
      <c r="BQ3270" s="8">
        <v>-5710096.1636858685</v>
      </c>
      <c r="BR3270" s="8" t="str">
        <v>Yes</v>
      </c>
    </row>
    <row r="3271" spans="54:70" x14ac:dyDescent="0.2">
      <c r="BB3271" s="94"/>
      <c r="BL3271" s="8">
        <v>3222</v>
      </c>
      <c r="BM3271" s="8">
        <v>3906544.2543944409</v>
      </c>
      <c r="BN3271" s="8">
        <v>0</v>
      </c>
      <c r="BO3271" s="8">
        <v>3906544.2543944409</v>
      </c>
      <c r="BP3271" s="8">
        <v>4342144.5631465726</v>
      </c>
      <c r="BQ3271" s="8">
        <v>435600.30875213165</v>
      </c>
      <c r="BR3271" s="8" t="str">
        <v>No</v>
      </c>
    </row>
    <row r="3272" spans="54:70" x14ac:dyDescent="0.2">
      <c r="BB3272" s="94"/>
      <c r="BL3272" s="8">
        <v>3223</v>
      </c>
      <c r="BM3272" s="8">
        <v>3948461.8786901534</v>
      </c>
      <c r="BN3272" s="8">
        <v>3137134.4101905315</v>
      </c>
      <c r="BO3272" s="8">
        <v>7085596.2888806853</v>
      </c>
      <c r="BP3272" s="8">
        <v>3505054.2085048882</v>
      </c>
      <c r="BQ3272" s="8">
        <v>-3580542.0803757971</v>
      </c>
      <c r="BR3272" s="8" t="str">
        <v>Yes</v>
      </c>
    </row>
    <row r="3273" spans="54:70" x14ac:dyDescent="0.2">
      <c r="BB3273" s="94"/>
      <c r="BL3273" s="8">
        <v>3224</v>
      </c>
      <c r="BM3273" s="8">
        <v>3482241.6109407563</v>
      </c>
      <c r="BN3273" s="8">
        <v>2364332.692272766</v>
      </c>
      <c r="BO3273" s="8">
        <v>5846574.3032135218</v>
      </c>
      <c r="BP3273" s="8">
        <v>6652878.6317349495</v>
      </c>
      <c r="BQ3273" s="8">
        <v>806304.3285214277</v>
      </c>
      <c r="BR3273" s="8" t="str">
        <v>No</v>
      </c>
    </row>
    <row r="3274" spans="54:70" x14ac:dyDescent="0.2">
      <c r="BB3274" s="94"/>
      <c r="BL3274" s="8">
        <v>3225</v>
      </c>
      <c r="BM3274" s="8">
        <v>2930779.4192319168</v>
      </c>
      <c r="BN3274" s="8">
        <v>563263.12636659481</v>
      </c>
      <c r="BO3274" s="8">
        <v>3494042.5455985116</v>
      </c>
      <c r="BP3274" s="8">
        <v>6110450.5224910052</v>
      </c>
      <c r="BQ3274" s="8">
        <v>2616407.9768924937</v>
      </c>
      <c r="BR3274" s="8" t="str">
        <v>No</v>
      </c>
    </row>
    <row r="3275" spans="54:70" x14ac:dyDescent="0.2">
      <c r="BB3275" s="94"/>
      <c r="BL3275" s="8">
        <v>3226</v>
      </c>
      <c r="BM3275" s="8">
        <v>5169289.0235787733</v>
      </c>
      <c r="BN3275" s="8">
        <v>7450941.1329786191</v>
      </c>
      <c r="BO3275" s="8">
        <v>12620230.156557392</v>
      </c>
      <c r="BP3275" s="8">
        <v>6113092.7189705214</v>
      </c>
      <c r="BQ3275" s="8">
        <v>-6507137.437586871</v>
      </c>
      <c r="BR3275" s="8" t="str">
        <v>Yes</v>
      </c>
    </row>
    <row r="3276" spans="54:70" x14ac:dyDescent="0.2">
      <c r="BB3276" s="94"/>
      <c r="BL3276" s="8">
        <v>3227</v>
      </c>
      <c r="BM3276" s="8">
        <v>3233582.6620051395</v>
      </c>
      <c r="BN3276" s="8">
        <v>1111971.6066219786</v>
      </c>
      <c r="BO3276" s="8">
        <v>4345554.2686271183</v>
      </c>
      <c r="BP3276" s="8">
        <v>4213774.0176039077</v>
      </c>
      <c r="BQ3276" s="8">
        <v>-131780.25102321059</v>
      </c>
      <c r="BR3276" s="8" t="str">
        <v>Yes</v>
      </c>
    </row>
    <row r="3277" spans="54:70" x14ac:dyDescent="0.2">
      <c r="BB3277" s="94"/>
      <c r="BL3277" s="8">
        <v>3228</v>
      </c>
      <c r="BM3277" s="8">
        <v>5955532.5117774364</v>
      </c>
      <c r="BN3277" s="8">
        <v>6004247.5780318314</v>
      </c>
      <c r="BO3277" s="8">
        <v>11959780.089809269</v>
      </c>
      <c r="BP3277" s="8">
        <v>3551904.227050175</v>
      </c>
      <c r="BQ3277" s="8">
        <v>-8407875.8627590947</v>
      </c>
      <c r="BR3277" s="8" t="str">
        <v>Yes</v>
      </c>
    </row>
    <row r="3278" spans="54:70" x14ac:dyDescent="0.2">
      <c r="BB3278" s="94"/>
      <c r="BL3278" s="8">
        <v>3229</v>
      </c>
      <c r="BM3278" s="8">
        <v>4265093.3572873501</v>
      </c>
      <c r="BN3278" s="8">
        <v>0</v>
      </c>
      <c r="BO3278" s="8">
        <v>4265093.3572873501</v>
      </c>
      <c r="BP3278" s="8">
        <v>2428787.2389398455</v>
      </c>
      <c r="BQ3278" s="8">
        <v>-1836306.1183475046</v>
      </c>
      <c r="BR3278" s="8" t="str">
        <v>Yes</v>
      </c>
    </row>
    <row r="3279" spans="54:70" x14ac:dyDescent="0.2">
      <c r="BB3279" s="94"/>
      <c r="BL3279" s="8">
        <v>3230</v>
      </c>
      <c r="BM3279" s="8">
        <v>3458137.4981072005</v>
      </c>
      <c r="BN3279" s="8">
        <v>0</v>
      </c>
      <c r="BO3279" s="8">
        <v>3458137.4981072005</v>
      </c>
      <c r="BP3279" s="8">
        <v>2257769.3705853024</v>
      </c>
      <c r="BQ3279" s="8">
        <v>-1200368.1275218981</v>
      </c>
      <c r="BR3279" s="8" t="str">
        <v>Yes</v>
      </c>
    </row>
    <row r="3280" spans="54:70" x14ac:dyDescent="0.2">
      <c r="BB3280" s="94"/>
      <c r="BL3280" s="8">
        <v>3231</v>
      </c>
      <c r="BM3280" s="8">
        <v>3496435.7902064538</v>
      </c>
      <c r="BN3280" s="8">
        <v>0</v>
      </c>
      <c r="BO3280" s="8">
        <v>3496435.7902064538</v>
      </c>
      <c r="BP3280" s="8">
        <v>2376279.1231826991</v>
      </c>
      <c r="BQ3280" s="8">
        <v>-1120156.6670237547</v>
      </c>
      <c r="BR3280" s="8" t="str">
        <v>Yes</v>
      </c>
    </row>
    <row r="3281" spans="54:70" x14ac:dyDescent="0.2">
      <c r="BB3281" s="94"/>
      <c r="BL3281" s="8">
        <v>3232</v>
      </c>
      <c r="BM3281" s="8">
        <v>6865968.3125673132</v>
      </c>
      <c r="BN3281" s="8">
        <v>0</v>
      </c>
      <c r="BO3281" s="8">
        <v>6865968.3125673132</v>
      </c>
      <c r="BP3281" s="8">
        <v>6588334.9563849708</v>
      </c>
      <c r="BQ3281" s="8">
        <v>-277633.3561823424</v>
      </c>
      <c r="BR3281" s="8" t="str">
        <v>Yes</v>
      </c>
    </row>
    <row r="3282" spans="54:70" x14ac:dyDescent="0.2">
      <c r="BB3282" s="94"/>
      <c r="BL3282" s="8">
        <v>3233</v>
      </c>
      <c r="BM3282" s="8">
        <v>2844580.6150350273</v>
      </c>
      <c r="BN3282" s="8">
        <v>2220003.2489156658</v>
      </c>
      <c r="BO3282" s="8">
        <v>5064583.863950693</v>
      </c>
      <c r="BP3282" s="8">
        <v>2440102.3344446942</v>
      </c>
      <c r="BQ3282" s="8">
        <v>-2624481.5295059988</v>
      </c>
      <c r="BR3282" s="8" t="str">
        <v>Yes</v>
      </c>
    </row>
    <row r="3283" spans="54:70" x14ac:dyDescent="0.2">
      <c r="BB3283" s="94"/>
      <c r="BL3283" s="8">
        <v>3234</v>
      </c>
      <c r="BM3283" s="8">
        <v>7580101.3714158926</v>
      </c>
      <c r="BN3283" s="8">
        <v>0</v>
      </c>
      <c r="BO3283" s="8">
        <v>7580101.3714158926</v>
      </c>
      <c r="BP3283" s="8">
        <v>6599387.7724125814</v>
      </c>
      <c r="BQ3283" s="8">
        <v>-980713.59900331125</v>
      </c>
      <c r="BR3283" s="8" t="str">
        <v>Yes</v>
      </c>
    </row>
    <row r="3284" spans="54:70" x14ac:dyDescent="0.2">
      <c r="BB3284" s="94"/>
      <c r="BL3284" s="8">
        <v>3235</v>
      </c>
      <c r="BM3284" s="8">
        <v>1442729.2851102189</v>
      </c>
      <c r="BN3284" s="8">
        <v>1049837.4849175315</v>
      </c>
      <c r="BO3284" s="8">
        <v>2492566.7700277502</v>
      </c>
      <c r="BP3284" s="8">
        <v>3570138.6013373202</v>
      </c>
      <c r="BQ3284" s="8">
        <v>1077571.83130957</v>
      </c>
      <c r="BR3284" s="8" t="str">
        <v>No</v>
      </c>
    </row>
    <row r="3285" spans="54:70" x14ac:dyDescent="0.2">
      <c r="BB3285" s="94"/>
      <c r="BL3285" s="8">
        <v>3236</v>
      </c>
      <c r="BM3285" s="8">
        <v>4476193.0942240115</v>
      </c>
      <c r="BN3285" s="8">
        <v>4171053.7790517658</v>
      </c>
      <c r="BO3285" s="8">
        <v>8647246.8732757773</v>
      </c>
      <c r="BP3285" s="8">
        <v>4349026.2469843896</v>
      </c>
      <c r="BQ3285" s="8">
        <v>-4298220.6262913877</v>
      </c>
      <c r="BR3285" s="8" t="str">
        <v>Yes</v>
      </c>
    </row>
    <row r="3286" spans="54:70" x14ac:dyDescent="0.2">
      <c r="BB3286" s="94"/>
      <c r="BL3286" s="8">
        <v>3237</v>
      </c>
      <c r="BM3286" s="8">
        <v>1512471.7950060114</v>
      </c>
      <c r="BN3286" s="8">
        <v>0</v>
      </c>
      <c r="BO3286" s="8">
        <v>1512471.7950060114</v>
      </c>
      <c r="BP3286" s="8">
        <v>2402284.8226059126</v>
      </c>
      <c r="BQ3286" s="8">
        <v>889813.02759990119</v>
      </c>
      <c r="BR3286" s="8" t="str">
        <v>No</v>
      </c>
    </row>
    <row r="3287" spans="54:70" x14ac:dyDescent="0.2">
      <c r="BB3287" s="94"/>
      <c r="BL3287" s="8">
        <v>3238</v>
      </c>
      <c r="BM3287" s="8">
        <v>1719094.160868146</v>
      </c>
      <c r="BN3287" s="8">
        <v>0</v>
      </c>
      <c r="BO3287" s="8">
        <v>1719094.160868146</v>
      </c>
      <c r="BP3287" s="8">
        <v>3358765.7008779719</v>
      </c>
      <c r="BQ3287" s="8">
        <v>1639671.540009826</v>
      </c>
      <c r="BR3287" s="8" t="str">
        <v>No</v>
      </c>
    </row>
    <row r="3288" spans="54:70" x14ac:dyDescent="0.2">
      <c r="BB3288" s="94"/>
      <c r="BL3288" s="8">
        <v>3239</v>
      </c>
      <c r="BM3288" s="8">
        <v>6954744.5616578422</v>
      </c>
      <c r="BN3288" s="8">
        <v>7618130.5104129063</v>
      </c>
      <c r="BO3288" s="8">
        <v>14572875.072070748</v>
      </c>
      <c r="BP3288" s="8">
        <v>3335597.7883193307</v>
      </c>
      <c r="BQ3288" s="8">
        <v>-11237277.283751417</v>
      </c>
      <c r="BR3288" s="8" t="str">
        <v>Yes</v>
      </c>
    </row>
    <row r="3289" spans="54:70" x14ac:dyDescent="0.2">
      <c r="BB3289" s="94"/>
      <c r="BL3289" s="8">
        <v>3240</v>
      </c>
      <c r="BM3289" s="8">
        <v>6811776.2297388166</v>
      </c>
      <c r="BN3289" s="8">
        <v>0</v>
      </c>
      <c r="BO3289" s="8">
        <v>6811776.2297388166</v>
      </c>
      <c r="BP3289" s="8">
        <v>3179413.6791407662</v>
      </c>
      <c r="BQ3289" s="8">
        <v>-3632362.5505980505</v>
      </c>
      <c r="BR3289" s="8" t="str">
        <v>Yes</v>
      </c>
    </row>
    <row r="3290" spans="54:70" x14ac:dyDescent="0.2">
      <c r="BB3290" s="94"/>
      <c r="BL3290" s="8">
        <v>3241</v>
      </c>
      <c r="BM3290" s="8">
        <v>2447986.1300943969</v>
      </c>
      <c r="BN3290" s="8">
        <v>0</v>
      </c>
      <c r="BO3290" s="8">
        <v>2447986.1300943969</v>
      </c>
      <c r="BP3290" s="8">
        <v>2224281.5219365419</v>
      </c>
      <c r="BQ3290" s="8">
        <v>-223704.60815785499</v>
      </c>
      <c r="BR3290" s="8" t="str">
        <v>Yes</v>
      </c>
    </row>
    <row r="3291" spans="54:70" x14ac:dyDescent="0.2">
      <c r="BB3291" s="94"/>
      <c r="BL3291" s="8">
        <v>3242</v>
      </c>
      <c r="BM3291" s="8">
        <v>8464645.8938407339</v>
      </c>
      <c r="BN3291" s="8">
        <v>0</v>
      </c>
      <c r="BO3291" s="8">
        <v>8464645.8938407339</v>
      </c>
      <c r="BP3291" s="8">
        <v>2277100.5040545408</v>
      </c>
      <c r="BQ3291" s="8">
        <v>-6187545.3897861931</v>
      </c>
      <c r="BR3291" s="8" t="str">
        <v>Yes</v>
      </c>
    </row>
    <row r="3292" spans="54:70" x14ac:dyDescent="0.2">
      <c r="BB3292" s="94"/>
      <c r="BL3292" s="8">
        <v>3243</v>
      </c>
      <c r="BM3292" s="8">
        <v>5712760.4347887309</v>
      </c>
      <c r="BN3292" s="8">
        <v>0</v>
      </c>
      <c r="BO3292" s="8">
        <v>5712760.4347887309</v>
      </c>
      <c r="BP3292" s="8">
        <v>4492884.6484343344</v>
      </c>
      <c r="BQ3292" s="8">
        <v>-1219875.7863543965</v>
      </c>
      <c r="BR3292" s="8" t="str">
        <v>Yes</v>
      </c>
    </row>
    <row r="3293" spans="54:70" x14ac:dyDescent="0.2">
      <c r="BB3293" s="94"/>
      <c r="BL3293" s="8">
        <v>3244</v>
      </c>
      <c r="BM3293" s="8">
        <v>5076618.3580792891</v>
      </c>
      <c r="BN3293" s="8">
        <v>0</v>
      </c>
      <c r="BO3293" s="8">
        <v>5076618.3580792891</v>
      </c>
      <c r="BP3293" s="8">
        <v>2335321.3267881693</v>
      </c>
      <c r="BQ3293" s="8">
        <v>-2741297.0312911198</v>
      </c>
      <c r="BR3293" s="8" t="str">
        <v>Yes</v>
      </c>
    </row>
    <row r="3294" spans="54:70" x14ac:dyDescent="0.2">
      <c r="BB3294" s="94"/>
      <c r="BL3294" s="8">
        <v>3245</v>
      </c>
      <c r="BM3294" s="8">
        <v>3984248.4273976083</v>
      </c>
      <c r="BN3294" s="8">
        <v>0</v>
      </c>
      <c r="BO3294" s="8">
        <v>3984248.4273976083</v>
      </c>
      <c r="BP3294" s="8">
        <v>5749137.2910804786</v>
      </c>
      <c r="BQ3294" s="8">
        <v>1764888.8636828703</v>
      </c>
      <c r="BR3294" s="8" t="str">
        <v>No</v>
      </c>
    </row>
    <row r="3295" spans="54:70" x14ac:dyDescent="0.2">
      <c r="BB3295" s="94"/>
      <c r="BL3295" s="8">
        <v>3246</v>
      </c>
      <c r="BM3295" s="8">
        <v>2097798.1621035812</v>
      </c>
      <c r="BN3295" s="8">
        <v>789361.30977089552</v>
      </c>
      <c r="BO3295" s="8">
        <v>2887159.4718744769</v>
      </c>
      <c r="BP3295" s="8">
        <v>4068448.9049210539</v>
      </c>
      <c r="BQ3295" s="8">
        <v>1181289.433046577</v>
      </c>
      <c r="BR3295" s="8" t="str">
        <v>No</v>
      </c>
    </row>
    <row r="3296" spans="54:70" x14ac:dyDescent="0.2">
      <c r="BB3296" s="94"/>
      <c r="BL3296" s="8">
        <v>3247</v>
      </c>
      <c r="BM3296" s="8">
        <v>1370882.0427158144</v>
      </c>
      <c r="BN3296" s="8">
        <v>737274.40405505104</v>
      </c>
      <c r="BO3296" s="8">
        <v>2108156.4467708655</v>
      </c>
      <c r="BP3296" s="8">
        <v>3761880.7771244501</v>
      </c>
      <c r="BQ3296" s="8">
        <v>1653724.3303535846</v>
      </c>
      <c r="BR3296" s="8" t="str">
        <v>No</v>
      </c>
    </row>
    <row r="3297" spans="54:70" x14ac:dyDescent="0.2">
      <c r="BB3297" s="94"/>
      <c r="BL3297" s="8">
        <v>3248</v>
      </c>
      <c r="BM3297" s="8">
        <v>5691686.3875743374</v>
      </c>
      <c r="BN3297" s="8">
        <v>3256577.8320842749</v>
      </c>
      <c r="BO3297" s="8">
        <v>8948264.2196586132</v>
      </c>
      <c r="BP3297" s="8">
        <v>6426880.0447991127</v>
      </c>
      <c r="BQ3297" s="8">
        <v>-2521384.1748595005</v>
      </c>
      <c r="BR3297" s="8" t="str">
        <v>Yes</v>
      </c>
    </row>
    <row r="3298" spans="54:70" x14ac:dyDescent="0.2">
      <c r="BB3298" s="94"/>
      <c r="BL3298" s="8">
        <v>3249</v>
      </c>
      <c r="BM3298" s="8">
        <v>4644035.6837729504</v>
      </c>
      <c r="BN3298" s="8">
        <v>0</v>
      </c>
      <c r="BO3298" s="8">
        <v>4644035.6837729504</v>
      </c>
      <c r="BP3298" s="8">
        <v>6492672.6286763381</v>
      </c>
      <c r="BQ3298" s="8">
        <v>1848636.9449033877</v>
      </c>
      <c r="BR3298" s="8" t="str">
        <v>No</v>
      </c>
    </row>
    <row r="3299" spans="54:70" x14ac:dyDescent="0.2">
      <c r="BB3299" s="94"/>
      <c r="BL3299" s="8">
        <v>3250</v>
      </c>
      <c r="BM3299" s="8">
        <v>6314241.8309478797</v>
      </c>
      <c r="BN3299" s="8">
        <v>5463325.9053994548</v>
      </c>
      <c r="BO3299" s="8">
        <v>11777567.736347334</v>
      </c>
      <c r="BP3299" s="8">
        <v>3615315.0342534324</v>
      </c>
      <c r="BQ3299" s="8">
        <v>-8162252.702093902</v>
      </c>
      <c r="BR3299" s="8" t="str">
        <v>Yes</v>
      </c>
    </row>
    <row r="3300" spans="54:70" x14ac:dyDescent="0.2">
      <c r="BB3300" s="94"/>
      <c r="BL3300" s="8">
        <v>3251</v>
      </c>
      <c r="BM3300" s="8">
        <v>1825840.5626651596</v>
      </c>
      <c r="BN3300" s="8">
        <v>256709.27636923204</v>
      </c>
      <c r="BO3300" s="8">
        <v>2082549.8390343916</v>
      </c>
      <c r="BP3300" s="8">
        <v>5716482.3798297821</v>
      </c>
      <c r="BQ3300" s="8">
        <v>3633932.5407953905</v>
      </c>
      <c r="BR3300" s="8" t="str">
        <v>No</v>
      </c>
    </row>
    <row r="3301" spans="54:70" x14ac:dyDescent="0.2">
      <c r="BB3301" s="94"/>
      <c r="BL3301" s="8">
        <v>3252</v>
      </c>
      <c r="BM3301" s="8">
        <v>9003814.9374987017</v>
      </c>
      <c r="BN3301" s="8">
        <v>9970823.6653468423</v>
      </c>
      <c r="BO3301" s="8">
        <v>18974638.602845542</v>
      </c>
      <c r="BP3301" s="8">
        <v>6005999.7386629004</v>
      </c>
      <c r="BQ3301" s="8">
        <v>-12968638.864182642</v>
      </c>
      <c r="BR3301" s="8" t="str">
        <v>Yes</v>
      </c>
    </row>
    <row r="3302" spans="54:70" x14ac:dyDescent="0.2">
      <c r="BB3302" s="94"/>
      <c r="BL3302" s="8">
        <v>3253</v>
      </c>
      <c r="BM3302" s="8">
        <v>2316218.3354103668</v>
      </c>
      <c r="BN3302" s="8">
        <v>0</v>
      </c>
      <c r="BO3302" s="8">
        <v>2316218.3354103668</v>
      </c>
      <c r="BP3302" s="8">
        <v>2203436.7765688691</v>
      </c>
      <c r="BQ3302" s="8">
        <v>-112781.55884149764</v>
      </c>
      <c r="BR3302" s="8" t="str">
        <v>Yes</v>
      </c>
    </row>
    <row r="3303" spans="54:70" x14ac:dyDescent="0.2">
      <c r="BB3303" s="94"/>
      <c r="BL3303" s="8">
        <v>3254</v>
      </c>
      <c r="BM3303" s="8">
        <v>3966046.365287907</v>
      </c>
      <c r="BN3303" s="8">
        <v>1768042.3488911276</v>
      </c>
      <c r="BO3303" s="8">
        <v>5734088.7141790343</v>
      </c>
      <c r="BP3303" s="8">
        <v>2270005.2387994882</v>
      </c>
      <c r="BQ3303" s="8">
        <v>-3464083.4753795462</v>
      </c>
      <c r="BR3303" s="8" t="str">
        <v>Yes</v>
      </c>
    </row>
    <row r="3304" spans="54:70" x14ac:dyDescent="0.2">
      <c r="BB3304" s="94"/>
      <c r="BL3304" s="8">
        <v>3255</v>
      </c>
      <c r="BM3304" s="8">
        <v>18127469.589723937</v>
      </c>
      <c r="BN3304" s="8">
        <v>12291244.459687488</v>
      </c>
      <c r="BO3304" s="8">
        <v>30418714.049411424</v>
      </c>
      <c r="BP3304" s="8">
        <v>4420011.4387038713</v>
      </c>
      <c r="BQ3304" s="8">
        <v>-25998702.610707551</v>
      </c>
      <c r="BR3304" s="8" t="str">
        <v>Yes</v>
      </c>
    </row>
    <row r="3305" spans="54:70" x14ac:dyDescent="0.2">
      <c r="BB3305" s="94"/>
      <c r="BL3305" s="8">
        <v>3256</v>
      </c>
      <c r="BM3305" s="8">
        <v>1824104.2254431406</v>
      </c>
      <c r="BN3305" s="8">
        <v>283168.09324840264</v>
      </c>
      <c r="BO3305" s="8">
        <v>2107272.3186915433</v>
      </c>
      <c r="BP3305" s="8">
        <v>6391313.6735593937</v>
      </c>
      <c r="BQ3305" s="8">
        <v>4284041.3548678504</v>
      </c>
      <c r="BR3305" s="8" t="str">
        <v>No</v>
      </c>
    </row>
    <row r="3306" spans="54:70" x14ac:dyDescent="0.2">
      <c r="BB3306" s="94"/>
      <c r="BL3306" s="8">
        <v>3257</v>
      </c>
      <c r="BM3306" s="8">
        <v>10800593.249677919</v>
      </c>
      <c r="BN3306" s="8">
        <v>4407704.102348052</v>
      </c>
      <c r="BO3306" s="8">
        <v>15208297.352025971</v>
      </c>
      <c r="BP3306" s="8">
        <v>2346386.6892735013</v>
      </c>
      <c r="BQ3306" s="8">
        <v>-12861910.66275247</v>
      </c>
      <c r="BR3306" s="8" t="str">
        <v>Yes</v>
      </c>
    </row>
    <row r="3307" spans="54:70" x14ac:dyDescent="0.2">
      <c r="BB3307" s="94"/>
      <c r="BL3307" s="8">
        <v>3258</v>
      </c>
      <c r="BM3307" s="8">
        <v>3269180.9722511386</v>
      </c>
      <c r="BN3307" s="8">
        <v>0</v>
      </c>
      <c r="BO3307" s="8">
        <v>3269180.9722511386</v>
      </c>
      <c r="BP3307" s="8">
        <v>2511054.5291072009</v>
      </c>
      <c r="BQ3307" s="8">
        <v>-758126.44314393774</v>
      </c>
      <c r="BR3307" s="8" t="str">
        <v>Yes</v>
      </c>
    </row>
    <row r="3308" spans="54:70" x14ac:dyDescent="0.2">
      <c r="BB3308" s="94"/>
      <c r="BL3308" s="8">
        <v>3259</v>
      </c>
      <c r="BM3308" s="8">
        <v>3840275.4749203436</v>
      </c>
      <c r="BN3308" s="8">
        <v>3265366.8417356238</v>
      </c>
      <c r="BO3308" s="8">
        <v>7105642.3166559674</v>
      </c>
      <c r="BP3308" s="8">
        <v>3501074.6204165886</v>
      </c>
      <c r="BQ3308" s="8">
        <v>-3604567.6962393788</v>
      </c>
      <c r="BR3308" s="8" t="str">
        <v>Yes</v>
      </c>
    </row>
    <row r="3309" spans="54:70" x14ac:dyDescent="0.2">
      <c r="BB3309" s="94"/>
      <c r="BL3309" s="8">
        <v>3260</v>
      </c>
      <c r="BM3309" s="8">
        <v>4532048.0818553828</v>
      </c>
      <c r="BN3309" s="8">
        <v>3627389.2161558969</v>
      </c>
      <c r="BO3309" s="8">
        <v>8159437.2980112797</v>
      </c>
      <c r="BP3309" s="8">
        <v>6627786.9175338503</v>
      </c>
      <c r="BQ3309" s="8">
        <v>-1531650.3804774294</v>
      </c>
      <c r="BR3309" s="8" t="str">
        <v>Yes</v>
      </c>
    </row>
    <row r="3310" spans="54:70" x14ac:dyDescent="0.2">
      <c r="BB3310" s="94"/>
      <c r="BL3310" s="8">
        <v>3261</v>
      </c>
      <c r="BM3310" s="8">
        <v>3096643.2620476624</v>
      </c>
      <c r="BN3310" s="8">
        <v>637808.07235135476</v>
      </c>
      <c r="BO3310" s="8">
        <v>3734451.334399017</v>
      </c>
      <c r="BP3310" s="8">
        <v>3315544.6856611571</v>
      </c>
      <c r="BQ3310" s="8">
        <v>-418906.64873785991</v>
      </c>
      <c r="BR3310" s="8" t="str">
        <v>Yes</v>
      </c>
    </row>
    <row r="3311" spans="54:70" x14ac:dyDescent="0.2">
      <c r="BB3311" s="94"/>
      <c r="BL3311" s="8">
        <v>3262</v>
      </c>
      <c r="BM3311" s="8">
        <v>3225028.3003587266</v>
      </c>
      <c r="BN3311" s="8">
        <v>2571628.4590522521</v>
      </c>
      <c r="BO3311" s="8">
        <v>5796656.7594109792</v>
      </c>
      <c r="BP3311" s="8">
        <v>6091291.9090707097</v>
      </c>
      <c r="BQ3311" s="8">
        <v>294635.14965973049</v>
      </c>
      <c r="BR3311" s="8" t="str">
        <v>No</v>
      </c>
    </row>
    <row r="3312" spans="54:70" x14ac:dyDescent="0.2">
      <c r="BB3312" s="94"/>
      <c r="BL3312" s="8">
        <v>3263</v>
      </c>
      <c r="BM3312" s="8">
        <v>3785412.0223429892</v>
      </c>
      <c r="BN3312" s="8">
        <v>1991172.1267814289</v>
      </c>
      <c r="BO3312" s="8">
        <v>5776584.1491244184</v>
      </c>
      <c r="BP3312" s="8">
        <v>3407876.8869398087</v>
      </c>
      <c r="BQ3312" s="8">
        <v>-2368707.2621846097</v>
      </c>
      <c r="BR3312" s="8" t="str">
        <v>Yes</v>
      </c>
    </row>
    <row r="3313" spans="54:70" x14ac:dyDescent="0.2">
      <c r="BB3313" s="94"/>
      <c r="BL3313" s="8">
        <v>3264</v>
      </c>
      <c r="BM3313" s="8">
        <v>6944159.5652089389</v>
      </c>
      <c r="BN3313" s="8">
        <v>4835917.7740738485</v>
      </c>
      <c r="BO3313" s="8">
        <v>11780077.339282788</v>
      </c>
      <c r="BP3313" s="8">
        <v>6309934.5613858132</v>
      </c>
      <c r="BQ3313" s="8">
        <v>-5470142.7778969752</v>
      </c>
      <c r="BR3313" s="8" t="str">
        <v>Yes</v>
      </c>
    </row>
    <row r="3314" spans="54:70" x14ac:dyDescent="0.2">
      <c r="BB3314" s="94"/>
      <c r="BL3314" s="8">
        <v>3265</v>
      </c>
      <c r="BM3314" s="8">
        <v>5132394.8023140803</v>
      </c>
      <c r="BN3314" s="8">
        <v>0</v>
      </c>
      <c r="BO3314" s="8">
        <v>5132394.8023140803</v>
      </c>
      <c r="BP3314" s="8">
        <v>4290065.0357416626</v>
      </c>
      <c r="BQ3314" s="8">
        <v>-842329.76657241769</v>
      </c>
      <c r="BR3314" s="8" t="str">
        <v>Yes</v>
      </c>
    </row>
    <row r="3315" spans="54:70" x14ac:dyDescent="0.2">
      <c r="BB3315" s="94"/>
      <c r="BL3315" s="8">
        <v>3266</v>
      </c>
      <c r="BM3315" s="8">
        <v>4167795.2386003775</v>
      </c>
      <c r="BN3315" s="8">
        <v>2151914.5294710714</v>
      </c>
      <c r="BO3315" s="8">
        <v>6319709.7680714484</v>
      </c>
      <c r="BP3315" s="8">
        <v>5742921.9409224037</v>
      </c>
      <c r="BQ3315" s="8">
        <v>-576787.82714904472</v>
      </c>
      <c r="BR3315" s="8" t="str">
        <v>Yes</v>
      </c>
    </row>
    <row r="3316" spans="54:70" x14ac:dyDescent="0.2">
      <c r="BB3316" s="94"/>
      <c r="BL3316" s="8">
        <v>3267</v>
      </c>
      <c r="BM3316" s="8">
        <v>6376152.2287352458</v>
      </c>
      <c r="BN3316" s="8">
        <v>0</v>
      </c>
      <c r="BO3316" s="8">
        <v>6376152.2287352458</v>
      </c>
      <c r="BP3316" s="8">
        <v>6186823.2827674001</v>
      </c>
      <c r="BQ3316" s="8">
        <v>-189328.94596784562</v>
      </c>
      <c r="BR3316" s="8" t="str">
        <v>Yes</v>
      </c>
    </row>
    <row r="3317" spans="54:70" x14ac:dyDescent="0.2">
      <c r="BB3317" s="94"/>
      <c r="BL3317" s="8">
        <v>3268</v>
      </c>
      <c r="BM3317" s="8">
        <v>3805643.31555962</v>
      </c>
      <c r="BN3317" s="8">
        <v>0</v>
      </c>
      <c r="BO3317" s="8">
        <v>3805643.31555962</v>
      </c>
      <c r="BP3317" s="8">
        <v>3363871.9539724113</v>
      </c>
      <c r="BQ3317" s="8">
        <v>-441771.3615872087</v>
      </c>
      <c r="BR3317" s="8" t="str">
        <v>Yes</v>
      </c>
    </row>
    <row r="3318" spans="54:70" x14ac:dyDescent="0.2">
      <c r="BB3318" s="94"/>
      <c r="BL3318" s="8">
        <v>3269</v>
      </c>
      <c r="BM3318" s="8">
        <v>5232151.3515104968</v>
      </c>
      <c r="BN3318" s="8">
        <v>0</v>
      </c>
      <c r="BO3318" s="8">
        <v>5232151.3515104968</v>
      </c>
      <c r="BP3318" s="8">
        <v>6335036.8304328341</v>
      </c>
      <c r="BQ3318" s="8">
        <v>1102885.4789223373</v>
      </c>
      <c r="BR3318" s="8" t="str">
        <v>No</v>
      </c>
    </row>
    <row r="3319" spans="54:70" x14ac:dyDescent="0.2">
      <c r="BB3319" s="94"/>
      <c r="BL3319" s="8">
        <v>3270</v>
      </c>
      <c r="BM3319" s="8">
        <v>2528940.3656278946</v>
      </c>
      <c r="BN3319" s="8">
        <v>2514896.2612463697</v>
      </c>
      <c r="BO3319" s="8">
        <v>5043836.6268742643</v>
      </c>
      <c r="BP3319" s="8">
        <v>2462189.7544889138</v>
      </c>
      <c r="BQ3319" s="8">
        <v>-2581646.8723853505</v>
      </c>
      <c r="BR3319" s="8" t="str">
        <v>Yes</v>
      </c>
    </row>
    <row r="3320" spans="54:70" x14ac:dyDescent="0.2">
      <c r="BB3320" s="94"/>
      <c r="BL3320" s="8">
        <v>3271</v>
      </c>
      <c r="BM3320" s="8">
        <v>6956282.8583076708</v>
      </c>
      <c r="BN3320" s="8">
        <v>10171338.35565955</v>
      </c>
      <c r="BO3320" s="8">
        <v>17127621.213967219</v>
      </c>
      <c r="BP3320" s="8">
        <v>2278557.6967068859</v>
      </c>
      <c r="BQ3320" s="8">
        <v>-14849063.517260334</v>
      </c>
      <c r="BR3320" s="8" t="str">
        <v>Yes</v>
      </c>
    </row>
    <row r="3321" spans="54:70" x14ac:dyDescent="0.2">
      <c r="BB3321" s="94"/>
      <c r="BL3321" s="8">
        <v>3272</v>
      </c>
      <c r="BM3321" s="8">
        <v>2850786.3414244782</v>
      </c>
      <c r="BN3321" s="8">
        <v>1362333.7639686451</v>
      </c>
      <c r="BO3321" s="8">
        <v>4213120.1053931229</v>
      </c>
      <c r="BP3321" s="8">
        <v>4045310.1969829262</v>
      </c>
      <c r="BQ3321" s="8">
        <v>-167809.90841019666</v>
      </c>
      <c r="BR3321" s="8" t="str">
        <v>Yes</v>
      </c>
    </row>
    <row r="3322" spans="54:70" x14ac:dyDescent="0.2">
      <c r="BB3322" s="94"/>
      <c r="BL3322" s="8">
        <v>3273</v>
      </c>
      <c r="BM3322" s="8">
        <v>3166927.9871901283</v>
      </c>
      <c r="BN3322" s="8">
        <v>2466570.9360909257</v>
      </c>
      <c r="BO3322" s="8">
        <v>5633498.923281054</v>
      </c>
      <c r="BP3322" s="8">
        <v>3464630.0844229362</v>
      </c>
      <c r="BQ3322" s="8">
        <v>-2168868.8388581178</v>
      </c>
      <c r="BR3322" s="8" t="str">
        <v>Yes</v>
      </c>
    </row>
    <row r="3323" spans="54:70" x14ac:dyDescent="0.2">
      <c r="BB3323" s="94"/>
      <c r="BL3323" s="8">
        <v>3274</v>
      </c>
      <c r="BM3323" s="8">
        <v>8615555.3110794984</v>
      </c>
      <c r="BN3323" s="8">
        <v>0</v>
      </c>
      <c r="BO3323" s="8">
        <v>8615555.3110794984</v>
      </c>
      <c r="BP3323" s="8">
        <v>6462249.2860272676</v>
      </c>
      <c r="BQ3323" s="8">
        <v>-2153306.0250522308</v>
      </c>
      <c r="BR3323" s="8" t="str">
        <v>Yes</v>
      </c>
    </row>
    <row r="3324" spans="54:70" x14ac:dyDescent="0.2">
      <c r="BB3324" s="94"/>
      <c r="BL3324" s="8">
        <v>3275</v>
      </c>
      <c r="BM3324" s="8">
        <v>4657168.8017689073</v>
      </c>
      <c r="BN3324" s="8">
        <v>0</v>
      </c>
      <c r="BO3324" s="8">
        <v>4657168.8017689073</v>
      </c>
      <c r="BP3324" s="8">
        <v>3512464.1047083135</v>
      </c>
      <c r="BQ3324" s="8">
        <v>-1144704.6970605939</v>
      </c>
      <c r="BR3324" s="8" t="str">
        <v>Yes</v>
      </c>
    </row>
    <row r="3325" spans="54:70" x14ac:dyDescent="0.2">
      <c r="BB3325" s="94"/>
      <c r="BL3325" s="8">
        <v>3276</v>
      </c>
      <c r="BM3325" s="8">
        <v>3303180.4719584156</v>
      </c>
      <c r="BN3325" s="8">
        <v>0</v>
      </c>
      <c r="BO3325" s="8">
        <v>3303180.4719584156</v>
      </c>
      <c r="BP3325" s="8">
        <v>1928663.5153351265</v>
      </c>
      <c r="BQ3325" s="8">
        <v>-1374516.956623289</v>
      </c>
      <c r="BR3325" s="8" t="str">
        <v>Yes</v>
      </c>
    </row>
    <row r="3326" spans="54:70" x14ac:dyDescent="0.2">
      <c r="BB3326" s="94"/>
      <c r="BL3326" s="8">
        <v>3277</v>
      </c>
      <c r="BM3326" s="8">
        <v>3011324.2153548496</v>
      </c>
      <c r="BN3326" s="8">
        <v>0</v>
      </c>
      <c r="BO3326" s="8">
        <v>3011324.2153548496</v>
      </c>
      <c r="BP3326" s="8">
        <v>6225157.3511241041</v>
      </c>
      <c r="BQ3326" s="8">
        <v>3213833.1357692545</v>
      </c>
      <c r="BR3326" s="8" t="str">
        <v>No</v>
      </c>
    </row>
    <row r="3327" spans="54:70" x14ac:dyDescent="0.2">
      <c r="BB3327" s="94"/>
      <c r="BL3327" s="8">
        <v>3278</v>
      </c>
      <c r="BM3327" s="8">
        <v>2456448.1832421692</v>
      </c>
      <c r="BN3327" s="8">
        <v>1989263.2981744176</v>
      </c>
      <c r="BO3327" s="8">
        <v>4445711.4814165868</v>
      </c>
      <c r="BP3327" s="8">
        <v>4155709.3469126415</v>
      </c>
      <c r="BQ3327" s="8">
        <v>-290002.13450394524</v>
      </c>
      <c r="BR3327" s="8" t="str">
        <v>Yes</v>
      </c>
    </row>
    <row r="3328" spans="54:70" x14ac:dyDescent="0.2">
      <c r="BB3328" s="94"/>
      <c r="BL3328" s="8">
        <v>3279</v>
      </c>
      <c r="BM3328" s="8">
        <v>2604336.4397360357</v>
      </c>
      <c r="BN3328" s="8">
        <v>2206348.7596354159</v>
      </c>
      <c r="BO3328" s="8">
        <v>4810685.1993714515</v>
      </c>
      <c r="BP3328" s="8">
        <v>3270533.520768668</v>
      </c>
      <c r="BQ3328" s="8">
        <v>-1540151.6786027835</v>
      </c>
      <c r="BR3328" s="8" t="str">
        <v>Yes</v>
      </c>
    </row>
    <row r="3329" spans="54:70" x14ac:dyDescent="0.2">
      <c r="BB3329" s="94"/>
      <c r="BL3329" s="8">
        <v>3280</v>
      </c>
      <c r="BM3329" s="8">
        <v>3970496.048828451</v>
      </c>
      <c r="BN3329" s="8">
        <v>1309744.316637482</v>
      </c>
      <c r="BO3329" s="8">
        <v>5280240.3654659335</v>
      </c>
      <c r="BP3329" s="8">
        <v>3421371.001159227</v>
      </c>
      <c r="BQ3329" s="8">
        <v>-1858869.3643067065</v>
      </c>
      <c r="BR3329" s="8" t="str">
        <v>Yes</v>
      </c>
    </row>
    <row r="3330" spans="54:70" x14ac:dyDescent="0.2">
      <c r="BB3330" s="94"/>
      <c r="BL3330" s="8">
        <v>3281</v>
      </c>
      <c r="BM3330" s="8">
        <v>2205888.4838376353</v>
      </c>
      <c r="BN3330" s="8">
        <v>1886966.8430414554</v>
      </c>
      <c r="BO3330" s="8">
        <v>4092855.3268790906</v>
      </c>
      <c r="BP3330" s="8">
        <v>4210445.5012387009</v>
      </c>
      <c r="BQ3330" s="8">
        <v>117590.1743596103</v>
      </c>
      <c r="BR3330" s="8" t="str">
        <v>No</v>
      </c>
    </row>
    <row r="3331" spans="54:70" x14ac:dyDescent="0.2">
      <c r="BB3331" s="94"/>
      <c r="BL3331" s="8">
        <v>3282</v>
      </c>
      <c r="BM3331" s="8">
        <v>3064951.1629502429</v>
      </c>
      <c r="BN3331" s="8">
        <v>3041923.4021722418</v>
      </c>
      <c r="BO3331" s="8">
        <v>6106874.5651224852</v>
      </c>
      <c r="BP3331" s="8">
        <v>4331904.5951697389</v>
      </c>
      <c r="BQ3331" s="8">
        <v>-1774969.9699527463</v>
      </c>
      <c r="BR3331" s="8" t="str">
        <v>Yes</v>
      </c>
    </row>
    <row r="3332" spans="54:70" x14ac:dyDescent="0.2">
      <c r="BB3332" s="94"/>
      <c r="BL3332" s="8">
        <v>3283</v>
      </c>
      <c r="BM3332" s="8">
        <v>5177335.0847321358</v>
      </c>
      <c r="BN3332" s="8">
        <v>2206321.2799103931</v>
      </c>
      <c r="BO3332" s="8">
        <v>7383656.3646425288</v>
      </c>
      <c r="BP3332" s="8">
        <v>2271567.763133544</v>
      </c>
      <c r="BQ3332" s="8">
        <v>-5112088.6015089843</v>
      </c>
      <c r="BR3332" s="8" t="str">
        <v>Yes</v>
      </c>
    </row>
    <row r="3333" spans="54:70" x14ac:dyDescent="0.2">
      <c r="BB3333" s="94"/>
      <c r="BL3333" s="8">
        <v>3284</v>
      </c>
      <c r="BM3333" s="8">
        <v>2084374.090947218</v>
      </c>
      <c r="BN3333" s="8">
        <v>1120444.3181209033</v>
      </c>
      <c r="BO3333" s="8">
        <v>3204818.4090681216</v>
      </c>
      <c r="BP3333" s="8">
        <v>3252469.1072153049</v>
      </c>
      <c r="BQ3333" s="8">
        <v>47650.698147183284</v>
      </c>
      <c r="BR3333" s="8" t="str">
        <v>No</v>
      </c>
    </row>
    <row r="3334" spans="54:70" x14ac:dyDescent="0.2">
      <c r="BB3334" s="94"/>
      <c r="BL3334" s="8">
        <v>3285</v>
      </c>
      <c r="BM3334" s="8">
        <v>4173302.6380945402</v>
      </c>
      <c r="BN3334" s="8">
        <v>0</v>
      </c>
      <c r="BO3334" s="8">
        <v>4173302.6380945402</v>
      </c>
      <c r="BP3334" s="8">
        <v>2997599.377337622</v>
      </c>
      <c r="BQ3334" s="8">
        <v>-1175703.2607569182</v>
      </c>
      <c r="BR3334" s="8" t="str">
        <v>Yes</v>
      </c>
    </row>
    <row r="3335" spans="54:70" x14ac:dyDescent="0.2">
      <c r="BB3335" s="94"/>
      <c r="BL3335" s="8">
        <v>3286</v>
      </c>
      <c r="BM3335" s="8">
        <v>2964022.6052713711</v>
      </c>
      <c r="BN3335" s="8">
        <v>3751283.3100936599</v>
      </c>
      <c r="BO3335" s="8">
        <v>6715305.915365031</v>
      </c>
      <c r="BP3335" s="8">
        <v>2212600.2066980875</v>
      </c>
      <c r="BQ3335" s="8">
        <v>-4502705.708666943</v>
      </c>
      <c r="BR3335" s="8" t="str">
        <v>Yes</v>
      </c>
    </row>
    <row r="3336" spans="54:70" x14ac:dyDescent="0.2">
      <c r="BB3336" s="94"/>
      <c r="BL3336" s="8">
        <v>3287</v>
      </c>
      <c r="BM3336" s="8">
        <v>2577721.0504365871</v>
      </c>
      <c r="BN3336" s="8">
        <v>267721.19599977316</v>
      </c>
      <c r="BO3336" s="8">
        <v>2845442.2464363603</v>
      </c>
      <c r="BP3336" s="8">
        <v>6509785.3866749369</v>
      </c>
      <c r="BQ3336" s="8">
        <v>3664343.1402385766</v>
      </c>
      <c r="BR3336" s="8" t="str">
        <v>No</v>
      </c>
    </row>
    <row r="3337" spans="54:70" x14ac:dyDescent="0.2">
      <c r="BB3337" s="94"/>
      <c r="BL3337" s="8">
        <v>3288</v>
      </c>
      <c r="BM3337" s="8">
        <v>6587531.0058269063</v>
      </c>
      <c r="BN3337" s="8">
        <v>1701915.7430807103</v>
      </c>
      <c r="BO3337" s="8">
        <v>8289446.7489076164</v>
      </c>
      <c r="BP3337" s="8">
        <v>6711026.4340889538</v>
      </c>
      <c r="BQ3337" s="8">
        <v>-1578420.3148186626</v>
      </c>
      <c r="BR3337" s="8" t="str">
        <v>Yes</v>
      </c>
    </row>
    <row r="3338" spans="54:70" x14ac:dyDescent="0.2">
      <c r="BB3338" s="94"/>
      <c r="BL3338" s="8">
        <v>3289</v>
      </c>
      <c r="BM3338" s="8">
        <v>2912935.7479269472</v>
      </c>
      <c r="BN3338" s="8">
        <v>0</v>
      </c>
      <c r="BO3338" s="8">
        <v>2912935.7479269472</v>
      </c>
      <c r="BP3338" s="8">
        <v>3367124.0816300586</v>
      </c>
      <c r="BQ3338" s="8">
        <v>454188.33370311139</v>
      </c>
      <c r="BR3338" s="8" t="str">
        <v>No</v>
      </c>
    </row>
    <row r="3339" spans="54:70" x14ac:dyDescent="0.2">
      <c r="BB3339" s="94"/>
      <c r="BL3339" s="8">
        <v>3290</v>
      </c>
      <c r="BM3339" s="8">
        <v>6051295.2406892041</v>
      </c>
      <c r="BN3339" s="8">
        <v>0</v>
      </c>
      <c r="BO3339" s="8">
        <v>6051295.2406892041</v>
      </c>
      <c r="BP3339" s="8">
        <v>3593485.9185504327</v>
      </c>
      <c r="BQ3339" s="8">
        <v>-2457809.3221387714</v>
      </c>
      <c r="BR3339" s="8" t="str">
        <v>Yes</v>
      </c>
    </row>
    <row r="3340" spans="54:70" x14ac:dyDescent="0.2">
      <c r="BB3340" s="94"/>
      <c r="BL3340" s="8">
        <v>3291</v>
      </c>
      <c r="BM3340" s="8">
        <v>5332138.1359613296</v>
      </c>
      <c r="BN3340" s="8">
        <v>1482792.9632193546</v>
      </c>
      <c r="BO3340" s="8">
        <v>6814931.0991806844</v>
      </c>
      <c r="BP3340" s="8">
        <v>2342604.5786922947</v>
      </c>
      <c r="BQ3340" s="8">
        <v>-4472326.5204883898</v>
      </c>
      <c r="BR3340" s="8" t="str">
        <v>Yes</v>
      </c>
    </row>
    <row r="3341" spans="54:70" x14ac:dyDescent="0.2">
      <c r="BB3341" s="94"/>
      <c r="BL3341" s="8">
        <v>3292</v>
      </c>
      <c r="BM3341" s="8">
        <v>5771800.6228095554</v>
      </c>
      <c r="BN3341" s="8">
        <v>3600025.4325050837</v>
      </c>
      <c r="BO3341" s="8">
        <v>9371826.0553146396</v>
      </c>
      <c r="BP3341" s="8">
        <v>6248682.5406537233</v>
      </c>
      <c r="BQ3341" s="8">
        <v>-3123143.5146609163</v>
      </c>
      <c r="BR3341" s="8" t="str">
        <v>Yes</v>
      </c>
    </row>
    <row r="3342" spans="54:70" x14ac:dyDescent="0.2">
      <c r="BB3342" s="94"/>
      <c r="BL3342" s="8">
        <v>3293</v>
      </c>
      <c r="BM3342" s="8">
        <v>3803682.0631424794</v>
      </c>
      <c r="BN3342" s="8">
        <v>0</v>
      </c>
      <c r="BO3342" s="8">
        <v>3803682.0631424794</v>
      </c>
      <c r="BP3342" s="8">
        <v>4114012.557033373</v>
      </c>
      <c r="BQ3342" s="8">
        <v>310330.49389089365</v>
      </c>
      <c r="BR3342" s="8" t="str">
        <v>No</v>
      </c>
    </row>
    <row r="3343" spans="54:70" x14ac:dyDescent="0.2">
      <c r="BB3343" s="94"/>
      <c r="BL3343" s="8">
        <v>3294</v>
      </c>
      <c r="BM3343" s="8">
        <v>5398986.7678494584</v>
      </c>
      <c r="BN3343" s="8">
        <v>8934493.9074070659</v>
      </c>
      <c r="BO3343" s="8">
        <v>14333480.675256524</v>
      </c>
      <c r="BP3343" s="8">
        <v>4112055.4328911081</v>
      </c>
      <c r="BQ3343" s="8">
        <v>-10221425.242365416</v>
      </c>
      <c r="BR3343" s="8" t="str">
        <v>Yes</v>
      </c>
    </row>
    <row r="3344" spans="54:70" x14ac:dyDescent="0.2">
      <c r="BB3344" s="94"/>
      <c r="BL3344" s="8">
        <v>3295</v>
      </c>
      <c r="BM3344" s="8">
        <v>4326052.3506278945</v>
      </c>
      <c r="BN3344" s="8">
        <v>0</v>
      </c>
      <c r="BO3344" s="8">
        <v>4326052.3506278945</v>
      </c>
      <c r="BP3344" s="8">
        <v>4374229.5657491656</v>
      </c>
      <c r="BQ3344" s="8">
        <v>48177.215121271089</v>
      </c>
      <c r="BR3344" s="8" t="str">
        <v>No</v>
      </c>
    </row>
    <row r="3345" spans="54:70" x14ac:dyDescent="0.2">
      <c r="BB3345" s="94"/>
      <c r="BL3345" s="8">
        <v>3296</v>
      </c>
      <c r="BM3345" s="8">
        <v>4610673.7046930827</v>
      </c>
      <c r="BN3345" s="8">
        <v>2230412.701800209</v>
      </c>
      <c r="BO3345" s="8">
        <v>6841086.4064932913</v>
      </c>
      <c r="BP3345" s="8">
        <v>3224443.6939984919</v>
      </c>
      <c r="BQ3345" s="8">
        <v>-3616642.7124947994</v>
      </c>
      <c r="BR3345" s="8" t="str">
        <v>Yes</v>
      </c>
    </row>
    <row r="3346" spans="54:70" x14ac:dyDescent="0.2">
      <c r="BB3346" s="94"/>
      <c r="BL3346" s="8">
        <v>3297</v>
      </c>
      <c r="BM3346" s="8">
        <v>1876174.7956884354</v>
      </c>
      <c r="BN3346" s="8">
        <v>0</v>
      </c>
      <c r="BO3346" s="8">
        <v>1876174.7956884354</v>
      </c>
      <c r="BP3346" s="8">
        <v>4302569.1216437966</v>
      </c>
      <c r="BQ3346" s="8">
        <v>2426394.3259553611</v>
      </c>
      <c r="BR3346" s="8" t="str">
        <v>No</v>
      </c>
    </row>
    <row r="3347" spans="54:70" x14ac:dyDescent="0.2">
      <c r="BB3347" s="94"/>
      <c r="BL3347" s="8">
        <v>3298</v>
      </c>
      <c r="BM3347" s="8">
        <v>4036975.1711359359</v>
      </c>
      <c r="BN3347" s="8">
        <v>5691001.0026587676</v>
      </c>
      <c r="BO3347" s="8">
        <v>9727976.1737947036</v>
      </c>
      <c r="BP3347" s="8">
        <v>2205924.2464899155</v>
      </c>
      <c r="BQ3347" s="8">
        <v>-7522051.9273047876</v>
      </c>
      <c r="BR3347" s="8" t="str">
        <v>Yes</v>
      </c>
    </row>
    <row r="3348" spans="54:70" x14ac:dyDescent="0.2">
      <c r="BB3348" s="94"/>
      <c r="BL3348" s="8">
        <v>3299</v>
      </c>
      <c r="BM3348" s="8">
        <v>10921721.321015351</v>
      </c>
      <c r="BN3348" s="8">
        <v>0</v>
      </c>
      <c r="BO3348" s="8">
        <v>10921721.321015351</v>
      </c>
      <c r="BP3348" s="8">
        <v>2625605.4447973594</v>
      </c>
      <c r="BQ3348" s="8">
        <v>-8296115.8762179911</v>
      </c>
      <c r="BR3348" s="8" t="str">
        <v>Yes</v>
      </c>
    </row>
    <row r="3349" spans="54:70" x14ac:dyDescent="0.2">
      <c r="BB3349" s="94"/>
      <c r="BL3349" s="8">
        <v>3300</v>
      </c>
      <c r="BM3349" s="8">
        <v>4894732.7269265233</v>
      </c>
      <c r="BN3349" s="8">
        <v>2183551.9100049916</v>
      </c>
      <c r="BO3349" s="8">
        <v>7078284.6369315144</v>
      </c>
      <c r="BP3349" s="8">
        <v>4361743.2808824144</v>
      </c>
      <c r="BQ3349" s="8">
        <v>-2716541.3560490999</v>
      </c>
      <c r="BR3349" s="8" t="str">
        <v>Yes</v>
      </c>
    </row>
    <row r="3350" spans="54:70" x14ac:dyDescent="0.2">
      <c r="BB3350" s="94"/>
      <c r="BL3350" s="8">
        <v>3301</v>
      </c>
      <c r="BM3350" s="8">
        <v>6126381.7673377097</v>
      </c>
      <c r="BN3350" s="8">
        <v>0</v>
      </c>
      <c r="BO3350" s="8">
        <v>6126381.7673377097</v>
      </c>
      <c r="BP3350" s="8">
        <v>3430946.6535023334</v>
      </c>
      <c r="BQ3350" s="8">
        <v>-2695435.1138353762</v>
      </c>
      <c r="BR3350" s="8" t="str">
        <v>Yes</v>
      </c>
    </row>
    <row r="3351" spans="54:70" x14ac:dyDescent="0.2">
      <c r="BB3351" s="94"/>
      <c r="BL3351" s="8">
        <v>3302</v>
      </c>
      <c r="BM3351" s="8">
        <v>6261638.4258542927</v>
      </c>
      <c r="BN3351" s="8">
        <v>3713593.1871557501</v>
      </c>
      <c r="BO3351" s="8">
        <v>9975231.6130100433</v>
      </c>
      <c r="BP3351" s="8">
        <v>6266853.109551779</v>
      </c>
      <c r="BQ3351" s="8">
        <v>-3708378.5034582643</v>
      </c>
      <c r="BR3351" s="8" t="str">
        <v>Yes</v>
      </c>
    </row>
    <row r="3352" spans="54:70" x14ac:dyDescent="0.2">
      <c r="BB3352" s="94"/>
      <c r="BL3352" s="8">
        <v>3303</v>
      </c>
      <c r="BM3352" s="8">
        <v>9128237.7392058559</v>
      </c>
      <c r="BN3352" s="8">
        <v>0</v>
      </c>
      <c r="BO3352" s="8">
        <v>9128237.7392058559</v>
      </c>
      <c r="BP3352" s="8">
        <v>6031564.3427308789</v>
      </c>
      <c r="BQ3352" s="8">
        <v>-3096673.396474977</v>
      </c>
      <c r="BR3352" s="8" t="str">
        <v>Yes</v>
      </c>
    </row>
    <row r="3353" spans="54:70" x14ac:dyDescent="0.2">
      <c r="BB3353" s="94"/>
      <c r="BL3353" s="8">
        <v>3304</v>
      </c>
      <c r="BM3353" s="8">
        <v>1879669.6235182555</v>
      </c>
      <c r="BN3353" s="8">
        <v>587005.55251789186</v>
      </c>
      <c r="BO3353" s="8">
        <v>2466675.1760361474</v>
      </c>
      <c r="BP3353" s="8">
        <v>3282844.7636703146</v>
      </c>
      <c r="BQ3353" s="8">
        <v>816169.58763416717</v>
      </c>
      <c r="BR3353" s="8" t="str">
        <v>No</v>
      </c>
    </row>
    <row r="3354" spans="54:70" x14ac:dyDescent="0.2">
      <c r="BB3354" s="94"/>
      <c r="BL3354" s="8">
        <v>3305</v>
      </c>
      <c r="BM3354" s="8">
        <v>4214670.4063364388</v>
      </c>
      <c r="BN3354" s="8">
        <v>0</v>
      </c>
      <c r="BO3354" s="8">
        <v>4214670.4063364388</v>
      </c>
      <c r="BP3354" s="8">
        <v>6071821.268146459</v>
      </c>
      <c r="BQ3354" s="8">
        <v>1857150.8618100202</v>
      </c>
      <c r="BR3354" s="8" t="str">
        <v>No</v>
      </c>
    </row>
    <row r="3355" spans="54:70" x14ac:dyDescent="0.2">
      <c r="BB3355" s="94"/>
      <c r="BL3355" s="8">
        <v>3306</v>
      </c>
      <c r="BM3355" s="8">
        <v>2969230.6731417291</v>
      </c>
      <c r="BN3355" s="8">
        <v>0</v>
      </c>
      <c r="BO3355" s="8">
        <v>2969230.6731417291</v>
      </c>
      <c r="BP3355" s="8">
        <v>3539369.623753007</v>
      </c>
      <c r="BQ3355" s="8">
        <v>570138.95061127795</v>
      </c>
      <c r="BR3355" s="8" t="str">
        <v>No</v>
      </c>
    </row>
    <row r="3356" spans="54:70" x14ac:dyDescent="0.2">
      <c r="BB3356" s="94"/>
      <c r="BL3356" s="8">
        <v>3307</v>
      </c>
      <c r="BM3356" s="8">
        <v>4042892.197808492</v>
      </c>
      <c r="BN3356" s="8">
        <v>0</v>
      </c>
      <c r="BO3356" s="8">
        <v>4042892.197808492</v>
      </c>
      <c r="BP3356" s="8">
        <v>3380121.2011300647</v>
      </c>
      <c r="BQ3356" s="8">
        <v>-662770.99667842733</v>
      </c>
      <c r="BR3356" s="8" t="str">
        <v>Yes</v>
      </c>
    </row>
    <row r="3357" spans="54:70" x14ac:dyDescent="0.2">
      <c r="BB3357" s="94"/>
      <c r="BL3357" s="8">
        <v>3308</v>
      </c>
      <c r="BM3357" s="8">
        <v>4978003.461587253</v>
      </c>
      <c r="BN3357" s="8">
        <v>0</v>
      </c>
      <c r="BO3357" s="8">
        <v>4978003.461587253</v>
      </c>
      <c r="BP3357" s="8">
        <v>4069369.2671023314</v>
      </c>
      <c r="BQ3357" s="8">
        <v>-908634.19448492164</v>
      </c>
      <c r="BR3357" s="8" t="str">
        <v>Yes</v>
      </c>
    </row>
    <row r="3358" spans="54:70" x14ac:dyDescent="0.2">
      <c r="BB3358" s="94"/>
      <c r="BL3358" s="8">
        <v>3309</v>
      </c>
      <c r="BM3358" s="8">
        <v>2493684.7798391073</v>
      </c>
      <c r="BN3358" s="8">
        <v>377972.77763146639</v>
      </c>
      <c r="BO3358" s="8">
        <v>2871657.5574705736</v>
      </c>
      <c r="BP3358" s="8">
        <v>2389557.4717464172</v>
      </c>
      <c r="BQ3358" s="8">
        <v>-482100.08572415635</v>
      </c>
      <c r="BR3358" s="8" t="str">
        <v>Yes</v>
      </c>
    </row>
    <row r="3359" spans="54:70" x14ac:dyDescent="0.2">
      <c r="BB3359" s="94"/>
      <c r="BL3359" s="8">
        <v>3310</v>
      </c>
      <c r="BM3359" s="8">
        <v>1899289.2813310521</v>
      </c>
      <c r="BN3359" s="8">
        <v>0</v>
      </c>
      <c r="BO3359" s="8">
        <v>1899289.2813310521</v>
      </c>
      <c r="BP3359" s="8">
        <v>6375895.2867853865</v>
      </c>
      <c r="BQ3359" s="8">
        <v>4476606.0054543344</v>
      </c>
      <c r="BR3359" s="8" t="str">
        <v>No</v>
      </c>
    </row>
    <row r="3360" spans="54:70" x14ac:dyDescent="0.2">
      <c r="BB3360" s="94"/>
      <c r="BL3360" s="8">
        <v>3311</v>
      </c>
      <c r="BM3360" s="8">
        <v>10788077.299058786</v>
      </c>
      <c r="BN3360" s="8">
        <v>0</v>
      </c>
      <c r="BO3360" s="8">
        <v>10788077.299058786</v>
      </c>
      <c r="BP3360" s="8">
        <v>3599575.4350919207</v>
      </c>
      <c r="BQ3360" s="8">
        <v>-7188501.8639668655</v>
      </c>
      <c r="BR3360" s="8" t="str">
        <v>Yes</v>
      </c>
    </row>
    <row r="3361" spans="54:70" x14ac:dyDescent="0.2">
      <c r="BB3361" s="94"/>
      <c r="BL3361" s="8">
        <v>3312</v>
      </c>
      <c r="BM3361" s="8">
        <v>2346924.1257367767</v>
      </c>
      <c r="BN3361" s="8">
        <v>1664055.4558215791</v>
      </c>
      <c r="BO3361" s="8">
        <v>4010979.5815583561</v>
      </c>
      <c r="BP3361" s="8">
        <v>5884902.2350013154</v>
      </c>
      <c r="BQ3361" s="8">
        <v>1873922.6534429593</v>
      </c>
      <c r="BR3361" s="8" t="str">
        <v>No</v>
      </c>
    </row>
    <row r="3362" spans="54:70" x14ac:dyDescent="0.2">
      <c r="BB3362" s="94"/>
      <c r="BL3362" s="8">
        <v>3313</v>
      </c>
      <c r="BM3362" s="8">
        <v>10607157.094175577</v>
      </c>
      <c r="BN3362" s="8">
        <v>5798164.4622781686</v>
      </c>
      <c r="BO3362" s="8">
        <v>16405321.556453746</v>
      </c>
      <c r="BP3362" s="8">
        <v>2905532.8786132266</v>
      </c>
      <c r="BQ3362" s="8">
        <v>-13499788.67784052</v>
      </c>
      <c r="BR3362" s="8" t="str">
        <v>Yes</v>
      </c>
    </row>
    <row r="3363" spans="54:70" x14ac:dyDescent="0.2">
      <c r="BB3363" s="94"/>
      <c r="BL3363" s="8">
        <v>3314</v>
      </c>
      <c r="BM3363" s="8">
        <v>4999648.0098324055</v>
      </c>
      <c r="BN3363" s="8">
        <v>0</v>
      </c>
      <c r="BO3363" s="8">
        <v>4999648.0098324055</v>
      </c>
      <c r="BP3363" s="8">
        <v>2283279.5203568796</v>
      </c>
      <c r="BQ3363" s="8">
        <v>-2716368.4894755259</v>
      </c>
      <c r="BR3363" s="8" t="str">
        <v>Yes</v>
      </c>
    </row>
    <row r="3364" spans="54:70" x14ac:dyDescent="0.2">
      <c r="BB3364" s="94"/>
      <c r="BL3364" s="8">
        <v>3315</v>
      </c>
      <c r="BM3364" s="8">
        <v>4904064.9109241785</v>
      </c>
      <c r="BN3364" s="8">
        <v>4105144.053927734</v>
      </c>
      <c r="BO3364" s="8">
        <v>9009208.9648519121</v>
      </c>
      <c r="BP3364" s="8">
        <v>2332654.281222132</v>
      </c>
      <c r="BQ3364" s="8">
        <v>-6676554.6836297801</v>
      </c>
      <c r="BR3364" s="8" t="str">
        <v>Yes</v>
      </c>
    </row>
    <row r="3365" spans="54:70" x14ac:dyDescent="0.2">
      <c r="BB3365" s="94"/>
      <c r="BL3365" s="8">
        <v>3316</v>
      </c>
      <c r="BM3365" s="8">
        <v>2808717.3401280036</v>
      </c>
      <c r="BN3365" s="8">
        <v>3974062.1675419528</v>
      </c>
      <c r="BO3365" s="8">
        <v>6782779.5076699564</v>
      </c>
      <c r="BP3365" s="8">
        <v>3574966.0388295515</v>
      </c>
      <c r="BQ3365" s="8">
        <v>-3207813.4688404049</v>
      </c>
      <c r="BR3365" s="8" t="str">
        <v>Yes</v>
      </c>
    </row>
    <row r="3366" spans="54:70" x14ac:dyDescent="0.2">
      <c r="BB3366" s="94"/>
      <c r="BL3366" s="8">
        <v>3317</v>
      </c>
      <c r="BM3366" s="8">
        <v>7799958.2051046118</v>
      </c>
      <c r="BN3366" s="8">
        <v>0</v>
      </c>
      <c r="BO3366" s="8">
        <v>7799958.2051046118</v>
      </c>
      <c r="BP3366" s="8">
        <v>3582476.8654961246</v>
      </c>
      <c r="BQ3366" s="8">
        <v>-4217481.3396084867</v>
      </c>
      <c r="BR3366" s="8" t="str">
        <v>Yes</v>
      </c>
    </row>
    <row r="3367" spans="54:70" x14ac:dyDescent="0.2">
      <c r="BB3367" s="94"/>
      <c r="BL3367" s="8">
        <v>3318</v>
      </c>
      <c r="BM3367" s="8">
        <v>7841672.579701025</v>
      </c>
      <c r="BN3367" s="8">
        <v>6820605.270108819</v>
      </c>
      <c r="BO3367" s="8">
        <v>14662277.849809844</v>
      </c>
      <c r="BP3367" s="8">
        <v>6164328.8967119846</v>
      </c>
      <c r="BQ3367" s="8">
        <v>-8497948.9530978594</v>
      </c>
      <c r="BR3367" s="8" t="str">
        <v>Yes</v>
      </c>
    </row>
    <row r="3368" spans="54:70" x14ac:dyDescent="0.2">
      <c r="BB3368" s="94"/>
      <c r="BL3368" s="8">
        <v>3319</v>
      </c>
      <c r="BM3368" s="8">
        <v>6030920.4018628513</v>
      </c>
      <c r="BN3368" s="8">
        <v>0</v>
      </c>
      <c r="BO3368" s="8">
        <v>6030920.4018628513</v>
      </c>
      <c r="BP3368" s="8">
        <v>7344023.4668739941</v>
      </c>
      <c r="BQ3368" s="8">
        <v>1313103.0650111428</v>
      </c>
      <c r="BR3368" s="8" t="str">
        <v>No</v>
      </c>
    </row>
    <row r="3369" spans="54:70" x14ac:dyDescent="0.2">
      <c r="BB3369" s="94"/>
      <c r="BL3369" s="8">
        <v>3320</v>
      </c>
      <c r="BM3369" s="8">
        <v>9968653.5710641891</v>
      </c>
      <c r="BN3369" s="8">
        <v>0</v>
      </c>
      <c r="BO3369" s="8">
        <v>9968653.5710641891</v>
      </c>
      <c r="BP3369" s="8">
        <v>4195853.6261833906</v>
      </c>
      <c r="BQ3369" s="8">
        <v>-5772799.9448807985</v>
      </c>
      <c r="BR3369" s="8" t="str">
        <v>Yes</v>
      </c>
    </row>
    <row r="3370" spans="54:70" x14ac:dyDescent="0.2">
      <c r="BB3370" s="94"/>
      <c r="BL3370" s="8">
        <v>3321</v>
      </c>
      <c r="BM3370" s="8">
        <v>10293059.08838623</v>
      </c>
      <c r="BN3370" s="8">
        <v>0</v>
      </c>
      <c r="BO3370" s="8">
        <v>10293059.08838623</v>
      </c>
      <c r="BP3370" s="8">
        <v>2466280.2382165096</v>
      </c>
      <c r="BQ3370" s="8">
        <v>-7826778.8501697201</v>
      </c>
      <c r="BR3370" s="8" t="str">
        <v>Yes</v>
      </c>
    </row>
    <row r="3371" spans="54:70" x14ac:dyDescent="0.2">
      <c r="BB3371" s="94"/>
      <c r="BL3371" s="8">
        <v>3322</v>
      </c>
      <c r="BM3371" s="8">
        <v>1640715.3520863622</v>
      </c>
      <c r="BN3371" s="8">
        <v>0</v>
      </c>
      <c r="BO3371" s="8">
        <v>1640715.3520863622</v>
      </c>
      <c r="BP3371" s="8">
        <v>6820844.2838723687</v>
      </c>
      <c r="BQ3371" s="8">
        <v>5180128.9317860063</v>
      </c>
      <c r="BR3371" s="8" t="str">
        <v>No</v>
      </c>
    </row>
    <row r="3372" spans="54:70" x14ac:dyDescent="0.2">
      <c r="BB3372" s="94"/>
      <c r="BL3372" s="8">
        <v>3323</v>
      </c>
      <c r="BM3372" s="8">
        <v>5541646.4622352207</v>
      </c>
      <c r="BN3372" s="8">
        <v>2861243.4217998553</v>
      </c>
      <c r="BO3372" s="8">
        <v>8402889.8840350769</v>
      </c>
      <c r="BP3372" s="8">
        <v>6411369.3756561587</v>
      </c>
      <c r="BQ3372" s="8">
        <v>-1991520.5083789183</v>
      </c>
      <c r="BR3372" s="8" t="str">
        <v>Yes</v>
      </c>
    </row>
    <row r="3373" spans="54:70" x14ac:dyDescent="0.2">
      <c r="BB3373" s="94"/>
      <c r="BL3373" s="8">
        <v>3324</v>
      </c>
      <c r="BM3373" s="8">
        <v>3755569.9952517506</v>
      </c>
      <c r="BN3373" s="8">
        <v>2004316.3788237495</v>
      </c>
      <c r="BO3373" s="8">
        <v>5759886.3740755003</v>
      </c>
      <c r="BP3373" s="8">
        <v>5841484.9412130434</v>
      </c>
      <c r="BQ3373" s="8">
        <v>81598.567137543112</v>
      </c>
      <c r="BR3373" s="8" t="str">
        <v>No</v>
      </c>
    </row>
    <row r="3374" spans="54:70" x14ac:dyDescent="0.2">
      <c r="BB3374" s="94"/>
      <c r="BL3374" s="8">
        <v>3325</v>
      </c>
      <c r="BM3374" s="8">
        <v>8716686.8380825724</v>
      </c>
      <c r="BN3374" s="8">
        <v>7400172.8220301615</v>
      </c>
      <c r="BO3374" s="8">
        <v>16116859.660112735</v>
      </c>
      <c r="BP3374" s="8">
        <v>6321108.6790750381</v>
      </c>
      <c r="BQ3374" s="8">
        <v>-9795750.9810376968</v>
      </c>
      <c r="BR3374" s="8" t="str">
        <v>Yes</v>
      </c>
    </row>
    <row r="3375" spans="54:70" x14ac:dyDescent="0.2">
      <c r="BB3375" s="94"/>
      <c r="BL3375" s="8">
        <v>3326</v>
      </c>
      <c r="BM3375" s="8">
        <v>2806598.0559896142</v>
      </c>
      <c r="BN3375" s="8">
        <v>1234872.4037481872</v>
      </c>
      <c r="BO3375" s="8">
        <v>4041470.4597378015</v>
      </c>
      <c r="BP3375" s="8">
        <v>6143896.0119137447</v>
      </c>
      <c r="BQ3375" s="8">
        <v>2102425.5521759433</v>
      </c>
      <c r="BR3375" s="8" t="str">
        <v>No</v>
      </c>
    </row>
    <row r="3376" spans="54:70" x14ac:dyDescent="0.2">
      <c r="BB3376" s="94"/>
      <c r="BL3376" s="8">
        <v>3327</v>
      </c>
      <c r="BM3376" s="8">
        <v>3808212.6897373032</v>
      </c>
      <c r="BN3376" s="8">
        <v>0</v>
      </c>
      <c r="BO3376" s="8">
        <v>3808212.6897373032</v>
      </c>
      <c r="BP3376" s="8">
        <v>4187072.0173708447</v>
      </c>
      <c r="BQ3376" s="8">
        <v>378859.32763354154</v>
      </c>
      <c r="BR3376" s="8" t="str">
        <v>No</v>
      </c>
    </row>
    <row r="3377" spans="54:70" x14ac:dyDescent="0.2">
      <c r="BB3377" s="94"/>
      <c r="BL3377" s="8">
        <v>3328</v>
      </c>
      <c r="BM3377" s="8">
        <v>7226970.1217911625</v>
      </c>
      <c r="BN3377" s="8">
        <v>2746550.0780541333</v>
      </c>
      <c r="BO3377" s="8">
        <v>9973520.1998452954</v>
      </c>
      <c r="BP3377" s="8">
        <v>3591084.6111659682</v>
      </c>
      <c r="BQ3377" s="8">
        <v>-6382435.5886793267</v>
      </c>
      <c r="BR3377" s="8" t="str">
        <v>Yes</v>
      </c>
    </row>
    <row r="3378" spans="54:70" x14ac:dyDescent="0.2">
      <c r="BB3378" s="94"/>
      <c r="BL3378" s="8">
        <v>3329</v>
      </c>
      <c r="BM3378" s="8">
        <v>3619419.1835149913</v>
      </c>
      <c r="BN3378" s="8">
        <v>2841795.0366007029</v>
      </c>
      <c r="BO3378" s="8">
        <v>6461214.2201156942</v>
      </c>
      <c r="BP3378" s="8">
        <v>2186325.3915796988</v>
      </c>
      <c r="BQ3378" s="8">
        <v>-4274888.8285359954</v>
      </c>
      <c r="BR3378" s="8" t="str">
        <v>Yes</v>
      </c>
    </row>
    <row r="3379" spans="54:70" x14ac:dyDescent="0.2">
      <c r="BB3379" s="94"/>
      <c r="BL3379" s="8">
        <v>3330</v>
      </c>
      <c r="BM3379" s="8">
        <v>4983512.4225508254</v>
      </c>
      <c r="BN3379" s="8">
        <v>3992462.0262153638</v>
      </c>
      <c r="BO3379" s="8">
        <v>8975974.4487661887</v>
      </c>
      <c r="BP3379" s="8">
        <v>6291790.1000882694</v>
      </c>
      <c r="BQ3379" s="8">
        <v>-2684184.3486779192</v>
      </c>
      <c r="BR3379" s="8" t="str">
        <v>Yes</v>
      </c>
    </row>
    <row r="3380" spans="54:70" x14ac:dyDescent="0.2">
      <c r="BB3380" s="94"/>
      <c r="BL3380" s="8">
        <v>3331</v>
      </c>
      <c r="BM3380" s="8">
        <v>3472174.4990775399</v>
      </c>
      <c r="BN3380" s="8">
        <v>0</v>
      </c>
      <c r="BO3380" s="8">
        <v>3472174.4990775399</v>
      </c>
      <c r="BP3380" s="8">
        <v>5806547.1745095197</v>
      </c>
      <c r="BQ3380" s="8">
        <v>2334372.6754319798</v>
      </c>
      <c r="BR3380" s="8" t="str">
        <v>No</v>
      </c>
    </row>
    <row r="3381" spans="54:70" x14ac:dyDescent="0.2">
      <c r="BB3381" s="94"/>
      <c r="BL3381" s="8">
        <v>3332</v>
      </c>
      <c r="BM3381" s="8">
        <v>6045341.559545829</v>
      </c>
      <c r="BN3381" s="8">
        <v>4451775.5845274404</v>
      </c>
      <c r="BO3381" s="8">
        <v>10497117.14407327</v>
      </c>
      <c r="BP3381" s="8">
        <v>2133079.9589039544</v>
      </c>
      <c r="BQ3381" s="8">
        <v>-8364037.1851693159</v>
      </c>
      <c r="BR3381" s="8" t="str">
        <v>Yes</v>
      </c>
    </row>
    <row r="3382" spans="54:70" x14ac:dyDescent="0.2">
      <c r="BB3382" s="94"/>
      <c r="BL3382" s="8">
        <v>3333</v>
      </c>
      <c r="BM3382" s="8">
        <v>2474460.3003354948</v>
      </c>
      <c r="BN3382" s="8">
        <v>0</v>
      </c>
      <c r="BO3382" s="8">
        <v>2474460.3003354948</v>
      </c>
      <c r="BP3382" s="8">
        <v>3229019.3569234945</v>
      </c>
      <c r="BQ3382" s="8">
        <v>754559.05658799969</v>
      </c>
      <c r="BR3382" s="8" t="str">
        <v>No</v>
      </c>
    </row>
    <row r="3383" spans="54:70" x14ac:dyDescent="0.2">
      <c r="BB3383" s="94"/>
      <c r="BL3383" s="8">
        <v>3334</v>
      </c>
      <c r="BM3383" s="8">
        <v>2788595.1729466394</v>
      </c>
      <c r="BN3383" s="8">
        <v>1973665.1204796007</v>
      </c>
      <c r="BO3383" s="8">
        <v>4762260.2934262399</v>
      </c>
      <c r="BP3383" s="8">
        <v>3329257.7648664424</v>
      </c>
      <c r="BQ3383" s="8">
        <v>-1433002.5285597974</v>
      </c>
      <c r="BR3383" s="8" t="str">
        <v>Yes</v>
      </c>
    </row>
    <row r="3384" spans="54:70" x14ac:dyDescent="0.2">
      <c r="BB3384" s="94"/>
      <c r="BL3384" s="8">
        <v>3335</v>
      </c>
      <c r="BM3384" s="8">
        <v>3079100.9781295974</v>
      </c>
      <c r="BN3384" s="8">
        <v>2269108.6660094578</v>
      </c>
      <c r="BO3384" s="8">
        <v>5348209.6441390552</v>
      </c>
      <c r="BP3384" s="8">
        <v>3074406.2181151533</v>
      </c>
      <c r="BQ3384" s="8">
        <v>-2273803.4260239019</v>
      </c>
      <c r="BR3384" s="8" t="str">
        <v>Yes</v>
      </c>
    </row>
    <row r="3385" spans="54:70" x14ac:dyDescent="0.2">
      <c r="BB3385" s="94"/>
      <c r="BL3385" s="8">
        <v>3336</v>
      </c>
      <c r="BM3385" s="8">
        <v>5200699.9971079305</v>
      </c>
      <c r="BN3385" s="8">
        <v>0</v>
      </c>
      <c r="BO3385" s="8">
        <v>5200699.9971079305</v>
      </c>
      <c r="BP3385" s="8">
        <v>4446373.6408906989</v>
      </c>
      <c r="BQ3385" s="8">
        <v>-754326.3562172316</v>
      </c>
      <c r="BR3385" s="8" t="str">
        <v>Yes</v>
      </c>
    </row>
    <row r="3386" spans="54:70" x14ac:dyDescent="0.2">
      <c r="BB3386" s="94"/>
      <c r="BL3386" s="8">
        <v>3337</v>
      </c>
      <c r="BM3386" s="8">
        <v>5756581.0548369549</v>
      </c>
      <c r="BN3386" s="8">
        <v>0</v>
      </c>
      <c r="BO3386" s="8">
        <v>5756581.0548369549</v>
      </c>
      <c r="BP3386" s="8">
        <v>6692847.6667593494</v>
      </c>
      <c r="BQ3386" s="8">
        <v>936266.61192239448</v>
      </c>
      <c r="BR3386" s="8" t="str">
        <v>No</v>
      </c>
    </row>
    <row r="3387" spans="54:70" x14ac:dyDescent="0.2">
      <c r="BB3387" s="94"/>
      <c r="BL3387" s="8">
        <v>3338</v>
      </c>
      <c r="BM3387" s="8">
        <v>7252984.2421625871</v>
      </c>
      <c r="BN3387" s="8">
        <v>0</v>
      </c>
      <c r="BO3387" s="8">
        <v>7252984.2421625871</v>
      </c>
      <c r="BP3387" s="8">
        <v>6460307.3407543311</v>
      </c>
      <c r="BQ3387" s="8">
        <v>-792676.90140825603</v>
      </c>
      <c r="BR3387" s="8" t="str">
        <v>Yes</v>
      </c>
    </row>
    <row r="3388" spans="54:70" x14ac:dyDescent="0.2">
      <c r="BB3388" s="94"/>
      <c r="BL3388" s="8">
        <v>3339</v>
      </c>
      <c r="BM3388" s="8">
        <v>2798721.6091095665</v>
      </c>
      <c r="BN3388" s="8">
        <v>1585649.2310826592</v>
      </c>
      <c r="BO3388" s="8">
        <v>4384370.8401922258</v>
      </c>
      <c r="BP3388" s="8">
        <v>2233823.611513691</v>
      </c>
      <c r="BQ3388" s="8">
        <v>-2150547.2286785347</v>
      </c>
      <c r="BR3388" s="8" t="str">
        <v>Yes</v>
      </c>
    </row>
    <row r="3389" spans="54:70" x14ac:dyDescent="0.2">
      <c r="BB3389" s="94"/>
      <c r="BL3389" s="8">
        <v>3340</v>
      </c>
      <c r="BM3389" s="8">
        <v>3006125.5532486513</v>
      </c>
      <c r="BN3389" s="8">
        <v>0</v>
      </c>
      <c r="BO3389" s="8">
        <v>3006125.5532486513</v>
      </c>
      <c r="BP3389" s="8">
        <v>2175988.8705213768</v>
      </c>
      <c r="BQ3389" s="8">
        <v>-830136.68272727448</v>
      </c>
      <c r="BR3389" s="8" t="str">
        <v>Yes</v>
      </c>
    </row>
    <row r="3390" spans="54:70" x14ac:dyDescent="0.2">
      <c r="BB3390" s="94"/>
      <c r="BL3390" s="8">
        <v>3341</v>
      </c>
      <c r="BM3390" s="8">
        <v>3240959.4449896002</v>
      </c>
      <c r="BN3390" s="8">
        <v>2192957.279655573</v>
      </c>
      <c r="BO3390" s="8">
        <v>5433916.7246451732</v>
      </c>
      <c r="BP3390" s="8">
        <v>6629757.6875229888</v>
      </c>
      <c r="BQ3390" s="8">
        <v>1195840.9628778156</v>
      </c>
      <c r="BR3390" s="8" t="str">
        <v>No</v>
      </c>
    </row>
    <row r="3391" spans="54:70" x14ac:dyDescent="0.2">
      <c r="BB3391" s="94"/>
      <c r="BL3391" s="8">
        <v>3342</v>
      </c>
      <c r="BM3391" s="8">
        <v>4296034.8147457903</v>
      </c>
      <c r="BN3391" s="8">
        <v>5011380.7133147232</v>
      </c>
      <c r="BO3391" s="8">
        <v>9307415.5280605145</v>
      </c>
      <c r="BP3391" s="8">
        <v>6639939.9374971529</v>
      </c>
      <c r="BQ3391" s="8">
        <v>-2667475.5905633615</v>
      </c>
      <c r="BR3391" s="8" t="str">
        <v>Yes</v>
      </c>
    </row>
    <row r="3392" spans="54:70" x14ac:dyDescent="0.2">
      <c r="BB3392" s="94"/>
      <c r="BL3392" s="8">
        <v>3343</v>
      </c>
      <c r="BM3392" s="8">
        <v>5526427.0133697074</v>
      </c>
      <c r="BN3392" s="8">
        <v>5269867.7502982747</v>
      </c>
      <c r="BO3392" s="8">
        <v>10796294.763667982</v>
      </c>
      <c r="BP3392" s="8">
        <v>6140859.1143806558</v>
      </c>
      <c r="BQ3392" s="8">
        <v>-4655435.6492873263</v>
      </c>
      <c r="BR3392" s="8" t="str">
        <v>Yes</v>
      </c>
    </row>
    <row r="3393" spans="54:70" x14ac:dyDescent="0.2">
      <c r="BB3393" s="94"/>
      <c r="BL3393" s="8">
        <v>3344</v>
      </c>
      <c r="BM3393" s="8">
        <v>2819875.8926010039</v>
      </c>
      <c r="BN3393" s="8">
        <v>0</v>
      </c>
      <c r="BO3393" s="8">
        <v>2819875.8926010039</v>
      </c>
      <c r="BP3393" s="8">
        <v>6530632.0448343977</v>
      </c>
      <c r="BQ3393" s="8">
        <v>3710756.1522333939</v>
      </c>
      <c r="BR3393" s="8" t="str">
        <v>No</v>
      </c>
    </row>
    <row r="3394" spans="54:70" x14ac:dyDescent="0.2">
      <c r="BB3394" s="94"/>
      <c r="BL3394" s="8">
        <v>3345</v>
      </c>
      <c r="BM3394" s="8">
        <v>4095651.9973802445</v>
      </c>
      <c r="BN3394" s="8">
        <v>0</v>
      </c>
      <c r="BO3394" s="8">
        <v>4095651.9973802445</v>
      </c>
      <c r="BP3394" s="8">
        <v>3249451.7683878778</v>
      </c>
      <c r="BQ3394" s="8">
        <v>-846200.2289923667</v>
      </c>
      <c r="BR3394" s="8" t="str">
        <v>Yes</v>
      </c>
    </row>
    <row r="3395" spans="54:70" x14ac:dyDescent="0.2">
      <c r="BB3395" s="94"/>
      <c r="BL3395" s="8">
        <v>3346</v>
      </c>
      <c r="BM3395" s="8">
        <v>5069283.8016349003</v>
      </c>
      <c r="BN3395" s="8">
        <v>0</v>
      </c>
      <c r="BO3395" s="8">
        <v>5069283.8016349003</v>
      </c>
      <c r="BP3395" s="8">
        <v>4449586.6042453852</v>
      </c>
      <c r="BQ3395" s="8">
        <v>-619697.19738951512</v>
      </c>
      <c r="BR3395" s="8" t="str">
        <v>Yes</v>
      </c>
    </row>
    <row r="3396" spans="54:70" x14ac:dyDescent="0.2">
      <c r="BB3396" s="94"/>
      <c r="BL3396" s="8">
        <v>3347</v>
      </c>
      <c r="BM3396" s="8">
        <v>5196711.7982506249</v>
      </c>
      <c r="BN3396" s="8">
        <v>0</v>
      </c>
      <c r="BO3396" s="8">
        <v>5196711.7982506249</v>
      </c>
      <c r="BP3396" s="8">
        <v>2285006.2588106203</v>
      </c>
      <c r="BQ3396" s="8">
        <v>-2911705.5394400046</v>
      </c>
      <c r="BR3396" s="8" t="str">
        <v>Yes</v>
      </c>
    </row>
    <row r="3397" spans="54:70" x14ac:dyDescent="0.2">
      <c r="BB3397" s="94"/>
      <c r="BL3397" s="8">
        <v>3348</v>
      </c>
      <c r="BM3397" s="8">
        <v>5094904.9671876375</v>
      </c>
      <c r="BN3397" s="8">
        <v>5278489.8166817455</v>
      </c>
      <c r="BO3397" s="8">
        <v>10373394.783869382</v>
      </c>
      <c r="BP3397" s="8">
        <v>2510066.5213632556</v>
      </c>
      <c r="BQ3397" s="8">
        <v>-7863328.2625061264</v>
      </c>
      <c r="BR3397" s="8" t="str">
        <v>Yes</v>
      </c>
    </row>
    <row r="3398" spans="54:70" x14ac:dyDescent="0.2">
      <c r="BB3398" s="94"/>
      <c r="BL3398" s="8">
        <v>3349</v>
      </c>
      <c r="BM3398" s="8">
        <v>3492776.1090757689</v>
      </c>
      <c r="BN3398" s="8">
        <v>4521429.4916485604</v>
      </c>
      <c r="BO3398" s="8">
        <v>8014205.6007243292</v>
      </c>
      <c r="BP3398" s="8">
        <v>5829756.711842211</v>
      </c>
      <c r="BQ3398" s="8">
        <v>-2184448.8888821183</v>
      </c>
      <c r="BR3398" s="8" t="str">
        <v>Yes</v>
      </c>
    </row>
    <row r="3399" spans="54:70" x14ac:dyDescent="0.2">
      <c r="BB3399" s="94"/>
      <c r="BL3399" s="8">
        <v>3350</v>
      </c>
      <c r="BM3399" s="8">
        <v>6458179.7411287781</v>
      </c>
      <c r="BN3399" s="8">
        <v>2150369.8306698441</v>
      </c>
      <c r="BO3399" s="8">
        <v>8608549.5717986226</v>
      </c>
      <c r="BP3399" s="8">
        <v>6787170.4272651151</v>
      </c>
      <c r="BQ3399" s="8">
        <v>-1821379.1445335075</v>
      </c>
      <c r="BR3399" s="8" t="str">
        <v>Yes</v>
      </c>
    </row>
    <row r="3400" spans="54:70" x14ac:dyDescent="0.2">
      <c r="BB3400" s="94"/>
      <c r="BL3400" s="8">
        <v>3351</v>
      </c>
      <c r="BM3400" s="8">
        <v>3632245.0508074816</v>
      </c>
      <c r="BN3400" s="8">
        <v>4301484.8822130449</v>
      </c>
      <c r="BO3400" s="8">
        <v>7933729.9330205265</v>
      </c>
      <c r="BP3400" s="8">
        <v>3534938.1070418204</v>
      </c>
      <c r="BQ3400" s="8">
        <v>-4398791.8259787057</v>
      </c>
      <c r="BR3400" s="8" t="str">
        <v>Yes</v>
      </c>
    </row>
    <row r="3401" spans="54:70" x14ac:dyDescent="0.2">
      <c r="BB3401" s="94"/>
      <c r="BL3401" s="8">
        <v>3352</v>
      </c>
      <c r="BM3401" s="8">
        <v>4664044.037571582</v>
      </c>
      <c r="BN3401" s="8">
        <v>5168663.8300486412</v>
      </c>
      <c r="BO3401" s="8">
        <v>9832707.8676202223</v>
      </c>
      <c r="BP3401" s="8">
        <v>2218634.720756582</v>
      </c>
      <c r="BQ3401" s="8">
        <v>-7614073.1468636403</v>
      </c>
      <c r="BR3401" s="8" t="str">
        <v>Yes</v>
      </c>
    </row>
    <row r="3402" spans="54:70" x14ac:dyDescent="0.2">
      <c r="BB3402" s="94"/>
      <c r="BL3402" s="8">
        <v>3353</v>
      </c>
      <c r="BM3402" s="8">
        <v>2072466.1535881402</v>
      </c>
      <c r="BN3402" s="8">
        <v>-56206.074822727554</v>
      </c>
      <c r="BO3402" s="8">
        <v>2016260.0787654126</v>
      </c>
      <c r="BP3402" s="8">
        <v>6304725.7731930632</v>
      </c>
      <c r="BQ3402" s="8">
        <v>4288465.6944276504</v>
      </c>
      <c r="BR3402" s="8" t="str">
        <v>No</v>
      </c>
    </row>
    <row r="3403" spans="54:70" x14ac:dyDescent="0.2">
      <c r="BB3403" s="94"/>
      <c r="BL3403" s="8">
        <v>3354</v>
      </c>
      <c r="BM3403" s="8">
        <v>10287170.668699048</v>
      </c>
      <c r="BN3403" s="8">
        <v>11835970.263160173</v>
      </c>
      <c r="BO3403" s="8">
        <v>22123140.931859221</v>
      </c>
      <c r="BP3403" s="8">
        <v>3263419.7788819736</v>
      </c>
      <c r="BQ3403" s="8">
        <v>-18859721.152977247</v>
      </c>
      <c r="BR3403" s="8" t="str">
        <v>Yes</v>
      </c>
    </row>
    <row r="3404" spans="54:70" x14ac:dyDescent="0.2">
      <c r="BB3404" s="94"/>
      <c r="BL3404" s="8">
        <v>3355</v>
      </c>
      <c r="BM3404" s="8">
        <v>6908160.9529107297</v>
      </c>
      <c r="BN3404" s="8">
        <v>0</v>
      </c>
      <c r="BO3404" s="8">
        <v>6908160.9529107297</v>
      </c>
      <c r="BP3404" s="8">
        <v>4282562.9341317136</v>
      </c>
      <c r="BQ3404" s="8">
        <v>-2625598.0187790161</v>
      </c>
      <c r="BR3404" s="8" t="str">
        <v>Yes</v>
      </c>
    </row>
    <row r="3405" spans="54:70" x14ac:dyDescent="0.2">
      <c r="BB3405" s="94"/>
      <c r="BL3405" s="8">
        <v>3356</v>
      </c>
      <c r="BM3405" s="8">
        <v>7091972.250479402</v>
      </c>
      <c r="BN3405" s="8">
        <v>0</v>
      </c>
      <c r="BO3405" s="8">
        <v>7091972.250479402</v>
      </c>
      <c r="BP3405" s="8">
        <v>3280392.1786752944</v>
      </c>
      <c r="BQ3405" s="8">
        <v>-3811580.0718041076</v>
      </c>
      <c r="BR3405" s="8" t="str">
        <v>Yes</v>
      </c>
    </row>
    <row r="3406" spans="54:70" x14ac:dyDescent="0.2">
      <c r="BB3406" s="94"/>
      <c r="BL3406" s="8">
        <v>3357</v>
      </c>
      <c r="BM3406" s="8">
        <v>7629611.9416656876</v>
      </c>
      <c r="BN3406" s="8">
        <v>0</v>
      </c>
      <c r="BO3406" s="8">
        <v>7629611.9416656876</v>
      </c>
      <c r="BP3406" s="8">
        <v>2411613.5788964946</v>
      </c>
      <c r="BQ3406" s="8">
        <v>-5217998.362769193</v>
      </c>
      <c r="BR3406" s="8" t="str">
        <v>Yes</v>
      </c>
    </row>
    <row r="3407" spans="54:70" x14ac:dyDescent="0.2">
      <c r="BB3407" s="94"/>
      <c r="BL3407" s="8">
        <v>3358</v>
      </c>
      <c r="BM3407" s="8">
        <v>4108559.0796735277</v>
      </c>
      <c r="BN3407" s="8">
        <v>4771090.7580277752</v>
      </c>
      <c r="BO3407" s="8">
        <v>8879649.837701302</v>
      </c>
      <c r="BP3407" s="8">
        <v>3551345.2982852948</v>
      </c>
      <c r="BQ3407" s="8">
        <v>-5328304.5394160077</v>
      </c>
      <c r="BR3407" s="8" t="str">
        <v>Yes</v>
      </c>
    </row>
    <row r="3408" spans="54:70" x14ac:dyDescent="0.2">
      <c r="BB3408" s="94"/>
      <c r="BL3408" s="8">
        <v>3359</v>
      </c>
      <c r="BM3408" s="8">
        <v>7069201.3622644627</v>
      </c>
      <c r="BN3408" s="8">
        <v>0</v>
      </c>
      <c r="BO3408" s="8">
        <v>7069201.3622644627</v>
      </c>
      <c r="BP3408" s="8">
        <v>3463684.0237285378</v>
      </c>
      <c r="BQ3408" s="8">
        <v>-3605517.3385359249</v>
      </c>
      <c r="BR3408" s="8" t="str">
        <v>Yes</v>
      </c>
    </row>
    <row r="3409" spans="54:70" x14ac:dyDescent="0.2">
      <c r="BB3409" s="94"/>
      <c r="BL3409" s="8">
        <v>3360</v>
      </c>
      <c r="BM3409" s="8">
        <v>2924179.4484292511</v>
      </c>
      <c r="BN3409" s="8">
        <v>0</v>
      </c>
      <c r="BO3409" s="8">
        <v>2924179.4484292511</v>
      </c>
      <c r="BP3409" s="8">
        <v>2233530.4516836982</v>
      </c>
      <c r="BQ3409" s="8">
        <v>-690648.99674555287</v>
      </c>
      <c r="BR3409" s="8" t="str">
        <v>Yes</v>
      </c>
    </row>
    <row r="3410" spans="54:70" x14ac:dyDescent="0.2">
      <c r="BB3410" s="94"/>
      <c r="BL3410" s="8">
        <v>3361</v>
      </c>
      <c r="BM3410" s="8">
        <v>2752122.1775778988</v>
      </c>
      <c r="BN3410" s="8">
        <v>2222923.9109031414</v>
      </c>
      <c r="BO3410" s="8">
        <v>4975046.0884810407</v>
      </c>
      <c r="BP3410" s="8">
        <v>2256833.449299586</v>
      </c>
      <c r="BQ3410" s="8">
        <v>-2718212.6391814547</v>
      </c>
      <c r="BR3410" s="8" t="str">
        <v>Yes</v>
      </c>
    </row>
    <row r="3411" spans="54:70" x14ac:dyDescent="0.2">
      <c r="BB3411" s="94"/>
      <c r="BL3411" s="8">
        <v>3362</v>
      </c>
      <c r="BM3411" s="8">
        <v>5957343.0517255077</v>
      </c>
      <c r="BN3411" s="8">
        <v>0</v>
      </c>
      <c r="BO3411" s="8">
        <v>5957343.0517255077</v>
      </c>
      <c r="BP3411" s="8">
        <v>4529499.1449333122</v>
      </c>
      <c r="BQ3411" s="8">
        <v>-1427843.9067921955</v>
      </c>
      <c r="BR3411" s="8" t="str">
        <v>Yes</v>
      </c>
    </row>
    <row r="3412" spans="54:70" x14ac:dyDescent="0.2">
      <c r="BB3412" s="94"/>
      <c r="BL3412" s="8">
        <v>3363</v>
      </c>
      <c r="BM3412" s="8">
        <v>5284392.4246321972</v>
      </c>
      <c r="BN3412" s="8">
        <v>0</v>
      </c>
      <c r="BO3412" s="8">
        <v>5284392.4246321972</v>
      </c>
      <c r="BP3412" s="8">
        <v>3867178.0203110459</v>
      </c>
      <c r="BQ3412" s="8">
        <v>-1417214.4043211513</v>
      </c>
      <c r="BR3412" s="8" t="str">
        <v>Yes</v>
      </c>
    </row>
    <row r="3413" spans="54:70" x14ac:dyDescent="0.2">
      <c r="BB3413" s="94"/>
      <c r="BL3413" s="8">
        <v>3364</v>
      </c>
      <c r="BM3413" s="8">
        <v>3992110.1931018345</v>
      </c>
      <c r="BN3413" s="8">
        <v>0</v>
      </c>
      <c r="BO3413" s="8">
        <v>3992110.1931018345</v>
      </c>
      <c r="BP3413" s="8">
        <v>4151111.3127685492</v>
      </c>
      <c r="BQ3413" s="8">
        <v>159001.11966671469</v>
      </c>
      <c r="BR3413" s="8" t="str">
        <v>No</v>
      </c>
    </row>
    <row r="3414" spans="54:70" x14ac:dyDescent="0.2">
      <c r="BB3414" s="94"/>
      <c r="BL3414" s="8">
        <v>3365</v>
      </c>
      <c r="BM3414" s="8">
        <v>4676487.0666161738</v>
      </c>
      <c r="BN3414" s="8">
        <v>0</v>
      </c>
      <c r="BO3414" s="8">
        <v>4676487.0666161738</v>
      </c>
      <c r="BP3414" s="8">
        <v>3092712.2394366791</v>
      </c>
      <c r="BQ3414" s="8">
        <v>-1583774.8271794948</v>
      </c>
      <c r="BR3414" s="8" t="str">
        <v>Yes</v>
      </c>
    </row>
    <row r="3415" spans="54:70" x14ac:dyDescent="0.2">
      <c r="BB3415" s="94"/>
      <c r="BL3415" s="8">
        <v>3366</v>
      </c>
      <c r="BM3415" s="8">
        <v>2927240.1287740609</v>
      </c>
      <c r="BN3415" s="8">
        <v>1808985.6053890157</v>
      </c>
      <c r="BO3415" s="8">
        <v>4736225.7341630766</v>
      </c>
      <c r="BP3415" s="8">
        <v>2751146.3997629886</v>
      </c>
      <c r="BQ3415" s="8">
        <v>-1985079.3344000881</v>
      </c>
      <c r="BR3415" s="8" t="str">
        <v>Yes</v>
      </c>
    </row>
    <row r="3416" spans="54:70" x14ac:dyDescent="0.2">
      <c r="BB3416" s="94"/>
      <c r="BL3416" s="8">
        <v>3367</v>
      </c>
      <c r="BM3416" s="8">
        <v>5587241.1152553819</v>
      </c>
      <c r="BN3416" s="8">
        <v>8461804.2464093808</v>
      </c>
      <c r="BO3416" s="8">
        <v>14049045.361664763</v>
      </c>
      <c r="BP3416" s="8">
        <v>3687095.3036970892</v>
      </c>
      <c r="BQ3416" s="8">
        <v>-10361950.057967674</v>
      </c>
      <c r="BR3416" s="8" t="str">
        <v>Yes</v>
      </c>
    </row>
    <row r="3417" spans="54:70" x14ac:dyDescent="0.2">
      <c r="BB3417" s="94"/>
      <c r="BL3417" s="8">
        <v>3368</v>
      </c>
      <c r="BM3417" s="8">
        <v>7000934.443102926</v>
      </c>
      <c r="BN3417" s="8">
        <v>0</v>
      </c>
      <c r="BO3417" s="8">
        <v>7000934.443102926</v>
      </c>
      <c r="BP3417" s="8">
        <v>4021011.2189537045</v>
      </c>
      <c r="BQ3417" s="8">
        <v>-2979923.2241492216</v>
      </c>
      <c r="BR3417" s="8" t="str">
        <v>Yes</v>
      </c>
    </row>
    <row r="3418" spans="54:70" x14ac:dyDescent="0.2">
      <c r="BB3418" s="94"/>
      <c r="BL3418" s="8">
        <v>3369</v>
      </c>
      <c r="BM3418" s="8">
        <v>10540013.761839194</v>
      </c>
      <c r="BN3418" s="8">
        <v>5826027.9237150373</v>
      </c>
      <c r="BO3418" s="8">
        <v>16366041.685554232</v>
      </c>
      <c r="BP3418" s="8">
        <v>5690108.8140553413</v>
      </c>
      <c r="BQ3418" s="8">
        <v>-10675932.87149889</v>
      </c>
      <c r="BR3418" s="8" t="str">
        <v>Yes</v>
      </c>
    </row>
    <row r="3419" spans="54:70" x14ac:dyDescent="0.2">
      <c r="BB3419" s="94"/>
      <c r="BL3419" s="8">
        <v>3370</v>
      </c>
      <c r="BM3419" s="8">
        <v>3095184.1017801957</v>
      </c>
      <c r="BN3419" s="8">
        <v>2957284.0796272433</v>
      </c>
      <c r="BO3419" s="8">
        <v>6052468.1814074386</v>
      </c>
      <c r="BP3419" s="8">
        <v>2366103.1288206917</v>
      </c>
      <c r="BQ3419" s="8">
        <v>-3686365.0525867469</v>
      </c>
      <c r="BR3419" s="8" t="str">
        <v>Yes</v>
      </c>
    </row>
    <row r="3420" spans="54:70" x14ac:dyDescent="0.2">
      <c r="BB3420" s="94"/>
      <c r="BL3420" s="8">
        <v>3371</v>
      </c>
      <c r="BM3420" s="8">
        <v>5783434.6365166856</v>
      </c>
      <c r="BN3420" s="8">
        <v>5008584.8499530973</v>
      </c>
      <c r="BO3420" s="8">
        <v>10792019.486469783</v>
      </c>
      <c r="BP3420" s="8">
        <v>3248208.3078112644</v>
      </c>
      <c r="BQ3420" s="8">
        <v>-7543811.1786585189</v>
      </c>
      <c r="BR3420" s="8" t="str">
        <v>Yes</v>
      </c>
    </row>
    <row r="3421" spans="54:70" x14ac:dyDescent="0.2">
      <c r="BB3421" s="94"/>
      <c r="BL3421" s="8">
        <v>3372</v>
      </c>
      <c r="BM3421" s="8">
        <v>2764480.434655102</v>
      </c>
      <c r="BN3421" s="8">
        <v>0</v>
      </c>
      <c r="BO3421" s="8">
        <v>2764480.434655102</v>
      </c>
      <c r="BP3421" s="8">
        <v>3284593.9708162639</v>
      </c>
      <c r="BQ3421" s="8">
        <v>520113.53616116196</v>
      </c>
      <c r="BR3421" s="8" t="str">
        <v>No</v>
      </c>
    </row>
    <row r="3422" spans="54:70" x14ac:dyDescent="0.2">
      <c r="BB3422" s="94"/>
      <c r="BL3422" s="8">
        <v>3373</v>
      </c>
      <c r="BM3422" s="8">
        <v>5043378.6389711611</v>
      </c>
      <c r="BN3422" s="8">
        <v>4945444.7786969049</v>
      </c>
      <c r="BO3422" s="8">
        <v>9988823.4176680669</v>
      </c>
      <c r="BP3422" s="8">
        <v>4148934.0842226576</v>
      </c>
      <c r="BQ3422" s="8">
        <v>-5839889.3334454093</v>
      </c>
      <c r="BR3422" s="8" t="str">
        <v>Yes</v>
      </c>
    </row>
    <row r="3423" spans="54:70" x14ac:dyDescent="0.2">
      <c r="BB3423" s="94"/>
      <c r="BL3423" s="8">
        <v>3374</v>
      </c>
      <c r="BM3423" s="8">
        <v>8217616.6889394857</v>
      </c>
      <c r="BN3423" s="8">
        <v>7427976.1716572652</v>
      </c>
      <c r="BO3423" s="8">
        <v>15645592.86059675</v>
      </c>
      <c r="BP3423" s="8">
        <v>2292435.6992791011</v>
      </c>
      <c r="BQ3423" s="8">
        <v>-13353157.161317648</v>
      </c>
      <c r="BR3423" s="8" t="str">
        <v>Yes</v>
      </c>
    </row>
    <row r="3424" spans="54:70" x14ac:dyDescent="0.2">
      <c r="BB3424" s="94"/>
      <c r="BL3424" s="8">
        <v>3375</v>
      </c>
      <c r="BM3424" s="8">
        <v>4861894.8541446943</v>
      </c>
      <c r="BN3424" s="8">
        <v>0</v>
      </c>
      <c r="BO3424" s="8">
        <v>4861894.8541446943</v>
      </c>
      <c r="BP3424" s="8">
        <v>4294340.452036622</v>
      </c>
      <c r="BQ3424" s="8">
        <v>-567554.4021080723</v>
      </c>
      <c r="BR3424" s="8" t="str">
        <v>Yes</v>
      </c>
    </row>
    <row r="3425" spans="54:70" x14ac:dyDescent="0.2">
      <c r="BB3425" s="94"/>
      <c r="BL3425" s="8">
        <v>3376</v>
      </c>
      <c r="BM3425" s="8">
        <v>4325848.1140787117</v>
      </c>
      <c r="BN3425" s="8">
        <v>0</v>
      </c>
      <c r="BO3425" s="8">
        <v>4325848.1140787117</v>
      </c>
      <c r="BP3425" s="8">
        <v>6627047.4343498107</v>
      </c>
      <c r="BQ3425" s="8">
        <v>2301199.320271099</v>
      </c>
      <c r="BR3425" s="8" t="str">
        <v>No</v>
      </c>
    </row>
    <row r="3426" spans="54:70" x14ac:dyDescent="0.2">
      <c r="BB3426" s="94"/>
      <c r="BL3426" s="8">
        <v>3377</v>
      </c>
      <c r="BM3426" s="8">
        <v>2182482.9160429202</v>
      </c>
      <c r="BN3426" s="8">
        <v>0</v>
      </c>
      <c r="BO3426" s="8">
        <v>2182482.9160429202</v>
      </c>
      <c r="BP3426" s="8">
        <v>3311804.4652118459</v>
      </c>
      <c r="BQ3426" s="8">
        <v>1129321.5491689257</v>
      </c>
      <c r="BR3426" s="8" t="str">
        <v>No</v>
      </c>
    </row>
    <row r="3427" spans="54:70" x14ac:dyDescent="0.2">
      <c r="BB3427" s="94"/>
      <c r="BL3427" s="8">
        <v>3378</v>
      </c>
      <c r="BM3427" s="8">
        <v>2507532.063807507</v>
      </c>
      <c r="BN3427" s="8">
        <v>2403752.3416222427</v>
      </c>
      <c r="BO3427" s="8">
        <v>4911284.4054297497</v>
      </c>
      <c r="BP3427" s="8">
        <v>3843697.1894050059</v>
      </c>
      <c r="BQ3427" s="8">
        <v>-1067587.2160247439</v>
      </c>
      <c r="BR3427" s="8" t="str">
        <v>Yes</v>
      </c>
    </row>
    <row r="3428" spans="54:70" x14ac:dyDescent="0.2">
      <c r="BB3428" s="94"/>
      <c r="BL3428" s="8">
        <v>3379</v>
      </c>
      <c r="BM3428" s="8">
        <v>3360340.9041985078</v>
      </c>
      <c r="BN3428" s="8">
        <v>0</v>
      </c>
      <c r="BO3428" s="8">
        <v>3360340.9041985078</v>
      </c>
      <c r="BP3428" s="8">
        <v>5986991.6242524674</v>
      </c>
      <c r="BQ3428" s="8">
        <v>2626650.7200539596</v>
      </c>
      <c r="BR3428" s="8" t="str">
        <v>No</v>
      </c>
    </row>
    <row r="3429" spans="54:70" x14ac:dyDescent="0.2">
      <c r="BB3429" s="94"/>
      <c r="BL3429" s="8">
        <v>3380</v>
      </c>
      <c r="BM3429" s="8">
        <v>3993017.4968613097</v>
      </c>
      <c r="BN3429" s="8">
        <v>2110494.093029771</v>
      </c>
      <c r="BO3429" s="8">
        <v>6103511.5898910807</v>
      </c>
      <c r="BP3429" s="8">
        <v>4460832.0096049374</v>
      </c>
      <c r="BQ3429" s="8">
        <v>-1642679.5802861433</v>
      </c>
      <c r="BR3429" s="8" t="str">
        <v>Yes</v>
      </c>
    </row>
    <row r="3430" spans="54:70" x14ac:dyDescent="0.2">
      <c r="BB3430" s="94"/>
      <c r="BL3430" s="8">
        <v>3381</v>
      </c>
      <c r="BM3430" s="8">
        <v>6155039.2478734832</v>
      </c>
      <c r="BN3430" s="8">
        <v>10087032.924714934</v>
      </c>
      <c r="BO3430" s="8">
        <v>16242072.172588417</v>
      </c>
      <c r="BP3430" s="8">
        <v>4616158.161081953</v>
      </c>
      <c r="BQ3430" s="8">
        <v>-11625914.011506464</v>
      </c>
      <c r="BR3430" s="8" t="str">
        <v>Yes</v>
      </c>
    </row>
    <row r="3431" spans="54:70" x14ac:dyDescent="0.2">
      <c r="BB3431" s="94"/>
      <c r="BL3431" s="8">
        <v>3382</v>
      </c>
      <c r="BM3431" s="8">
        <v>8454193.8368332796</v>
      </c>
      <c r="BN3431" s="8">
        <v>6041089.18628495</v>
      </c>
      <c r="BO3431" s="8">
        <v>14495283.02311823</v>
      </c>
      <c r="BP3431" s="8">
        <v>6326294.6424445221</v>
      </c>
      <c r="BQ3431" s="8">
        <v>-8168988.3806737075</v>
      </c>
      <c r="BR3431" s="8" t="str">
        <v>Yes</v>
      </c>
    </row>
    <row r="3432" spans="54:70" x14ac:dyDescent="0.2">
      <c r="BB3432" s="94"/>
      <c r="BL3432" s="8">
        <v>3383</v>
      </c>
      <c r="BM3432" s="8">
        <v>4525921.5225537289</v>
      </c>
      <c r="BN3432" s="8">
        <v>0</v>
      </c>
      <c r="BO3432" s="8">
        <v>4525921.5225537289</v>
      </c>
      <c r="BP3432" s="8">
        <v>2453313.6641280274</v>
      </c>
      <c r="BQ3432" s="8">
        <v>-2072607.8584257015</v>
      </c>
      <c r="BR3432" s="8" t="str">
        <v>Yes</v>
      </c>
    </row>
    <row r="3433" spans="54:70" x14ac:dyDescent="0.2">
      <c r="BB3433" s="94"/>
      <c r="BL3433" s="8">
        <v>3384</v>
      </c>
      <c r="BM3433" s="8">
        <v>4548365.0974345757</v>
      </c>
      <c r="BN3433" s="8">
        <v>5047146.2594920285</v>
      </c>
      <c r="BO3433" s="8">
        <v>9595511.3569266051</v>
      </c>
      <c r="BP3433" s="8">
        <v>6370365.0471782545</v>
      </c>
      <c r="BQ3433" s="8">
        <v>-3225146.3097483506</v>
      </c>
      <c r="BR3433" s="8" t="str">
        <v>Yes</v>
      </c>
    </row>
    <row r="3434" spans="54:70" x14ac:dyDescent="0.2">
      <c r="BB3434" s="94"/>
      <c r="BL3434" s="8">
        <v>3385</v>
      </c>
      <c r="BM3434" s="8">
        <v>6733219.3758343365</v>
      </c>
      <c r="BN3434" s="8">
        <v>0</v>
      </c>
      <c r="BO3434" s="8">
        <v>6733219.3758343365</v>
      </c>
      <c r="BP3434" s="8">
        <v>5892994.1099752411</v>
      </c>
      <c r="BQ3434" s="8">
        <v>-840225.26585909538</v>
      </c>
      <c r="BR3434" s="8" t="str">
        <v>Yes</v>
      </c>
    </row>
    <row r="3435" spans="54:70" x14ac:dyDescent="0.2">
      <c r="BB3435" s="94"/>
      <c r="BL3435" s="8">
        <v>3386</v>
      </c>
      <c r="BM3435" s="8">
        <v>4178293.240380086</v>
      </c>
      <c r="BN3435" s="8">
        <v>3335962.2682770276</v>
      </c>
      <c r="BO3435" s="8">
        <v>7514255.5086571136</v>
      </c>
      <c r="BP3435" s="8">
        <v>6339423.8484644117</v>
      </c>
      <c r="BQ3435" s="8">
        <v>-1174831.660192702</v>
      </c>
      <c r="BR3435" s="8" t="str">
        <v>Yes</v>
      </c>
    </row>
    <row r="3436" spans="54:70" x14ac:dyDescent="0.2">
      <c r="BB3436" s="94"/>
      <c r="BL3436" s="8">
        <v>3387</v>
      </c>
      <c r="BM3436" s="8">
        <v>9572690.9472298082</v>
      </c>
      <c r="BN3436" s="8">
        <v>8556007.7194128931</v>
      </c>
      <c r="BO3436" s="8">
        <v>18128698.666642703</v>
      </c>
      <c r="BP3436" s="8">
        <v>4165532.1165934876</v>
      </c>
      <c r="BQ3436" s="8">
        <v>-13963166.550049216</v>
      </c>
      <c r="BR3436" s="8" t="str">
        <v>Yes</v>
      </c>
    </row>
    <row r="3437" spans="54:70" x14ac:dyDescent="0.2">
      <c r="BB3437" s="94"/>
      <c r="BL3437" s="8">
        <v>3388</v>
      </c>
      <c r="BM3437" s="8">
        <v>4240276.0462674694</v>
      </c>
      <c r="BN3437" s="8">
        <v>0</v>
      </c>
      <c r="BO3437" s="8">
        <v>4240276.0462674694</v>
      </c>
      <c r="BP3437" s="8">
        <v>2533610.6258442481</v>
      </c>
      <c r="BQ3437" s="8">
        <v>-1706665.4204232213</v>
      </c>
      <c r="BR3437" s="8" t="str">
        <v>Yes</v>
      </c>
    </row>
    <row r="3438" spans="54:70" x14ac:dyDescent="0.2">
      <c r="BB3438" s="94"/>
      <c r="BL3438" s="8">
        <v>3389</v>
      </c>
      <c r="BM3438" s="8">
        <v>11131340.505610865</v>
      </c>
      <c r="BN3438" s="8">
        <v>0</v>
      </c>
      <c r="BO3438" s="8">
        <v>11131340.505610865</v>
      </c>
      <c r="BP3438" s="8">
        <v>2151284.7203041036</v>
      </c>
      <c r="BQ3438" s="8">
        <v>-8980055.785306761</v>
      </c>
      <c r="BR3438" s="8" t="str">
        <v>Yes</v>
      </c>
    </row>
    <row r="3439" spans="54:70" x14ac:dyDescent="0.2">
      <c r="BB3439" s="94"/>
      <c r="BL3439" s="8">
        <v>3390</v>
      </c>
      <c r="BM3439" s="8">
        <v>2603301.4992484497</v>
      </c>
      <c r="BN3439" s="8">
        <v>729290.41065611597</v>
      </c>
      <c r="BO3439" s="8">
        <v>3332591.9099045657</v>
      </c>
      <c r="BP3439" s="8">
        <v>4139685.4596083937</v>
      </c>
      <c r="BQ3439" s="8">
        <v>807093.54970382806</v>
      </c>
      <c r="BR3439" s="8" t="str">
        <v>No</v>
      </c>
    </row>
    <row r="3440" spans="54:70" x14ac:dyDescent="0.2">
      <c r="BB3440" s="94"/>
      <c r="BL3440" s="8">
        <v>3391</v>
      </c>
      <c r="BM3440" s="8">
        <v>3234294.8353893934</v>
      </c>
      <c r="BN3440" s="8">
        <v>1596651.7525248122</v>
      </c>
      <c r="BO3440" s="8">
        <v>4830946.5879142061</v>
      </c>
      <c r="BP3440" s="8">
        <v>2241164.7300933818</v>
      </c>
      <c r="BQ3440" s="8">
        <v>-2589781.8578208243</v>
      </c>
      <c r="BR3440" s="8" t="str">
        <v>Yes</v>
      </c>
    </row>
    <row r="3441" spans="54:70" x14ac:dyDescent="0.2">
      <c r="BB3441" s="94"/>
      <c r="BL3441" s="8">
        <v>3392</v>
      </c>
      <c r="BM3441" s="8">
        <v>3687068.6013621176</v>
      </c>
      <c r="BN3441" s="8">
        <v>0</v>
      </c>
      <c r="BO3441" s="8">
        <v>3687068.6013621176</v>
      </c>
      <c r="BP3441" s="8">
        <v>3291566.264294039</v>
      </c>
      <c r="BQ3441" s="8">
        <v>-395502.33706807857</v>
      </c>
      <c r="BR3441" s="8" t="str">
        <v>Yes</v>
      </c>
    </row>
    <row r="3442" spans="54:70" x14ac:dyDescent="0.2">
      <c r="BB3442" s="94"/>
      <c r="BL3442" s="8">
        <v>3393</v>
      </c>
      <c r="BM3442" s="8">
        <v>2943345.8345003622</v>
      </c>
      <c r="BN3442" s="8">
        <v>0</v>
      </c>
      <c r="BO3442" s="8">
        <v>2943345.8345003622</v>
      </c>
      <c r="BP3442" s="8">
        <v>3546262.6129376637</v>
      </c>
      <c r="BQ3442" s="8">
        <v>602916.77843730152</v>
      </c>
      <c r="BR3442" s="8" t="str">
        <v>No</v>
      </c>
    </row>
    <row r="3443" spans="54:70" x14ac:dyDescent="0.2">
      <c r="BB3443" s="94"/>
      <c r="BL3443" s="8">
        <v>3394</v>
      </c>
      <c r="BM3443" s="8">
        <v>3943694.7875825809</v>
      </c>
      <c r="BN3443" s="8">
        <v>0</v>
      </c>
      <c r="BO3443" s="8">
        <v>3943694.7875825809</v>
      </c>
      <c r="BP3443" s="8">
        <v>4074822.9363054712</v>
      </c>
      <c r="BQ3443" s="8">
        <v>131128.1487228903</v>
      </c>
      <c r="BR3443" s="8" t="str">
        <v>No</v>
      </c>
    </row>
    <row r="3444" spans="54:70" x14ac:dyDescent="0.2">
      <c r="BB3444" s="94"/>
      <c r="BL3444" s="8">
        <v>3395</v>
      </c>
      <c r="BM3444" s="8">
        <v>8369343.5457386281</v>
      </c>
      <c r="BN3444" s="8">
        <v>0</v>
      </c>
      <c r="BO3444" s="8">
        <v>8369343.5457386281</v>
      </c>
      <c r="BP3444" s="8">
        <v>3343880.2015134962</v>
      </c>
      <c r="BQ3444" s="8">
        <v>-5025463.3442251319</v>
      </c>
      <c r="BR3444" s="8" t="str">
        <v>Yes</v>
      </c>
    </row>
    <row r="3445" spans="54:70" x14ac:dyDescent="0.2">
      <c r="BB3445" s="94"/>
      <c r="BL3445" s="8">
        <v>3396</v>
      </c>
      <c r="BM3445" s="8">
        <v>2637287.5956721902</v>
      </c>
      <c r="BN3445" s="8">
        <v>3126938.8535507121</v>
      </c>
      <c r="BO3445" s="8">
        <v>5764226.4492229018</v>
      </c>
      <c r="BP3445" s="8">
        <v>2329815.6175755188</v>
      </c>
      <c r="BQ3445" s="8">
        <v>-3434410.831647383</v>
      </c>
      <c r="BR3445" s="8" t="str">
        <v>Yes</v>
      </c>
    </row>
    <row r="3446" spans="54:70" x14ac:dyDescent="0.2">
      <c r="BB3446" s="94"/>
      <c r="BL3446" s="8">
        <v>3397</v>
      </c>
      <c r="BM3446" s="8">
        <v>4335731.5557415746</v>
      </c>
      <c r="BN3446" s="8">
        <v>2994455.0202643909</v>
      </c>
      <c r="BO3446" s="8">
        <v>7330186.5760059655</v>
      </c>
      <c r="BP3446" s="8">
        <v>6441057.4333559414</v>
      </c>
      <c r="BQ3446" s="8">
        <v>-889129.14265002403</v>
      </c>
      <c r="BR3446" s="8" t="str">
        <v>Yes</v>
      </c>
    </row>
    <row r="3447" spans="54:70" x14ac:dyDescent="0.2">
      <c r="BB3447" s="94"/>
      <c r="BL3447" s="8">
        <v>3398</v>
      </c>
      <c r="BM3447" s="8">
        <v>9135262.1933028214</v>
      </c>
      <c r="BN3447" s="8">
        <v>5350999.8728642352</v>
      </c>
      <c r="BO3447" s="8">
        <v>14486262.066167057</v>
      </c>
      <c r="BP3447" s="8">
        <v>4111486.8418707601</v>
      </c>
      <c r="BQ3447" s="8">
        <v>-10374775.224296296</v>
      </c>
      <c r="BR3447" s="8" t="str">
        <v>Yes</v>
      </c>
    </row>
    <row r="3448" spans="54:70" x14ac:dyDescent="0.2">
      <c r="BB3448" s="94"/>
      <c r="BL3448" s="8">
        <v>3399</v>
      </c>
      <c r="BM3448" s="8">
        <v>12185307.994562959</v>
      </c>
      <c r="BN3448" s="8">
        <v>1532161.8406213603</v>
      </c>
      <c r="BO3448" s="8">
        <v>13717469.835184319</v>
      </c>
      <c r="BP3448" s="8">
        <v>2366391.8578085764</v>
      </c>
      <c r="BQ3448" s="8">
        <v>-11351077.977375742</v>
      </c>
      <c r="BR3448" s="8" t="str">
        <v>Yes</v>
      </c>
    </row>
    <row r="3449" spans="54:70" x14ac:dyDescent="0.2">
      <c r="BB3449" s="94"/>
      <c r="BL3449" s="8">
        <v>3400</v>
      </c>
      <c r="BM3449" s="8">
        <v>5002057.6467448082</v>
      </c>
      <c r="BN3449" s="8">
        <v>0</v>
      </c>
      <c r="BO3449" s="8">
        <v>5002057.6467448082</v>
      </c>
      <c r="BP3449" s="8">
        <v>3434673.2264988935</v>
      </c>
      <c r="BQ3449" s="8">
        <v>-1567384.4202459147</v>
      </c>
      <c r="BR3449" s="8" t="str">
        <v>Yes</v>
      </c>
    </row>
    <row r="3450" spans="54:70" x14ac:dyDescent="0.2">
      <c r="BB3450" s="94"/>
      <c r="BL3450" s="8">
        <v>3401</v>
      </c>
      <c r="BM3450" s="8">
        <v>5381934.2910295296</v>
      </c>
      <c r="BN3450" s="8">
        <v>4933292.2910581734</v>
      </c>
      <c r="BO3450" s="8">
        <v>10315226.582087703</v>
      </c>
      <c r="BP3450" s="8">
        <v>3302700.3622117322</v>
      </c>
      <c r="BQ3450" s="8">
        <v>-7012526.2198759709</v>
      </c>
      <c r="BR3450" s="8" t="str">
        <v>Yes</v>
      </c>
    </row>
    <row r="3451" spans="54:70" x14ac:dyDescent="0.2">
      <c r="BB3451" s="94"/>
      <c r="BL3451" s="8">
        <v>3402</v>
      </c>
      <c r="BM3451" s="8">
        <v>3061348.2552478807</v>
      </c>
      <c r="BN3451" s="8">
        <v>0</v>
      </c>
      <c r="BO3451" s="8">
        <v>3061348.2552478807</v>
      </c>
      <c r="BP3451" s="8">
        <v>2382125.1061854931</v>
      </c>
      <c r="BQ3451" s="8">
        <v>-679223.14906238765</v>
      </c>
      <c r="BR3451" s="8" t="str">
        <v>Yes</v>
      </c>
    </row>
    <row r="3452" spans="54:70" x14ac:dyDescent="0.2">
      <c r="BB3452" s="94"/>
      <c r="BL3452" s="8">
        <v>3403</v>
      </c>
      <c r="BM3452" s="8">
        <v>2943760.9194250526</v>
      </c>
      <c r="BN3452" s="8">
        <v>0</v>
      </c>
      <c r="BO3452" s="8">
        <v>2943760.9194250526</v>
      </c>
      <c r="BP3452" s="8">
        <v>6076644.9657210251</v>
      </c>
      <c r="BQ3452" s="8">
        <v>3132884.0462959725</v>
      </c>
      <c r="BR3452" s="8" t="str">
        <v>No</v>
      </c>
    </row>
    <row r="3453" spans="54:70" x14ac:dyDescent="0.2">
      <c r="BB3453" s="94"/>
      <c r="BL3453" s="8">
        <v>3404</v>
      </c>
      <c r="BM3453" s="8">
        <v>4275003.6286814092</v>
      </c>
      <c r="BN3453" s="8">
        <v>393754.81623651698</v>
      </c>
      <c r="BO3453" s="8">
        <v>4668758.4449179266</v>
      </c>
      <c r="BP3453" s="8">
        <v>7008565.7862948198</v>
      </c>
      <c r="BQ3453" s="8">
        <v>2339807.3413768932</v>
      </c>
      <c r="BR3453" s="8" t="str">
        <v>No</v>
      </c>
    </row>
    <row r="3454" spans="54:70" x14ac:dyDescent="0.2">
      <c r="BB3454" s="94"/>
      <c r="BL3454" s="8">
        <v>3405</v>
      </c>
      <c r="BM3454" s="8">
        <v>2304108.5254318984</v>
      </c>
      <c r="BN3454" s="8">
        <v>1988506.9122697371</v>
      </c>
      <c r="BO3454" s="8">
        <v>4292615.4377016351</v>
      </c>
      <c r="BP3454" s="8">
        <v>2441929.6331626596</v>
      </c>
      <c r="BQ3454" s="8">
        <v>-1850685.8045389755</v>
      </c>
      <c r="BR3454" s="8" t="str">
        <v>Yes</v>
      </c>
    </row>
    <row r="3455" spans="54:70" x14ac:dyDescent="0.2">
      <c r="BB3455" s="94"/>
      <c r="BL3455" s="8">
        <v>3406</v>
      </c>
      <c r="BM3455" s="8">
        <v>5018959.607953988</v>
      </c>
      <c r="BN3455" s="8">
        <v>1894901.3704386002</v>
      </c>
      <c r="BO3455" s="8">
        <v>6913860.978392588</v>
      </c>
      <c r="BP3455" s="8">
        <v>6413278.6232548561</v>
      </c>
      <c r="BQ3455" s="8">
        <v>-500582.35513773188</v>
      </c>
      <c r="BR3455" s="8" t="str">
        <v>Yes</v>
      </c>
    </row>
    <row r="3456" spans="54:70" x14ac:dyDescent="0.2">
      <c r="BB3456" s="94"/>
      <c r="BL3456" s="8">
        <v>3407</v>
      </c>
      <c r="BM3456" s="8">
        <v>8113574.9278889503</v>
      </c>
      <c r="BN3456" s="8">
        <v>7385161.9720282918</v>
      </c>
      <c r="BO3456" s="8">
        <v>15498736.899917241</v>
      </c>
      <c r="BP3456" s="8">
        <v>3329785.3178012893</v>
      </c>
      <c r="BQ3456" s="8">
        <v>-12168951.582115952</v>
      </c>
      <c r="BR3456" s="8" t="str">
        <v>Yes</v>
      </c>
    </row>
    <row r="3457" spans="54:70" x14ac:dyDescent="0.2">
      <c r="BB3457" s="94"/>
      <c r="BL3457" s="8">
        <v>3408</v>
      </c>
      <c r="BM3457" s="8">
        <v>4968384.8402949832</v>
      </c>
      <c r="BN3457" s="8">
        <v>5113202.1635172339</v>
      </c>
      <c r="BO3457" s="8">
        <v>10081587.003812216</v>
      </c>
      <c r="BP3457" s="8">
        <v>4483235.3147954578</v>
      </c>
      <c r="BQ3457" s="8">
        <v>-5598351.6890167585</v>
      </c>
      <c r="BR3457" s="8" t="str">
        <v>Yes</v>
      </c>
    </row>
    <row r="3458" spans="54:70" x14ac:dyDescent="0.2">
      <c r="BB3458" s="94"/>
      <c r="BL3458" s="8">
        <v>3409</v>
      </c>
      <c r="BM3458" s="8">
        <v>4044841.8374530794</v>
      </c>
      <c r="BN3458" s="8">
        <v>2280413.6357023348</v>
      </c>
      <c r="BO3458" s="8">
        <v>6325255.4731554147</v>
      </c>
      <c r="BP3458" s="8">
        <v>4442469.888329613</v>
      </c>
      <c r="BQ3458" s="8">
        <v>-1882785.5848258017</v>
      </c>
      <c r="BR3458" s="8" t="str">
        <v>Yes</v>
      </c>
    </row>
    <row r="3459" spans="54:70" x14ac:dyDescent="0.2">
      <c r="BB3459" s="94"/>
      <c r="BL3459" s="8">
        <v>3410</v>
      </c>
      <c r="BM3459" s="8">
        <v>5898104.531556474</v>
      </c>
      <c r="BN3459" s="8">
        <v>0</v>
      </c>
      <c r="BO3459" s="8">
        <v>5898104.531556474</v>
      </c>
      <c r="BP3459" s="8">
        <v>2371290.470299182</v>
      </c>
      <c r="BQ3459" s="8">
        <v>-3526814.0612572921</v>
      </c>
      <c r="BR3459" s="8" t="str">
        <v>Yes</v>
      </c>
    </row>
    <row r="3460" spans="54:70" x14ac:dyDescent="0.2">
      <c r="BB3460" s="94"/>
      <c r="BL3460" s="8">
        <v>3411</v>
      </c>
      <c r="BM3460" s="8">
        <v>3933852.8446597517</v>
      </c>
      <c r="BN3460" s="8">
        <v>0</v>
      </c>
      <c r="BO3460" s="8">
        <v>3933852.8446597517</v>
      </c>
      <c r="BP3460" s="8">
        <v>3340336.1148982723</v>
      </c>
      <c r="BQ3460" s="8">
        <v>-593516.72976147942</v>
      </c>
      <c r="BR3460" s="8" t="str">
        <v>Yes</v>
      </c>
    </row>
    <row r="3461" spans="54:70" x14ac:dyDescent="0.2">
      <c r="BB3461" s="94"/>
      <c r="BL3461" s="8">
        <v>3412</v>
      </c>
      <c r="BM3461" s="8">
        <v>1514997.7673081444</v>
      </c>
      <c r="BN3461" s="8">
        <v>739607.94004591252</v>
      </c>
      <c r="BO3461" s="8">
        <v>2254605.7073540566</v>
      </c>
      <c r="BP3461" s="8">
        <v>3133996.8672200018</v>
      </c>
      <c r="BQ3461" s="8">
        <v>879391.15986594511</v>
      </c>
      <c r="BR3461" s="8" t="str">
        <v>No</v>
      </c>
    </row>
    <row r="3462" spans="54:70" x14ac:dyDescent="0.2">
      <c r="BB3462" s="94"/>
      <c r="BL3462" s="8">
        <v>3413</v>
      </c>
      <c r="BM3462" s="8">
        <v>1848638.3910647444</v>
      </c>
      <c r="BN3462" s="8">
        <v>1205186.8529836007</v>
      </c>
      <c r="BO3462" s="8">
        <v>3053825.2440483449</v>
      </c>
      <c r="BP3462" s="8">
        <v>2382743.4427673649</v>
      </c>
      <c r="BQ3462" s="8">
        <v>-671081.80128098</v>
      </c>
      <c r="BR3462" s="8" t="str">
        <v>Yes</v>
      </c>
    </row>
    <row r="3463" spans="54:70" x14ac:dyDescent="0.2">
      <c r="BB3463" s="94"/>
      <c r="BL3463" s="8">
        <v>3414</v>
      </c>
      <c r="BM3463" s="8">
        <v>4639683.0134866666</v>
      </c>
      <c r="BN3463" s="8">
        <v>2715015.8370501818</v>
      </c>
      <c r="BO3463" s="8">
        <v>7354698.8505368484</v>
      </c>
      <c r="BP3463" s="8">
        <v>4606063.7583721038</v>
      </c>
      <c r="BQ3463" s="8">
        <v>-2748635.0921647446</v>
      </c>
      <c r="BR3463" s="8" t="str">
        <v>Yes</v>
      </c>
    </row>
    <row r="3464" spans="54:70" x14ac:dyDescent="0.2">
      <c r="BB3464" s="94"/>
      <c r="BL3464" s="8">
        <v>3415</v>
      </c>
      <c r="BM3464" s="8">
        <v>3727950.834905602</v>
      </c>
      <c r="BN3464" s="8">
        <v>0</v>
      </c>
      <c r="BO3464" s="8">
        <v>3727950.834905602</v>
      </c>
      <c r="BP3464" s="8">
        <v>6472441.8936467292</v>
      </c>
      <c r="BQ3464" s="8">
        <v>2744491.0587411271</v>
      </c>
      <c r="BR3464" s="8" t="str">
        <v>No</v>
      </c>
    </row>
    <row r="3465" spans="54:70" x14ac:dyDescent="0.2">
      <c r="BB3465" s="94"/>
      <c r="BL3465" s="8">
        <v>3416</v>
      </c>
      <c r="BM3465" s="8">
        <v>6313227.7388527766</v>
      </c>
      <c r="BN3465" s="8">
        <v>0</v>
      </c>
      <c r="BO3465" s="8">
        <v>6313227.7388527766</v>
      </c>
      <c r="BP3465" s="8">
        <v>4054786.9989832486</v>
      </c>
      <c r="BQ3465" s="8">
        <v>-2258440.739869528</v>
      </c>
      <c r="BR3465" s="8" t="str">
        <v>Yes</v>
      </c>
    </row>
    <row r="3466" spans="54:70" x14ac:dyDescent="0.2">
      <c r="BB3466" s="94"/>
      <c r="BL3466" s="8">
        <v>3417</v>
      </c>
      <c r="BM3466" s="8">
        <v>3620415.4012903618</v>
      </c>
      <c r="BN3466" s="8">
        <v>0</v>
      </c>
      <c r="BO3466" s="8">
        <v>3620415.4012903618</v>
      </c>
      <c r="BP3466" s="8">
        <v>3650558.8766144533</v>
      </c>
      <c r="BQ3466" s="8">
        <v>30143.475324091502</v>
      </c>
      <c r="BR3466" s="8" t="str">
        <v>No</v>
      </c>
    </row>
    <row r="3467" spans="54:70" x14ac:dyDescent="0.2">
      <c r="BB3467" s="94"/>
      <c r="BL3467" s="8">
        <v>3418</v>
      </c>
      <c r="BM3467" s="8">
        <v>2520836.747004333</v>
      </c>
      <c r="BN3467" s="8">
        <v>0</v>
      </c>
      <c r="BO3467" s="8">
        <v>2520836.747004333</v>
      </c>
      <c r="BP3467" s="8">
        <v>4609179.8552214084</v>
      </c>
      <c r="BQ3467" s="8">
        <v>2088343.1082170755</v>
      </c>
      <c r="BR3467" s="8" t="str">
        <v>No</v>
      </c>
    </row>
    <row r="3468" spans="54:70" x14ac:dyDescent="0.2">
      <c r="BB3468" s="94"/>
      <c r="BL3468" s="8">
        <v>3419</v>
      </c>
      <c r="BM3468" s="8">
        <v>4030157.9689124459</v>
      </c>
      <c r="BN3468" s="8">
        <v>0</v>
      </c>
      <c r="BO3468" s="8">
        <v>4030157.9689124459</v>
      </c>
      <c r="BP3468" s="8">
        <v>3544427.9586012326</v>
      </c>
      <c r="BQ3468" s="8">
        <v>-485730.01031121332</v>
      </c>
      <c r="BR3468" s="8" t="str">
        <v>Yes</v>
      </c>
    </row>
    <row r="3469" spans="54:70" x14ac:dyDescent="0.2">
      <c r="BB3469" s="94"/>
      <c r="BL3469" s="8">
        <v>3420</v>
      </c>
      <c r="BM3469" s="8">
        <v>5185288.3174493313</v>
      </c>
      <c r="BN3469" s="8">
        <v>5587155.5268826671</v>
      </c>
      <c r="BO3469" s="8">
        <v>10772443.844331998</v>
      </c>
      <c r="BP3469" s="8">
        <v>6155400.6091045868</v>
      </c>
      <c r="BQ3469" s="8">
        <v>-4617043.2352274116</v>
      </c>
      <c r="BR3469" s="8" t="str">
        <v>Yes</v>
      </c>
    </row>
    <row r="3470" spans="54:70" x14ac:dyDescent="0.2">
      <c r="BB3470" s="94"/>
      <c r="BL3470" s="8">
        <v>3421</v>
      </c>
      <c r="BM3470" s="8">
        <v>3834364.2876941408</v>
      </c>
      <c r="BN3470" s="8">
        <v>0</v>
      </c>
      <c r="BO3470" s="8">
        <v>3834364.2876941408</v>
      </c>
      <c r="BP3470" s="8">
        <v>3487480.2088660509</v>
      </c>
      <c r="BQ3470" s="8">
        <v>-346884.07882808987</v>
      </c>
      <c r="BR3470" s="8" t="str">
        <v>Yes</v>
      </c>
    </row>
    <row r="3471" spans="54:70" x14ac:dyDescent="0.2">
      <c r="BB3471" s="94"/>
      <c r="BL3471" s="8">
        <v>3422</v>
      </c>
      <c r="BM3471" s="8">
        <v>4961893.2140484769</v>
      </c>
      <c r="BN3471" s="8">
        <v>0</v>
      </c>
      <c r="BO3471" s="8">
        <v>4961893.2140484769</v>
      </c>
      <c r="BP3471" s="8">
        <v>3562338.9564210307</v>
      </c>
      <c r="BQ3471" s="8">
        <v>-1399554.2576274462</v>
      </c>
      <c r="BR3471" s="8" t="str">
        <v>Yes</v>
      </c>
    </row>
    <row r="3472" spans="54:70" x14ac:dyDescent="0.2">
      <c r="BB3472" s="94"/>
      <c r="BL3472" s="8">
        <v>3423</v>
      </c>
      <c r="BM3472" s="8">
        <v>8289010.7546047401</v>
      </c>
      <c r="BN3472" s="8">
        <v>0</v>
      </c>
      <c r="BO3472" s="8">
        <v>8289010.7546047401</v>
      </c>
      <c r="BP3472" s="8">
        <v>5896349.6913777962</v>
      </c>
      <c r="BQ3472" s="8">
        <v>-2392661.0632269438</v>
      </c>
      <c r="BR3472" s="8" t="str">
        <v>Yes</v>
      </c>
    </row>
    <row r="3473" spans="54:70" x14ac:dyDescent="0.2">
      <c r="BB3473" s="94"/>
      <c r="BL3473" s="8">
        <v>3424</v>
      </c>
      <c r="BM3473" s="8">
        <v>4617893.0920560844</v>
      </c>
      <c r="BN3473" s="8">
        <v>0</v>
      </c>
      <c r="BO3473" s="8">
        <v>4617893.0920560844</v>
      </c>
      <c r="BP3473" s="8">
        <v>3458193.6297741858</v>
      </c>
      <c r="BQ3473" s="8">
        <v>-1159699.4622818986</v>
      </c>
      <c r="BR3473" s="8" t="str">
        <v>Yes</v>
      </c>
    </row>
    <row r="3474" spans="54:70" x14ac:dyDescent="0.2">
      <c r="BB3474" s="94"/>
      <c r="BL3474" s="8">
        <v>3425</v>
      </c>
      <c r="BM3474" s="8">
        <v>3307055.3213393008</v>
      </c>
      <c r="BN3474" s="8">
        <v>3629751.3224748499</v>
      </c>
      <c r="BO3474" s="8">
        <v>6936806.6438141502</v>
      </c>
      <c r="BP3474" s="8">
        <v>4305778.0068312045</v>
      </c>
      <c r="BQ3474" s="8">
        <v>-2631028.6369829457</v>
      </c>
      <c r="BR3474" s="8" t="str">
        <v>Yes</v>
      </c>
    </row>
    <row r="3475" spans="54:70" x14ac:dyDescent="0.2">
      <c r="BB3475" s="94"/>
      <c r="BL3475" s="8">
        <v>3426</v>
      </c>
      <c r="BM3475" s="8">
        <v>9634301.7520220689</v>
      </c>
      <c r="BN3475" s="8">
        <v>12160885.506511332</v>
      </c>
      <c r="BO3475" s="8">
        <v>21795187.258533403</v>
      </c>
      <c r="BP3475" s="8">
        <v>4009590.0374008608</v>
      </c>
      <c r="BQ3475" s="8">
        <v>-17785597.221132543</v>
      </c>
      <c r="BR3475" s="8" t="str">
        <v>Yes</v>
      </c>
    </row>
    <row r="3476" spans="54:70" x14ac:dyDescent="0.2">
      <c r="BB3476" s="94"/>
      <c r="BL3476" s="8">
        <v>3427</v>
      </c>
      <c r="BM3476" s="8">
        <v>3774293.5938974558</v>
      </c>
      <c r="BN3476" s="8">
        <v>0</v>
      </c>
      <c r="BO3476" s="8">
        <v>3774293.5938974558</v>
      </c>
      <c r="BP3476" s="8">
        <v>6703525.800166944</v>
      </c>
      <c r="BQ3476" s="8">
        <v>2929232.2062694882</v>
      </c>
      <c r="BR3476" s="8" t="str">
        <v>No</v>
      </c>
    </row>
    <row r="3477" spans="54:70" x14ac:dyDescent="0.2">
      <c r="BB3477" s="94"/>
      <c r="BL3477" s="8">
        <v>3428</v>
      </c>
      <c r="BM3477" s="8">
        <v>3283399.1593870074</v>
      </c>
      <c r="BN3477" s="8">
        <v>0</v>
      </c>
      <c r="BO3477" s="8">
        <v>3283399.1593870074</v>
      </c>
      <c r="BP3477" s="8">
        <v>4442551.0171544785</v>
      </c>
      <c r="BQ3477" s="8">
        <v>1159151.8577674711</v>
      </c>
      <c r="BR3477" s="8" t="str">
        <v>No</v>
      </c>
    </row>
    <row r="3478" spans="54:70" x14ac:dyDescent="0.2">
      <c r="BB3478" s="94"/>
      <c r="BL3478" s="8">
        <v>3429</v>
      </c>
      <c r="BM3478" s="8">
        <v>3803698.3930723192</v>
      </c>
      <c r="BN3478" s="8">
        <v>0</v>
      </c>
      <c r="BO3478" s="8">
        <v>3803698.3930723192</v>
      </c>
      <c r="BP3478" s="8">
        <v>3359373.604910132</v>
      </c>
      <c r="BQ3478" s="8">
        <v>-444324.78816218721</v>
      </c>
      <c r="BR3478" s="8" t="str">
        <v>Yes</v>
      </c>
    </row>
    <row r="3479" spans="54:70" x14ac:dyDescent="0.2">
      <c r="BB3479" s="94"/>
      <c r="BL3479" s="8">
        <v>3430</v>
      </c>
      <c r="BM3479" s="8">
        <v>7667381.643124952</v>
      </c>
      <c r="BN3479" s="8">
        <v>14006605.808981434</v>
      </c>
      <c r="BO3479" s="8">
        <v>21673987.452106386</v>
      </c>
      <c r="BP3479" s="8">
        <v>4978256.9504111316</v>
      </c>
      <c r="BQ3479" s="8">
        <v>-16695730.501695255</v>
      </c>
      <c r="BR3479" s="8" t="str">
        <v>Yes</v>
      </c>
    </row>
    <row r="3480" spans="54:70" x14ac:dyDescent="0.2">
      <c r="BB3480" s="94"/>
      <c r="BL3480" s="8">
        <v>3431</v>
      </c>
      <c r="BM3480" s="8">
        <v>5241049.0309011471</v>
      </c>
      <c r="BN3480" s="8">
        <v>0</v>
      </c>
      <c r="BO3480" s="8">
        <v>5241049.0309011471</v>
      </c>
      <c r="BP3480" s="8">
        <v>4433206.4773856159</v>
      </c>
      <c r="BQ3480" s="8">
        <v>-807842.55351553112</v>
      </c>
      <c r="BR3480" s="8" t="str">
        <v>Yes</v>
      </c>
    </row>
    <row r="3481" spans="54:70" x14ac:dyDescent="0.2">
      <c r="BB3481" s="94"/>
      <c r="BL3481" s="8">
        <v>3432</v>
      </c>
      <c r="BM3481" s="8">
        <v>4818143.8054436017</v>
      </c>
      <c r="BN3481" s="8">
        <v>5685926.3923087865</v>
      </c>
      <c r="BO3481" s="8">
        <v>10504070.197752388</v>
      </c>
      <c r="BP3481" s="8">
        <v>3987793.5679580867</v>
      </c>
      <c r="BQ3481" s="8">
        <v>-6516276.6297943015</v>
      </c>
      <c r="BR3481" s="8" t="str">
        <v>Yes</v>
      </c>
    </row>
    <row r="3482" spans="54:70" x14ac:dyDescent="0.2">
      <c r="BB3482" s="94"/>
      <c r="BL3482" s="8">
        <v>3433</v>
      </c>
      <c r="BM3482" s="8">
        <v>7856069.3404087117</v>
      </c>
      <c r="BN3482" s="8">
        <v>12667534.153398257</v>
      </c>
      <c r="BO3482" s="8">
        <v>20523603.493806969</v>
      </c>
      <c r="BP3482" s="8">
        <v>2431033.6225203951</v>
      </c>
      <c r="BQ3482" s="8">
        <v>-18092569.871286575</v>
      </c>
      <c r="BR3482" s="8" t="str">
        <v>Yes</v>
      </c>
    </row>
    <row r="3483" spans="54:70" x14ac:dyDescent="0.2">
      <c r="BB3483" s="94"/>
      <c r="BL3483" s="8">
        <v>3434</v>
      </c>
      <c r="BM3483" s="8">
        <v>15128066.61990466</v>
      </c>
      <c r="BN3483" s="8">
        <v>0</v>
      </c>
      <c r="BO3483" s="8">
        <v>15128066.61990466</v>
      </c>
      <c r="BP3483" s="8">
        <v>4153339.8523158412</v>
      </c>
      <c r="BQ3483" s="8">
        <v>-10974726.767588818</v>
      </c>
      <c r="BR3483" s="8" t="str">
        <v>Yes</v>
      </c>
    </row>
    <row r="3484" spans="54:70" x14ac:dyDescent="0.2">
      <c r="BB3484" s="94"/>
      <c r="BL3484" s="8">
        <v>3435</v>
      </c>
      <c r="BM3484" s="8">
        <v>1921672.3085549781</v>
      </c>
      <c r="BN3484" s="8">
        <v>385054.39054668997</v>
      </c>
      <c r="BO3484" s="8">
        <v>2306726.6991016679</v>
      </c>
      <c r="BP3484" s="8">
        <v>4145759.735874827</v>
      </c>
      <c r="BQ3484" s="8">
        <v>1839033.0367731592</v>
      </c>
      <c r="BR3484" s="8" t="str">
        <v>No</v>
      </c>
    </row>
    <row r="3485" spans="54:70" x14ac:dyDescent="0.2">
      <c r="BB3485" s="94"/>
      <c r="BL3485" s="8">
        <v>3436</v>
      </c>
      <c r="BM3485" s="8">
        <v>2292283.9077187958</v>
      </c>
      <c r="BN3485" s="8">
        <v>823546.77666187286</v>
      </c>
      <c r="BO3485" s="8">
        <v>3115830.6843806687</v>
      </c>
      <c r="BP3485" s="8">
        <v>6620885.9295413243</v>
      </c>
      <c r="BQ3485" s="8">
        <v>3505055.2451606556</v>
      </c>
      <c r="BR3485" s="8" t="str">
        <v>No</v>
      </c>
    </row>
    <row r="3486" spans="54:70" x14ac:dyDescent="0.2">
      <c r="BB3486" s="94"/>
      <c r="BL3486" s="8">
        <v>3437</v>
      </c>
      <c r="BM3486" s="8">
        <v>4623753.7038057875</v>
      </c>
      <c r="BN3486" s="8">
        <v>1659761.1140603914</v>
      </c>
      <c r="BO3486" s="8">
        <v>6283514.8178661792</v>
      </c>
      <c r="BP3486" s="8">
        <v>6360009.7519951956</v>
      </c>
      <c r="BQ3486" s="8">
        <v>76494.934129016474</v>
      </c>
      <c r="BR3486" s="8" t="str">
        <v>No</v>
      </c>
    </row>
    <row r="3487" spans="54:70" x14ac:dyDescent="0.2">
      <c r="BB3487" s="94"/>
      <c r="BL3487" s="8">
        <v>3438</v>
      </c>
      <c r="BM3487" s="8">
        <v>3399915.4937791908</v>
      </c>
      <c r="BN3487" s="8">
        <v>0</v>
      </c>
      <c r="BO3487" s="8">
        <v>3399915.4937791908</v>
      </c>
      <c r="BP3487" s="8">
        <v>3304266.3110185894</v>
      </c>
      <c r="BQ3487" s="8">
        <v>-95649.182760601398</v>
      </c>
      <c r="BR3487" s="8" t="str">
        <v>Yes</v>
      </c>
    </row>
    <row r="3488" spans="54:70" x14ac:dyDescent="0.2">
      <c r="BB3488" s="94"/>
      <c r="BL3488" s="8">
        <v>3439</v>
      </c>
      <c r="BM3488" s="8">
        <v>3605679.4209243646</v>
      </c>
      <c r="BN3488" s="8">
        <v>0</v>
      </c>
      <c r="BO3488" s="8">
        <v>3605679.4209243646</v>
      </c>
      <c r="BP3488" s="8">
        <v>5818159.9094378939</v>
      </c>
      <c r="BQ3488" s="8">
        <v>2212480.4885135293</v>
      </c>
      <c r="BR3488" s="8" t="str">
        <v>No</v>
      </c>
    </row>
    <row r="3489" spans="54:70" x14ac:dyDescent="0.2">
      <c r="BB3489" s="94"/>
      <c r="BL3489" s="8">
        <v>3440</v>
      </c>
      <c r="BM3489" s="8">
        <v>2866498.1163337147</v>
      </c>
      <c r="BN3489" s="8">
        <v>0</v>
      </c>
      <c r="BO3489" s="8">
        <v>2866498.1163337147</v>
      </c>
      <c r="BP3489" s="8">
        <v>3657805.7745551122</v>
      </c>
      <c r="BQ3489" s="8">
        <v>791307.65822139755</v>
      </c>
      <c r="BR3489" s="8" t="str">
        <v>No</v>
      </c>
    </row>
    <row r="3490" spans="54:70" x14ac:dyDescent="0.2">
      <c r="BB3490" s="94"/>
      <c r="BL3490" s="8">
        <v>3441</v>
      </c>
      <c r="BM3490" s="8">
        <v>4938429.1686679488</v>
      </c>
      <c r="BN3490" s="8">
        <v>0</v>
      </c>
      <c r="BO3490" s="8">
        <v>4938429.1686679488</v>
      </c>
      <c r="BP3490" s="8">
        <v>5703576.1350033162</v>
      </c>
      <c r="BQ3490" s="8">
        <v>765146.96633536741</v>
      </c>
      <c r="BR3490" s="8" t="str">
        <v>No</v>
      </c>
    </row>
    <row r="3491" spans="54:70" x14ac:dyDescent="0.2">
      <c r="BB3491" s="94"/>
      <c r="BL3491" s="8">
        <v>3442</v>
      </c>
      <c r="BM3491" s="8">
        <v>4332258.3627959602</v>
      </c>
      <c r="BN3491" s="8">
        <v>0</v>
      </c>
      <c r="BO3491" s="8">
        <v>4332258.3627959602</v>
      </c>
      <c r="BP3491" s="8">
        <v>6149711.02821628</v>
      </c>
      <c r="BQ3491" s="8">
        <v>1817452.6654203199</v>
      </c>
      <c r="BR3491" s="8" t="str">
        <v>No</v>
      </c>
    </row>
    <row r="3492" spans="54:70" x14ac:dyDescent="0.2">
      <c r="BB3492" s="94"/>
      <c r="BL3492" s="8">
        <v>3443</v>
      </c>
      <c r="BM3492" s="8">
        <v>3150293.3298386373</v>
      </c>
      <c r="BN3492" s="8">
        <v>0</v>
      </c>
      <c r="BO3492" s="8">
        <v>3150293.3298386373</v>
      </c>
      <c r="BP3492" s="8">
        <v>3248731.3700805688</v>
      </c>
      <c r="BQ3492" s="8">
        <v>98438.040241931565</v>
      </c>
      <c r="BR3492" s="8" t="str">
        <v>No</v>
      </c>
    </row>
    <row r="3493" spans="54:70" x14ac:dyDescent="0.2">
      <c r="BB3493" s="94"/>
      <c r="BL3493" s="8">
        <v>3444</v>
      </c>
      <c r="BM3493" s="8">
        <v>4945049.054792597</v>
      </c>
      <c r="BN3493" s="8">
        <v>0</v>
      </c>
      <c r="BO3493" s="8">
        <v>4945049.054792597</v>
      </c>
      <c r="BP3493" s="8">
        <v>6533748.2627420016</v>
      </c>
      <c r="BQ3493" s="8">
        <v>1588699.2079494046</v>
      </c>
      <c r="BR3493" s="8" t="str">
        <v>No</v>
      </c>
    </row>
    <row r="3494" spans="54:70" x14ac:dyDescent="0.2">
      <c r="BB3494" s="94"/>
      <c r="BL3494" s="8">
        <v>3445</v>
      </c>
      <c r="BM3494" s="8">
        <v>6537606.5262843966</v>
      </c>
      <c r="BN3494" s="8">
        <v>0</v>
      </c>
      <c r="BO3494" s="8">
        <v>6537606.5262843966</v>
      </c>
      <c r="BP3494" s="8">
        <v>2426060.5841640416</v>
      </c>
      <c r="BQ3494" s="8">
        <v>-4111545.9421203551</v>
      </c>
      <c r="BR3494" s="8" t="str">
        <v>Yes</v>
      </c>
    </row>
    <row r="3495" spans="54:70" x14ac:dyDescent="0.2">
      <c r="BB3495" s="94"/>
      <c r="BL3495" s="8">
        <v>3446</v>
      </c>
      <c r="BM3495" s="8">
        <v>5214352.3285889393</v>
      </c>
      <c r="BN3495" s="8">
        <v>0</v>
      </c>
      <c r="BO3495" s="8">
        <v>5214352.3285889393</v>
      </c>
      <c r="BP3495" s="8">
        <v>3361133.0500632962</v>
      </c>
      <c r="BQ3495" s="8">
        <v>-1853219.2785256431</v>
      </c>
      <c r="BR3495" s="8" t="str">
        <v>Yes</v>
      </c>
    </row>
    <row r="3496" spans="54:70" x14ac:dyDescent="0.2">
      <c r="BB3496" s="94"/>
      <c r="BL3496" s="8">
        <v>3447</v>
      </c>
      <c r="BM3496" s="8">
        <v>4338952.0052817501</v>
      </c>
      <c r="BN3496" s="8">
        <v>0</v>
      </c>
      <c r="BO3496" s="8">
        <v>4338952.0052817501</v>
      </c>
      <c r="BP3496" s="8">
        <v>2156292.020712961</v>
      </c>
      <c r="BQ3496" s="8">
        <v>-2182659.9845687891</v>
      </c>
      <c r="BR3496" s="8" t="str">
        <v>Yes</v>
      </c>
    </row>
    <row r="3497" spans="54:70" x14ac:dyDescent="0.2">
      <c r="BB3497" s="94"/>
      <c r="BL3497" s="8">
        <v>3448</v>
      </c>
      <c r="BM3497" s="8">
        <v>3804082.393813266</v>
      </c>
      <c r="BN3497" s="8">
        <v>0</v>
      </c>
      <c r="BO3497" s="8">
        <v>3804082.393813266</v>
      </c>
      <c r="BP3497" s="8">
        <v>4454781.1481121201</v>
      </c>
      <c r="BQ3497" s="8">
        <v>650698.75429885415</v>
      </c>
      <c r="BR3497" s="8" t="str">
        <v>No</v>
      </c>
    </row>
    <row r="3498" spans="54:70" x14ac:dyDescent="0.2">
      <c r="BB3498" s="94"/>
      <c r="BL3498" s="8">
        <v>3449</v>
      </c>
      <c r="BM3498" s="8">
        <v>5226959.3084728252</v>
      </c>
      <c r="BN3498" s="8">
        <v>6382208.6356997583</v>
      </c>
      <c r="BO3498" s="8">
        <v>11609167.944172584</v>
      </c>
      <c r="BP3498" s="8">
        <v>4458337.5066948598</v>
      </c>
      <c r="BQ3498" s="8">
        <v>-7150830.4374777237</v>
      </c>
      <c r="BR3498" s="8" t="str">
        <v>Yes</v>
      </c>
    </row>
    <row r="3499" spans="54:70" x14ac:dyDescent="0.2">
      <c r="BB3499" s="94"/>
      <c r="BL3499" s="8">
        <v>3450</v>
      </c>
      <c r="BM3499" s="8">
        <v>3843442.3871084265</v>
      </c>
      <c r="BN3499" s="8">
        <v>0</v>
      </c>
      <c r="BO3499" s="8">
        <v>3843442.3871084265</v>
      </c>
      <c r="BP3499" s="8">
        <v>2215915.7295573712</v>
      </c>
      <c r="BQ3499" s="8">
        <v>-1627526.6575510553</v>
      </c>
      <c r="BR3499" s="8" t="str">
        <v>Yes</v>
      </c>
    </row>
    <row r="3500" spans="54:70" x14ac:dyDescent="0.2">
      <c r="BB3500" s="94"/>
      <c r="BL3500" s="8">
        <v>3451</v>
      </c>
      <c r="BM3500" s="8">
        <v>4360341.7692451794</v>
      </c>
      <c r="BN3500" s="8">
        <v>0</v>
      </c>
      <c r="BO3500" s="8">
        <v>4360341.7692451794</v>
      </c>
      <c r="BP3500" s="8">
        <v>6234908.9744645748</v>
      </c>
      <c r="BQ3500" s="8">
        <v>1874567.2052193955</v>
      </c>
      <c r="BR3500" s="8" t="str">
        <v>No</v>
      </c>
    </row>
    <row r="3501" spans="54:70" x14ac:dyDescent="0.2">
      <c r="BB3501" s="94"/>
      <c r="BL3501" s="8">
        <v>3452</v>
      </c>
      <c r="BM3501" s="8">
        <v>3681382.3792794733</v>
      </c>
      <c r="BN3501" s="8">
        <v>1503559.0679774217</v>
      </c>
      <c r="BO3501" s="8">
        <v>5184941.4472568948</v>
      </c>
      <c r="BP3501" s="8">
        <v>6635839.4650570508</v>
      </c>
      <c r="BQ3501" s="8">
        <v>1450898.017800156</v>
      </c>
      <c r="BR3501" s="8" t="str">
        <v>No</v>
      </c>
    </row>
    <row r="3502" spans="54:70" x14ac:dyDescent="0.2">
      <c r="BB3502" s="94"/>
      <c r="BL3502" s="8">
        <v>3453</v>
      </c>
      <c r="BM3502" s="8">
        <v>5263707.7324513951</v>
      </c>
      <c r="BN3502" s="8">
        <v>7586208.5015465291</v>
      </c>
      <c r="BO3502" s="8">
        <v>12849916.233997924</v>
      </c>
      <c r="BP3502" s="8">
        <v>4636117.0374857886</v>
      </c>
      <c r="BQ3502" s="8">
        <v>-8213799.1965121357</v>
      </c>
      <c r="BR3502" s="8" t="str">
        <v>Yes</v>
      </c>
    </row>
    <row r="3503" spans="54:70" x14ac:dyDescent="0.2">
      <c r="BB3503" s="94"/>
      <c r="BL3503" s="8">
        <v>3454</v>
      </c>
      <c r="BM3503" s="8">
        <v>7445180.0148070976</v>
      </c>
      <c r="BN3503" s="8">
        <v>0</v>
      </c>
      <c r="BO3503" s="8">
        <v>7445180.0148070976</v>
      </c>
      <c r="BP3503" s="8">
        <v>3526816.6102523175</v>
      </c>
      <c r="BQ3503" s="8">
        <v>-3918363.4045547801</v>
      </c>
      <c r="BR3503" s="8" t="str">
        <v>Yes</v>
      </c>
    </row>
    <row r="3504" spans="54:70" x14ac:dyDescent="0.2">
      <c r="BB3504" s="94"/>
      <c r="BL3504" s="8">
        <v>3455</v>
      </c>
      <c r="BM3504" s="8">
        <v>7279218.2289822865</v>
      </c>
      <c r="BN3504" s="8">
        <v>0</v>
      </c>
      <c r="BO3504" s="8">
        <v>7279218.2289822865</v>
      </c>
      <c r="BP3504" s="8">
        <v>6366533.8220224101</v>
      </c>
      <c r="BQ3504" s="8">
        <v>-912684.40695987642</v>
      </c>
      <c r="BR3504" s="8" t="str">
        <v>Yes</v>
      </c>
    </row>
    <row r="3505" spans="54:70" x14ac:dyDescent="0.2">
      <c r="BB3505" s="94"/>
      <c r="BL3505" s="8">
        <v>3456</v>
      </c>
      <c r="BM3505" s="8">
        <v>6916754.669505653</v>
      </c>
      <c r="BN3505" s="8">
        <v>0</v>
      </c>
      <c r="BO3505" s="8">
        <v>6916754.669505653</v>
      </c>
      <c r="BP3505" s="8">
        <v>3718662.6606715997</v>
      </c>
      <c r="BQ3505" s="8">
        <v>-3198092.0088340533</v>
      </c>
      <c r="BR3505" s="8" t="str">
        <v>Yes</v>
      </c>
    </row>
    <row r="3506" spans="54:70" x14ac:dyDescent="0.2">
      <c r="BB3506" s="94"/>
      <c r="BL3506" s="8">
        <v>3457</v>
      </c>
      <c r="BM3506" s="8">
        <v>5438395.5062388759</v>
      </c>
      <c r="BN3506" s="8">
        <v>0</v>
      </c>
      <c r="BO3506" s="8">
        <v>5438395.5062388759</v>
      </c>
      <c r="BP3506" s="8">
        <v>4379607.4704210805</v>
      </c>
      <c r="BQ3506" s="8">
        <v>-1058788.0358177954</v>
      </c>
      <c r="BR3506" s="8" t="str">
        <v>Yes</v>
      </c>
    </row>
    <row r="3507" spans="54:70" x14ac:dyDescent="0.2">
      <c r="BB3507" s="94"/>
      <c r="BL3507" s="8">
        <v>3458</v>
      </c>
      <c r="BM3507" s="8">
        <v>3605650.488162667</v>
      </c>
      <c r="BN3507" s="8">
        <v>6590484.9373917989</v>
      </c>
      <c r="BO3507" s="8">
        <v>10196135.425554466</v>
      </c>
      <c r="BP3507" s="8">
        <v>2406833.3545186538</v>
      </c>
      <c r="BQ3507" s="8">
        <v>-7789302.0710358117</v>
      </c>
      <c r="BR3507" s="8" t="str">
        <v>Yes</v>
      </c>
    </row>
    <row r="3508" spans="54:70" x14ac:dyDescent="0.2">
      <c r="BB3508" s="94"/>
      <c r="BL3508" s="8">
        <v>3459</v>
      </c>
      <c r="BM3508" s="8">
        <v>4773893.7487019403</v>
      </c>
      <c r="BN3508" s="8">
        <v>4791486.767367404</v>
      </c>
      <c r="BO3508" s="8">
        <v>9565380.5160693452</v>
      </c>
      <c r="BP3508" s="8">
        <v>4072049.092854321</v>
      </c>
      <c r="BQ3508" s="8">
        <v>-5493331.4232150242</v>
      </c>
      <c r="BR3508" s="8" t="str">
        <v>Yes</v>
      </c>
    </row>
    <row r="3509" spans="54:70" x14ac:dyDescent="0.2">
      <c r="BB3509" s="94"/>
      <c r="BL3509" s="8">
        <v>3460</v>
      </c>
      <c r="BM3509" s="8">
        <v>10923017.49255443</v>
      </c>
      <c r="BN3509" s="8">
        <v>9578773.9091292135</v>
      </c>
      <c r="BO3509" s="8">
        <v>20501791.401683643</v>
      </c>
      <c r="BP3509" s="8">
        <v>6294483.6009577559</v>
      </c>
      <c r="BQ3509" s="8">
        <v>-14207307.800725888</v>
      </c>
      <c r="BR3509" s="8" t="str">
        <v>Yes</v>
      </c>
    </row>
    <row r="3510" spans="54:70" x14ac:dyDescent="0.2">
      <c r="BB3510" s="94"/>
      <c r="BL3510" s="8">
        <v>3461</v>
      </c>
      <c r="BM3510" s="8">
        <v>3425818.0644999952</v>
      </c>
      <c r="BN3510" s="8">
        <v>0</v>
      </c>
      <c r="BO3510" s="8">
        <v>3425818.0644999952</v>
      </c>
      <c r="BP3510" s="8">
        <v>5581819.6464890577</v>
      </c>
      <c r="BQ3510" s="8">
        <v>2156001.5819890625</v>
      </c>
      <c r="BR3510" s="8" t="str">
        <v>No</v>
      </c>
    </row>
    <row r="3511" spans="54:70" x14ac:dyDescent="0.2">
      <c r="BB3511" s="94"/>
      <c r="BL3511" s="8">
        <v>3462</v>
      </c>
      <c r="BM3511" s="8">
        <v>3372189.7645032434</v>
      </c>
      <c r="BN3511" s="8">
        <v>0</v>
      </c>
      <c r="BO3511" s="8">
        <v>3372189.7645032434</v>
      </c>
      <c r="BP3511" s="8">
        <v>6620665.5856447984</v>
      </c>
      <c r="BQ3511" s="8">
        <v>3248475.821141555</v>
      </c>
      <c r="BR3511" s="8" t="str">
        <v>No</v>
      </c>
    </row>
    <row r="3512" spans="54:70" x14ac:dyDescent="0.2">
      <c r="BB3512" s="94"/>
      <c r="BL3512" s="8">
        <v>3463</v>
      </c>
      <c r="BM3512" s="8">
        <v>3695716.0497138752</v>
      </c>
      <c r="BN3512" s="8">
        <v>2173930.7788334554</v>
      </c>
      <c r="BO3512" s="8">
        <v>5869646.8285473306</v>
      </c>
      <c r="BP3512" s="8">
        <v>2137855.9191724081</v>
      </c>
      <c r="BQ3512" s="8">
        <v>-3731790.9093749225</v>
      </c>
      <c r="BR3512" s="8" t="str">
        <v>Yes</v>
      </c>
    </row>
    <row r="3513" spans="54:70" x14ac:dyDescent="0.2">
      <c r="BB3513" s="94"/>
      <c r="BL3513" s="8">
        <v>3464</v>
      </c>
      <c r="BM3513" s="8">
        <v>3596082.8040704937</v>
      </c>
      <c r="BN3513" s="8">
        <v>0</v>
      </c>
      <c r="BO3513" s="8">
        <v>3596082.8040704937</v>
      </c>
      <c r="BP3513" s="8">
        <v>3171118.5098409522</v>
      </c>
      <c r="BQ3513" s="8">
        <v>-424964.29422954144</v>
      </c>
      <c r="BR3513" s="8" t="str">
        <v>Yes</v>
      </c>
    </row>
    <row r="3514" spans="54:70" x14ac:dyDescent="0.2">
      <c r="BB3514" s="94"/>
      <c r="BL3514" s="8">
        <v>3465</v>
      </c>
      <c r="BM3514" s="8">
        <v>5569352.0109556308</v>
      </c>
      <c r="BN3514" s="8">
        <v>6751087.9752776232</v>
      </c>
      <c r="BO3514" s="8">
        <v>12320439.986233253</v>
      </c>
      <c r="BP3514" s="8">
        <v>2240408.3637123276</v>
      </c>
      <c r="BQ3514" s="8">
        <v>-10080031.622520925</v>
      </c>
      <c r="BR3514" s="8" t="str">
        <v>Yes</v>
      </c>
    </row>
    <row r="3515" spans="54:70" x14ac:dyDescent="0.2">
      <c r="BB3515" s="94"/>
      <c r="BL3515" s="8">
        <v>3466</v>
      </c>
      <c r="BM3515" s="8">
        <v>5681195.4703042451</v>
      </c>
      <c r="BN3515" s="8">
        <v>0</v>
      </c>
      <c r="BO3515" s="8">
        <v>5681195.4703042451</v>
      </c>
      <c r="BP3515" s="8">
        <v>3374681.5714115733</v>
      </c>
      <c r="BQ3515" s="8">
        <v>-2306513.8988926718</v>
      </c>
      <c r="BR3515" s="8" t="str">
        <v>Yes</v>
      </c>
    </row>
    <row r="3516" spans="54:70" x14ac:dyDescent="0.2">
      <c r="BB3516" s="94"/>
      <c r="BL3516" s="8">
        <v>3467</v>
      </c>
      <c r="BM3516" s="8">
        <v>6727015.1789720478</v>
      </c>
      <c r="BN3516" s="8">
        <v>5332330.8659042371</v>
      </c>
      <c r="BO3516" s="8">
        <v>12059346.044876285</v>
      </c>
      <c r="BP3516" s="8">
        <v>2329181.9188312064</v>
      </c>
      <c r="BQ3516" s="8">
        <v>-9730164.126045078</v>
      </c>
      <c r="BR3516" s="8" t="str">
        <v>Yes</v>
      </c>
    </row>
    <row r="3517" spans="54:70" x14ac:dyDescent="0.2">
      <c r="BB3517" s="94"/>
      <c r="BL3517" s="8">
        <v>3468</v>
      </c>
      <c r="BM3517" s="8">
        <v>3309415.5606750106</v>
      </c>
      <c r="BN3517" s="8">
        <v>1356386.9900845906</v>
      </c>
      <c r="BO3517" s="8">
        <v>4665802.5507596014</v>
      </c>
      <c r="BP3517" s="8">
        <v>2349082.2090866622</v>
      </c>
      <c r="BQ3517" s="8">
        <v>-2316720.3416729392</v>
      </c>
      <c r="BR3517" s="8" t="str">
        <v>Yes</v>
      </c>
    </row>
    <row r="3518" spans="54:70" x14ac:dyDescent="0.2">
      <c r="BB3518" s="94"/>
      <c r="BL3518" s="8">
        <v>3469</v>
      </c>
      <c r="BM3518" s="8">
        <v>6500906.4334542472</v>
      </c>
      <c r="BN3518" s="8">
        <v>0</v>
      </c>
      <c r="BO3518" s="8">
        <v>6500906.4334542472</v>
      </c>
      <c r="BP3518" s="8">
        <v>3267950.194991291</v>
      </c>
      <c r="BQ3518" s="8">
        <v>-3232956.2384629562</v>
      </c>
      <c r="BR3518" s="8" t="str">
        <v>Yes</v>
      </c>
    </row>
    <row r="3519" spans="54:70" x14ac:dyDescent="0.2">
      <c r="BB3519" s="94"/>
      <c r="BL3519" s="8">
        <v>3470</v>
      </c>
      <c r="BM3519" s="8">
        <v>3990168.6425094847</v>
      </c>
      <c r="BN3519" s="8">
        <v>2159316.908119591</v>
      </c>
      <c r="BO3519" s="8">
        <v>6149485.5506290756</v>
      </c>
      <c r="BP3519" s="8">
        <v>4204834.4567058356</v>
      </c>
      <c r="BQ3519" s="8">
        <v>-1944651.09392324</v>
      </c>
      <c r="BR3519" s="8" t="str">
        <v>Yes</v>
      </c>
    </row>
    <row r="3520" spans="54:70" x14ac:dyDescent="0.2">
      <c r="BB3520" s="94"/>
      <c r="BL3520" s="8">
        <v>3471</v>
      </c>
      <c r="BM3520" s="8">
        <v>4484325.7838920718</v>
      </c>
      <c r="BN3520" s="8">
        <v>1958752.1638652293</v>
      </c>
      <c r="BO3520" s="8">
        <v>6443077.9477573009</v>
      </c>
      <c r="BP3520" s="8">
        <v>4158545.683123712</v>
      </c>
      <c r="BQ3520" s="8">
        <v>-2284532.264633589</v>
      </c>
      <c r="BR3520" s="8" t="str">
        <v>Yes</v>
      </c>
    </row>
    <row r="3521" spans="54:70" x14ac:dyDescent="0.2">
      <c r="BB3521" s="94"/>
      <c r="BL3521" s="8">
        <v>3472</v>
      </c>
      <c r="BM3521" s="8">
        <v>2605253.0863639689</v>
      </c>
      <c r="BN3521" s="8">
        <v>2067562.2220020953</v>
      </c>
      <c r="BO3521" s="8">
        <v>4672815.308366064</v>
      </c>
      <c r="BP3521" s="8">
        <v>3691806.6454131836</v>
      </c>
      <c r="BQ3521" s="8">
        <v>-981008.66295288038</v>
      </c>
      <c r="BR3521" s="8" t="str">
        <v>Yes</v>
      </c>
    </row>
    <row r="3522" spans="54:70" x14ac:dyDescent="0.2">
      <c r="BB3522" s="94"/>
      <c r="BL3522" s="8">
        <v>3473</v>
      </c>
      <c r="BM3522" s="8">
        <v>5324808.1753352927</v>
      </c>
      <c r="BN3522" s="8">
        <v>0</v>
      </c>
      <c r="BO3522" s="8">
        <v>5324808.1753352927</v>
      </c>
      <c r="BP3522" s="8">
        <v>4152810.3564309618</v>
      </c>
      <c r="BQ3522" s="8">
        <v>-1171997.818904331</v>
      </c>
      <c r="BR3522" s="8" t="str">
        <v>Yes</v>
      </c>
    </row>
    <row r="3523" spans="54:70" x14ac:dyDescent="0.2">
      <c r="BB3523" s="94"/>
      <c r="BL3523" s="8">
        <v>3474</v>
      </c>
      <c r="BM3523" s="8">
        <v>4239156.2293181811</v>
      </c>
      <c r="BN3523" s="8">
        <v>5046671.5022073165</v>
      </c>
      <c r="BO3523" s="8">
        <v>9285827.7315254975</v>
      </c>
      <c r="BP3523" s="8">
        <v>4094413.2253873185</v>
      </c>
      <c r="BQ3523" s="8">
        <v>-5191414.5061381795</v>
      </c>
      <c r="BR3523" s="8" t="str">
        <v>Yes</v>
      </c>
    </row>
    <row r="3524" spans="54:70" x14ac:dyDescent="0.2">
      <c r="BB3524" s="94"/>
      <c r="BL3524" s="8">
        <v>3475</v>
      </c>
      <c r="BM3524" s="8">
        <v>4339489.1200696556</v>
      </c>
      <c r="BN3524" s="8">
        <v>2259592.8673956096</v>
      </c>
      <c r="BO3524" s="8">
        <v>6599081.9874652652</v>
      </c>
      <c r="BP3524" s="8">
        <v>3319857.7467466439</v>
      </c>
      <c r="BQ3524" s="8">
        <v>-3279224.2407186213</v>
      </c>
      <c r="BR3524" s="8" t="str">
        <v>Yes</v>
      </c>
    </row>
    <row r="3525" spans="54:70" x14ac:dyDescent="0.2">
      <c r="BB3525" s="94"/>
      <c r="BL3525" s="8">
        <v>3476</v>
      </c>
      <c r="BM3525" s="8">
        <v>9567275.7456140928</v>
      </c>
      <c r="BN3525" s="8">
        <v>11522676.968547791</v>
      </c>
      <c r="BO3525" s="8">
        <v>21089952.714161884</v>
      </c>
      <c r="BP3525" s="8">
        <v>3166215.5955310641</v>
      </c>
      <c r="BQ3525" s="8">
        <v>-17923737.118630819</v>
      </c>
      <c r="BR3525" s="8" t="str">
        <v>Yes</v>
      </c>
    </row>
    <row r="3526" spans="54:70" x14ac:dyDescent="0.2">
      <c r="BB3526" s="94"/>
      <c r="BL3526" s="8">
        <v>3477</v>
      </c>
      <c r="BM3526" s="8">
        <v>1571527.3514118125</v>
      </c>
      <c r="BN3526" s="8">
        <v>0</v>
      </c>
      <c r="BO3526" s="8">
        <v>1571527.3514118125</v>
      </c>
      <c r="BP3526" s="8">
        <v>2270826.8720681318</v>
      </c>
      <c r="BQ3526" s="8">
        <v>699299.52065631934</v>
      </c>
      <c r="BR3526" s="8" t="str">
        <v>No</v>
      </c>
    </row>
    <row r="3527" spans="54:70" x14ac:dyDescent="0.2">
      <c r="BB3527" s="94"/>
      <c r="BL3527" s="8">
        <v>3478</v>
      </c>
      <c r="BM3527" s="8">
        <v>4694162.0181111712</v>
      </c>
      <c r="BN3527" s="8">
        <v>0</v>
      </c>
      <c r="BO3527" s="8">
        <v>4694162.0181111712</v>
      </c>
      <c r="BP3527" s="8">
        <v>6387590.0443401858</v>
      </c>
      <c r="BQ3527" s="8">
        <v>1693428.0262290146</v>
      </c>
      <c r="BR3527" s="8" t="str">
        <v>No</v>
      </c>
    </row>
    <row r="3528" spans="54:70" x14ac:dyDescent="0.2">
      <c r="BB3528" s="94"/>
      <c r="BL3528" s="8">
        <v>3479</v>
      </c>
      <c r="BM3528" s="8">
        <v>3494442.3496140358</v>
      </c>
      <c r="BN3528" s="8">
        <v>2644565.5251450096</v>
      </c>
      <c r="BO3528" s="8">
        <v>6139007.8747590454</v>
      </c>
      <c r="BP3528" s="8">
        <v>3389773.5586849544</v>
      </c>
      <c r="BQ3528" s="8">
        <v>-2749234.316074091</v>
      </c>
      <c r="BR3528" s="8" t="str">
        <v>Yes</v>
      </c>
    </row>
    <row r="3529" spans="54:70" x14ac:dyDescent="0.2">
      <c r="BB3529" s="94"/>
      <c r="BL3529" s="8">
        <v>3480</v>
      </c>
      <c r="BM3529" s="8">
        <v>1622201.0923907058</v>
      </c>
      <c r="BN3529" s="8">
        <v>0</v>
      </c>
      <c r="BO3529" s="8">
        <v>1622201.0923907058</v>
      </c>
      <c r="BP3529" s="8">
        <v>2097343.0975318113</v>
      </c>
      <c r="BQ3529" s="8">
        <v>475142.0051411055</v>
      </c>
      <c r="BR3529" s="8" t="str">
        <v>No</v>
      </c>
    </row>
    <row r="3530" spans="54:70" x14ac:dyDescent="0.2">
      <c r="BB3530" s="94"/>
      <c r="BL3530" s="8">
        <v>3481</v>
      </c>
      <c r="BM3530" s="8">
        <v>3126515.4222953804</v>
      </c>
      <c r="BN3530" s="8">
        <v>1489037.6251387764</v>
      </c>
      <c r="BO3530" s="8">
        <v>4615553.0474341568</v>
      </c>
      <c r="BP3530" s="8">
        <v>4232500.7631344022</v>
      </c>
      <c r="BQ3530" s="8">
        <v>-383052.28429975454</v>
      </c>
      <c r="BR3530" s="8" t="str">
        <v>Yes</v>
      </c>
    </row>
    <row r="3531" spans="54:70" x14ac:dyDescent="0.2">
      <c r="BB3531" s="94"/>
      <c r="BL3531" s="8">
        <v>3482</v>
      </c>
      <c r="BM3531" s="8">
        <v>4654155.2019632105</v>
      </c>
      <c r="BN3531" s="8">
        <v>4139840.7109478195</v>
      </c>
      <c r="BO3531" s="8">
        <v>8793995.9129110295</v>
      </c>
      <c r="BP3531" s="8">
        <v>4104792.7683200724</v>
      </c>
      <c r="BQ3531" s="8">
        <v>-4689203.1445909571</v>
      </c>
      <c r="BR3531" s="8" t="str">
        <v>Yes</v>
      </c>
    </row>
    <row r="3532" spans="54:70" x14ac:dyDescent="0.2">
      <c r="BB3532" s="94"/>
      <c r="BL3532" s="8">
        <v>3483</v>
      </c>
      <c r="BM3532" s="8">
        <v>2140325.7395517379</v>
      </c>
      <c r="BN3532" s="8">
        <v>0</v>
      </c>
      <c r="BO3532" s="8">
        <v>2140325.7395517379</v>
      </c>
      <c r="BP3532" s="8">
        <v>6160557.5075550443</v>
      </c>
      <c r="BQ3532" s="8">
        <v>4020231.7680033064</v>
      </c>
      <c r="BR3532" s="8" t="str">
        <v>No</v>
      </c>
    </row>
    <row r="3533" spans="54:70" x14ac:dyDescent="0.2">
      <c r="BB3533" s="94"/>
      <c r="BL3533" s="8">
        <v>3484</v>
      </c>
      <c r="BM3533" s="8">
        <v>2789990.6663961955</v>
      </c>
      <c r="BN3533" s="8">
        <v>0</v>
      </c>
      <c r="BO3533" s="8">
        <v>2789990.6663961955</v>
      </c>
      <c r="BP3533" s="8">
        <v>4019882.1646966417</v>
      </c>
      <c r="BQ3533" s="8">
        <v>1229891.4983004462</v>
      </c>
      <c r="BR3533" s="8" t="str">
        <v>No</v>
      </c>
    </row>
    <row r="3534" spans="54:70" x14ac:dyDescent="0.2">
      <c r="BB3534" s="94"/>
      <c r="BL3534" s="8">
        <v>3485</v>
      </c>
      <c r="BM3534" s="8">
        <v>6375944.4517154749</v>
      </c>
      <c r="BN3534" s="8">
        <v>0</v>
      </c>
      <c r="BO3534" s="8">
        <v>6375944.4517154749</v>
      </c>
      <c r="BP3534" s="8">
        <v>3769159.8781074923</v>
      </c>
      <c r="BQ3534" s="8">
        <v>-2606784.5736079826</v>
      </c>
      <c r="BR3534" s="8" t="str">
        <v>Yes</v>
      </c>
    </row>
    <row r="3535" spans="54:70" x14ac:dyDescent="0.2">
      <c r="BB3535" s="94"/>
      <c r="BL3535" s="8">
        <v>3486</v>
      </c>
      <c r="BM3535" s="8">
        <v>6597145.8775866386</v>
      </c>
      <c r="BN3535" s="8">
        <v>5764402.705269713</v>
      </c>
      <c r="BO3535" s="8">
        <v>12361548.582856352</v>
      </c>
      <c r="BP3535" s="8">
        <v>6419121.1686800029</v>
      </c>
      <c r="BQ3535" s="8">
        <v>-5942427.4141763486</v>
      </c>
      <c r="BR3535" s="8" t="str">
        <v>Yes</v>
      </c>
    </row>
    <row r="3536" spans="54:70" x14ac:dyDescent="0.2">
      <c r="BB3536" s="94"/>
      <c r="BL3536" s="8">
        <v>3487</v>
      </c>
      <c r="BM3536" s="8">
        <v>3192533.2543133241</v>
      </c>
      <c r="BN3536" s="8">
        <v>0</v>
      </c>
      <c r="BO3536" s="8">
        <v>3192533.2543133241</v>
      </c>
      <c r="BP3536" s="8">
        <v>2282824.985742873</v>
      </c>
      <c r="BQ3536" s="8">
        <v>-909708.26857045107</v>
      </c>
      <c r="BR3536" s="8" t="str">
        <v>Yes</v>
      </c>
    </row>
    <row r="3537" spans="54:70" x14ac:dyDescent="0.2">
      <c r="BB3537" s="94"/>
      <c r="BL3537" s="8">
        <v>3488</v>
      </c>
      <c r="BM3537" s="8">
        <v>2233543.6078259898</v>
      </c>
      <c r="BN3537" s="8">
        <v>0</v>
      </c>
      <c r="BO3537" s="8">
        <v>2233543.6078259898</v>
      </c>
      <c r="BP3537" s="8">
        <v>4434126.8379084263</v>
      </c>
      <c r="BQ3537" s="8">
        <v>2200583.2300824365</v>
      </c>
      <c r="BR3537" s="8" t="str">
        <v>No</v>
      </c>
    </row>
    <row r="3538" spans="54:70" x14ac:dyDescent="0.2">
      <c r="BB3538" s="94"/>
      <c r="BL3538" s="8">
        <v>3489</v>
      </c>
      <c r="BM3538" s="8">
        <v>11144242.897928771</v>
      </c>
      <c r="BN3538" s="8">
        <v>0</v>
      </c>
      <c r="BO3538" s="8">
        <v>11144242.897928771</v>
      </c>
      <c r="BP3538" s="8">
        <v>6380769.6530015096</v>
      </c>
      <c r="BQ3538" s="8">
        <v>-4763473.244927261</v>
      </c>
      <c r="BR3538" s="8" t="str">
        <v>Yes</v>
      </c>
    </row>
    <row r="3539" spans="54:70" x14ac:dyDescent="0.2">
      <c r="BB3539" s="94"/>
      <c r="BL3539" s="8">
        <v>3490</v>
      </c>
      <c r="BM3539" s="8">
        <v>3131702.5235938942</v>
      </c>
      <c r="BN3539" s="8">
        <v>0</v>
      </c>
      <c r="BO3539" s="8">
        <v>3131702.5235938942</v>
      </c>
      <c r="BP3539" s="8">
        <v>2215813.5316203837</v>
      </c>
      <c r="BQ3539" s="8">
        <v>-915888.99197351048</v>
      </c>
      <c r="BR3539" s="8" t="str">
        <v>Yes</v>
      </c>
    </row>
    <row r="3540" spans="54:70" x14ac:dyDescent="0.2">
      <c r="BB3540" s="94"/>
      <c r="BL3540" s="8">
        <v>3491</v>
      </c>
      <c r="BM3540" s="8">
        <v>8736716.1832392551</v>
      </c>
      <c r="BN3540" s="8">
        <v>7624928.9602656569</v>
      </c>
      <c r="BO3540" s="8">
        <v>16361645.143504912</v>
      </c>
      <c r="BP3540" s="8">
        <v>4250995.6716071069</v>
      </c>
      <c r="BQ3540" s="8">
        <v>-12110649.471897805</v>
      </c>
      <c r="BR3540" s="8" t="str">
        <v>Yes</v>
      </c>
    </row>
    <row r="3541" spans="54:70" x14ac:dyDescent="0.2">
      <c r="BB3541" s="94"/>
      <c r="BL3541" s="8">
        <v>3492</v>
      </c>
      <c r="BM3541" s="8">
        <v>9397921.2213432081</v>
      </c>
      <c r="BN3541" s="8">
        <v>0</v>
      </c>
      <c r="BO3541" s="8">
        <v>9397921.2213432081</v>
      </c>
      <c r="BP3541" s="8">
        <v>4282887.9535987182</v>
      </c>
      <c r="BQ3541" s="8">
        <v>-5115033.2677444899</v>
      </c>
      <c r="BR3541" s="8" t="str">
        <v>Yes</v>
      </c>
    </row>
    <row r="3542" spans="54:70" x14ac:dyDescent="0.2">
      <c r="BB3542" s="94"/>
      <c r="BL3542" s="8">
        <v>3493</v>
      </c>
      <c r="BM3542" s="8">
        <v>4915307.7871131841</v>
      </c>
      <c r="BN3542" s="8">
        <v>5023896.9857331906</v>
      </c>
      <c r="BO3542" s="8">
        <v>9939204.7728463747</v>
      </c>
      <c r="BP3542" s="8">
        <v>2252454.920266557</v>
      </c>
      <c r="BQ3542" s="8">
        <v>-7686749.8525798172</v>
      </c>
      <c r="BR3542" s="8" t="str">
        <v>Yes</v>
      </c>
    </row>
    <row r="3543" spans="54:70" x14ac:dyDescent="0.2">
      <c r="BB3543" s="94"/>
      <c r="BL3543" s="8">
        <v>3494</v>
      </c>
      <c r="BM3543" s="8">
        <v>1621410.5171936345</v>
      </c>
      <c r="BN3543" s="8">
        <v>0</v>
      </c>
      <c r="BO3543" s="8">
        <v>1621410.5171936345</v>
      </c>
      <c r="BP3543" s="8">
        <v>3085624.8467267207</v>
      </c>
      <c r="BQ3543" s="8">
        <v>1464214.3295330862</v>
      </c>
      <c r="BR3543" s="8" t="str">
        <v>No</v>
      </c>
    </row>
    <row r="3544" spans="54:70" x14ac:dyDescent="0.2">
      <c r="BB3544" s="94"/>
      <c r="BL3544" s="8">
        <v>3495</v>
      </c>
      <c r="BM3544" s="8">
        <v>6719793.7322258083</v>
      </c>
      <c r="BN3544" s="8">
        <v>5902589.3781266455</v>
      </c>
      <c r="BO3544" s="8">
        <v>12622383.110352453</v>
      </c>
      <c r="BP3544" s="8">
        <v>2238753.5782516524</v>
      </c>
      <c r="BQ3544" s="8">
        <v>-10383629.5321008</v>
      </c>
      <c r="BR3544" s="8" t="str">
        <v>Yes</v>
      </c>
    </row>
    <row r="3545" spans="54:70" x14ac:dyDescent="0.2">
      <c r="BB3545" s="94"/>
      <c r="BL3545" s="8">
        <v>3496</v>
      </c>
      <c r="BM3545" s="8">
        <v>5663567.8141196948</v>
      </c>
      <c r="BN3545" s="8">
        <v>0</v>
      </c>
      <c r="BO3545" s="8">
        <v>5663567.8141196948</v>
      </c>
      <c r="BP3545" s="8">
        <v>2154540.9502067957</v>
      </c>
      <c r="BQ3545" s="8">
        <v>-3509026.863912899</v>
      </c>
      <c r="BR3545" s="8" t="str">
        <v>Yes</v>
      </c>
    </row>
    <row r="3546" spans="54:70" x14ac:dyDescent="0.2">
      <c r="BB3546" s="94"/>
      <c r="BL3546" s="8">
        <v>3497</v>
      </c>
      <c r="BM3546" s="8">
        <v>1652923.7487367864</v>
      </c>
      <c r="BN3546" s="8">
        <v>0</v>
      </c>
      <c r="BO3546" s="8">
        <v>1652923.7487367864</v>
      </c>
      <c r="BP3546" s="8">
        <v>2381603.0637262268</v>
      </c>
      <c r="BQ3546" s="8">
        <v>728679.31498944038</v>
      </c>
      <c r="BR3546" s="8" t="str">
        <v>No</v>
      </c>
    </row>
    <row r="3547" spans="54:70" x14ac:dyDescent="0.2">
      <c r="BB3547" s="94"/>
      <c r="BL3547" s="8">
        <v>3498</v>
      </c>
      <c r="BM3547" s="8">
        <v>3357608.1490259329</v>
      </c>
      <c r="BN3547" s="8">
        <v>0</v>
      </c>
      <c r="BO3547" s="8">
        <v>3357608.1490259329</v>
      </c>
      <c r="BP3547" s="8">
        <v>3576802.3977773124</v>
      </c>
      <c r="BQ3547" s="8">
        <v>219194.24875137955</v>
      </c>
      <c r="BR3547" s="8" t="str">
        <v>No</v>
      </c>
    </row>
    <row r="3548" spans="54:70" x14ac:dyDescent="0.2">
      <c r="BB3548" s="94"/>
      <c r="BL3548" s="8">
        <v>3499</v>
      </c>
      <c r="BM3548" s="8">
        <v>2275970.4900318603</v>
      </c>
      <c r="BN3548" s="8">
        <v>0</v>
      </c>
      <c r="BO3548" s="8">
        <v>2275970.4900318603</v>
      </c>
      <c r="BP3548" s="8">
        <v>3577530.6750940918</v>
      </c>
      <c r="BQ3548" s="8">
        <v>1301560.1850622315</v>
      </c>
      <c r="BR3548" s="8" t="str">
        <v>No</v>
      </c>
    </row>
    <row r="3549" spans="54:70" x14ac:dyDescent="0.2">
      <c r="BB3549" s="94"/>
      <c r="BL3549" s="8">
        <v>3500</v>
      </c>
      <c r="BM3549" s="8">
        <v>2516331.1752824057</v>
      </c>
      <c r="BN3549" s="8">
        <v>0</v>
      </c>
      <c r="BO3549" s="8">
        <v>2516331.1752824057</v>
      </c>
      <c r="BP3549" s="8">
        <v>2200160.5969159584</v>
      </c>
      <c r="BQ3549" s="8">
        <v>-316170.57836644724</v>
      </c>
      <c r="BR3549" s="8" t="str">
        <v>Yes</v>
      </c>
    </row>
    <row r="3550" spans="54:70" x14ac:dyDescent="0.2">
      <c r="BB3550" s="94"/>
      <c r="BL3550" s="8">
        <v>3501</v>
      </c>
      <c r="BM3550" s="8">
        <v>4601946.0838043047</v>
      </c>
      <c r="BN3550" s="8">
        <v>0</v>
      </c>
      <c r="BO3550" s="8">
        <v>4601946.0838043047</v>
      </c>
      <c r="BP3550" s="8">
        <v>3488150.4298685398</v>
      </c>
      <c r="BQ3550" s="8">
        <v>-1113795.6539357649</v>
      </c>
      <c r="BR3550" s="8" t="str">
        <v>Yes</v>
      </c>
    </row>
    <row r="3551" spans="54:70" x14ac:dyDescent="0.2">
      <c r="BB3551" s="94"/>
      <c r="BL3551" s="8">
        <v>3502</v>
      </c>
      <c r="BM3551" s="8">
        <v>1569613.3168041823</v>
      </c>
      <c r="BN3551" s="8">
        <v>0</v>
      </c>
      <c r="BO3551" s="8">
        <v>1569613.3168041823</v>
      </c>
      <c r="BP3551" s="8">
        <v>2303371.8065207568</v>
      </c>
      <c r="BQ3551" s="8">
        <v>733758.48971657455</v>
      </c>
      <c r="BR3551" s="8" t="str">
        <v>No</v>
      </c>
    </row>
    <row r="3552" spans="54:70" x14ac:dyDescent="0.2">
      <c r="BB3552" s="94"/>
      <c r="BL3552" s="8">
        <v>3503</v>
      </c>
      <c r="BM3552" s="8">
        <v>6498085.2607437959</v>
      </c>
      <c r="BN3552" s="8">
        <v>9774551.2961541619</v>
      </c>
      <c r="BO3552" s="8">
        <v>16272636.556897957</v>
      </c>
      <c r="BP3552" s="8">
        <v>3295283.9335668725</v>
      </c>
      <c r="BQ3552" s="8">
        <v>-12977352.623331085</v>
      </c>
      <c r="BR3552" s="8" t="str">
        <v>Yes</v>
      </c>
    </row>
    <row r="3553" spans="54:70" x14ac:dyDescent="0.2">
      <c r="BB3553" s="94"/>
      <c r="BL3553" s="8">
        <v>3504</v>
      </c>
      <c r="BM3553" s="8">
        <v>5014708.1177249514</v>
      </c>
      <c r="BN3553" s="8">
        <v>0</v>
      </c>
      <c r="BO3553" s="8">
        <v>5014708.1177249514</v>
      </c>
      <c r="BP3553" s="8">
        <v>3424208.5187298921</v>
      </c>
      <c r="BQ3553" s="8">
        <v>-1590499.5989950593</v>
      </c>
      <c r="BR3553" s="8" t="str">
        <v>Yes</v>
      </c>
    </row>
    <row r="3554" spans="54:70" x14ac:dyDescent="0.2">
      <c r="BB3554" s="94"/>
      <c r="BL3554" s="8">
        <v>3505</v>
      </c>
      <c r="BM3554" s="8">
        <v>3570877.1793506821</v>
      </c>
      <c r="BN3554" s="8">
        <v>0</v>
      </c>
      <c r="BO3554" s="8">
        <v>3570877.1793506821</v>
      </c>
      <c r="BP3554" s="8">
        <v>2404016.4960473091</v>
      </c>
      <c r="BQ3554" s="8">
        <v>-1166860.6833033729</v>
      </c>
      <c r="BR3554" s="8" t="str">
        <v>Yes</v>
      </c>
    </row>
    <row r="3555" spans="54:70" x14ac:dyDescent="0.2">
      <c r="BB3555" s="94"/>
      <c r="BL3555" s="8">
        <v>3506</v>
      </c>
      <c r="BM3555" s="8">
        <v>4800396.1443755906</v>
      </c>
      <c r="BN3555" s="8">
        <v>0</v>
      </c>
      <c r="BO3555" s="8">
        <v>4800396.1443755906</v>
      </c>
      <c r="BP3555" s="8">
        <v>2246834.547110199</v>
      </c>
      <c r="BQ3555" s="8">
        <v>-2553561.5972653916</v>
      </c>
      <c r="BR3555" s="8" t="str">
        <v>Yes</v>
      </c>
    </row>
    <row r="3556" spans="54:70" x14ac:dyDescent="0.2">
      <c r="BB3556" s="94"/>
      <c r="BL3556" s="8">
        <v>3507</v>
      </c>
      <c r="BM3556" s="8">
        <v>5327549.7053077631</v>
      </c>
      <c r="BN3556" s="8">
        <v>4851043.9630754059</v>
      </c>
      <c r="BO3556" s="8">
        <v>10178593.66838317</v>
      </c>
      <c r="BP3556" s="8">
        <v>3623771.2318146825</v>
      </c>
      <c r="BQ3556" s="8">
        <v>-6554822.4365684874</v>
      </c>
      <c r="BR3556" s="8" t="str">
        <v>Yes</v>
      </c>
    </row>
    <row r="3557" spans="54:70" x14ac:dyDescent="0.2">
      <c r="BB3557" s="94"/>
      <c r="BL3557" s="8">
        <v>3508</v>
      </c>
      <c r="BM3557" s="8">
        <v>3195393.4126590788</v>
      </c>
      <c r="BN3557" s="8">
        <v>3831277.2368717925</v>
      </c>
      <c r="BO3557" s="8">
        <v>7026670.6495308708</v>
      </c>
      <c r="BP3557" s="8">
        <v>2381245.1278356747</v>
      </c>
      <c r="BQ3557" s="8">
        <v>-4645425.5216951966</v>
      </c>
      <c r="BR3557" s="8" t="str">
        <v>Yes</v>
      </c>
    </row>
    <row r="3558" spans="54:70" x14ac:dyDescent="0.2">
      <c r="BB3558" s="94"/>
      <c r="BL3558" s="8">
        <v>3509</v>
      </c>
      <c r="BM3558" s="8">
        <v>4722659.5577040743</v>
      </c>
      <c r="BN3558" s="8">
        <v>3908200.5150986682</v>
      </c>
      <c r="BO3558" s="8">
        <v>8630860.0728027429</v>
      </c>
      <c r="BP3558" s="8">
        <v>5908451.14578267</v>
      </c>
      <c r="BQ3558" s="8">
        <v>-2722408.9270200729</v>
      </c>
      <c r="BR3558" s="8" t="str">
        <v>Yes</v>
      </c>
    </row>
    <row r="3559" spans="54:70" x14ac:dyDescent="0.2">
      <c r="BB3559" s="94"/>
      <c r="BL3559" s="8">
        <v>3510</v>
      </c>
      <c r="BM3559" s="8">
        <v>5229041.2288438166</v>
      </c>
      <c r="BN3559" s="8">
        <v>2919726.3945918051</v>
      </c>
      <c r="BO3559" s="8">
        <v>8148767.6234356221</v>
      </c>
      <c r="BP3559" s="8">
        <v>6030541.3161684219</v>
      </c>
      <c r="BQ3559" s="8">
        <v>-2118226.3072672002</v>
      </c>
      <c r="BR3559" s="8" t="str">
        <v>Yes</v>
      </c>
    </row>
    <row r="3560" spans="54:70" x14ac:dyDescent="0.2">
      <c r="BB3560" s="94"/>
      <c r="BL3560" s="8">
        <v>3511</v>
      </c>
      <c r="BM3560" s="8">
        <v>6036823.110179699</v>
      </c>
      <c r="BN3560" s="8">
        <v>1129665.0531154592</v>
      </c>
      <c r="BO3560" s="8">
        <v>7166488.1632951582</v>
      </c>
      <c r="BP3560" s="8">
        <v>6440724.3779806094</v>
      </c>
      <c r="BQ3560" s="8">
        <v>-725763.78531454876</v>
      </c>
      <c r="BR3560" s="8" t="str">
        <v>Yes</v>
      </c>
    </row>
    <row r="3561" spans="54:70" x14ac:dyDescent="0.2">
      <c r="BB3561" s="94"/>
      <c r="BL3561" s="8">
        <v>3512</v>
      </c>
      <c r="BM3561" s="8">
        <v>4702463.2713552751</v>
      </c>
      <c r="BN3561" s="8">
        <v>3545119.7163104219</v>
      </c>
      <c r="BO3561" s="8">
        <v>8247582.987665697</v>
      </c>
      <c r="BP3561" s="8">
        <v>2642952.5757977874</v>
      </c>
      <c r="BQ3561" s="8">
        <v>-5604630.4118679091</v>
      </c>
      <c r="BR3561" s="8" t="str">
        <v>Yes</v>
      </c>
    </row>
    <row r="3562" spans="54:70" x14ac:dyDescent="0.2">
      <c r="BB3562" s="94"/>
      <c r="BL3562" s="8">
        <v>3513</v>
      </c>
      <c r="BM3562" s="8">
        <v>2115073.4810983599</v>
      </c>
      <c r="BN3562" s="8">
        <v>0</v>
      </c>
      <c r="BO3562" s="8">
        <v>2115073.4810983599</v>
      </c>
      <c r="BP3562" s="8">
        <v>6196707.8320597149</v>
      </c>
      <c r="BQ3562" s="8">
        <v>4081634.350961355</v>
      </c>
      <c r="BR3562" s="8" t="str">
        <v>No</v>
      </c>
    </row>
    <row r="3563" spans="54:70" x14ac:dyDescent="0.2">
      <c r="BB3563" s="94"/>
      <c r="BL3563" s="8">
        <v>3514</v>
      </c>
      <c r="BM3563" s="8">
        <v>3308429.3264020626</v>
      </c>
      <c r="BN3563" s="8">
        <v>0</v>
      </c>
      <c r="BO3563" s="8">
        <v>3308429.3264020626</v>
      </c>
      <c r="BP3563" s="8">
        <v>2275203.2243983848</v>
      </c>
      <c r="BQ3563" s="8">
        <v>-1033226.1020036777</v>
      </c>
      <c r="BR3563" s="8" t="str">
        <v>Yes</v>
      </c>
    </row>
    <row r="3564" spans="54:70" x14ac:dyDescent="0.2">
      <c r="BB3564" s="94"/>
      <c r="BL3564" s="8">
        <v>3515</v>
      </c>
      <c r="BM3564" s="8">
        <v>7955888.3827092052</v>
      </c>
      <c r="BN3564" s="8">
        <v>0</v>
      </c>
      <c r="BO3564" s="8">
        <v>7955888.3827092052</v>
      </c>
      <c r="BP3564" s="8">
        <v>6281547.7819892289</v>
      </c>
      <c r="BQ3564" s="8">
        <v>-1674340.6007199762</v>
      </c>
      <c r="BR3564" s="8" t="str">
        <v>Yes</v>
      </c>
    </row>
    <row r="3565" spans="54:70" x14ac:dyDescent="0.2">
      <c r="BB3565" s="94"/>
      <c r="BL3565" s="8">
        <v>3516</v>
      </c>
      <c r="BM3565" s="8">
        <v>6836631.9225181537</v>
      </c>
      <c r="BN3565" s="8">
        <v>0</v>
      </c>
      <c r="BO3565" s="8">
        <v>6836631.9225181537</v>
      </c>
      <c r="BP3565" s="8">
        <v>2314006.1252362868</v>
      </c>
      <c r="BQ3565" s="8">
        <v>-4522625.7972818669</v>
      </c>
      <c r="BR3565" s="8" t="str">
        <v>Yes</v>
      </c>
    </row>
    <row r="3566" spans="54:70" x14ac:dyDescent="0.2">
      <c r="BB3566" s="94"/>
      <c r="BL3566" s="8">
        <v>3517</v>
      </c>
      <c r="BM3566" s="8">
        <v>2927495.1364208763</v>
      </c>
      <c r="BN3566" s="8">
        <v>0</v>
      </c>
      <c r="BO3566" s="8">
        <v>2927495.1364208763</v>
      </c>
      <c r="BP3566" s="8">
        <v>3456731.9965353622</v>
      </c>
      <c r="BQ3566" s="8">
        <v>529236.86011448596</v>
      </c>
      <c r="BR3566" s="8" t="str">
        <v>No</v>
      </c>
    </row>
    <row r="3567" spans="54:70" x14ac:dyDescent="0.2">
      <c r="BB3567" s="94"/>
      <c r="BL3567" s="8">
        <v>3518</v>
      </c>
      <c r="BM3567" s="8">
        <v>2746003.5619580084</v>
      </c>
      <c r="BN3567" s="8">
        <v>0</v>
      </c>
      <c r="BO3567" s="8">
        <v>2746003.5619580084</v>
      </c>
      <c r="BP3567" s="8">
        <v>4201395.294972037</v>
      </c>
      <c r="BQ3567" s="8">
        <v>1455391.7330140285</v>
      </c>
      <c r="BR3567" s="8" t="str">
        <v>No</v>
      </c>
    </row>
    <row r="3568" spans="54:70" x14ac:dyDescent="0.2">
      <c r="BB3568" s="94"/>
      <c r="BL3568" s="8">
        <v>3519</v>
      </c>
      <c r="BM3568" s="8">
        <v>3394760.2990013277</v>
      </c>
      <c r="BN3568" s="8">
        <v>914241.49803840742</v>
      </c>
      <c r="BO3568" s="8">
        <v>4309001.7970397351</v>
      </c>
      <c r="BP3568" s="8">
        <v>6636510.1974716485</v>
      </c>
      <c r="BQ3568" s="8">
        <v>2327508.4004319133</v>
      </c>
      <c r="BR3568" s="8" t="str">
        <v>No</v>
      </c>
    </row>
    <row r="3569" spans="54:70" x14ac:dyDescent="0.2">
      <c r="BB3569" s="94"/>
      <c r="BL3569" s="8">
        <v>3520</v>
      </c>
      <c r="BM3569" s="8">
        <v>2668390.8055257834</v>
      </c>
      <c r="BN3569" s="8">
        <v>0</v>
      </c>
      <c r="BO3569" s="8">
        <v>2668390.8055257834</v>
      </c>
      <c r="BP3569" s="8">
        <v>3461548.2992467405</v>
      </c>
      <c r="BQ3569" s="8">
        <v>793157.49372095708</v>
      </c>
      <c r="BR3569" s="8" t="str">
        <v>No</v>
      </c>
    </row>
    <row r="3570" spans="54:70" x14ac:dyDescent="0.2">
      <c r="BB3570" s="94"/>
      <c r="BL3570" s="8">
        <v>3521</v>
      </c>
      <c r="BM3570" s="8">
        <v>2031647.4461050732</v>
      </c>
      <c r="BN3570" s="8">
        <v>0</v>
      </c>
      <c r="BO3570" s="8">
        <v>2031647.4461050732</v>
      </c>
      <c r="BP3570" s="8">
        <v>3454841.6513027633</v>
      </c>
      <c r="BQ3570" s="8">
        <v>1423194.2051976901</v>
      </c>
      <c r="BR3570" s="8" t="str">
        <v>No</v>
      </c>
    </row>
    <row r="3571" spans="54:70" x14ac:dyDescent="0.2">
      <c r="BB3571" s="94"/>
      <c r="BL3571" s="8">
        <v>3522</v>
      </c>
      <c r="BM3571" s="8">
        <v>3255471.2788332496</v>
      </c>
      <c r="BN3571" s="8">
        <v>0</v>
      </c>
      <c r="BO3571" s="8">
        <v>3255471.2788332496</v>
      </c>
      <c r="BP3571" s="8">
        <v>2385391.143384784</v>
      </c>
      <c r="BQ3571" s="8">
        <v>-870080.13544846559</v>
      </c>
      <c r="BR3571" s="8" t="str">
        <v>Yes</v>
      </c>
    </row>
    <row r="3572" spans="54:70" x14ac:dyDescent="0.2">
      <c r="BB3572" s="94"/>
      <c r="BL3572" s="8">
        <v>3523</v>
      </c>
      <c r="BM3572" s="8">
        <v>2214630.5859031235</v>
      </c>
      <c r="BN3572" s="8">
        <v>1090784.8248033947</v>
      </c>
      <c r="BO3572" s="8">
        <v>3305415.4107065182</v>
      </c>
      <c r="BP3572" s="8">
        <v>5027008.5071102921</v>
      </c>
      <c r="BQ3572" s="8">
        <v>1721593.0964037739</v>
      </c>
      <c r="BR3572" s="8" t="str">
        <v>No</v>
      </c>
    </row>
    <row r="3573" spans="54:70" x14ac:dyDescent="0.2">
      <c r="BB3573" s="94"/>
      <c r="BL3573" s="8">
        <v>3524</v>
      </c>
      <c r="BM3573" s="8">
        <v>3673547.0783466734</v>
      </c>
      <c r="BN3573" s="8">
        <v>2368962.3352568569</v>
      </c>
      <c r="BO3573" s="8">
        <v>6042509.4136035303</v>
      </c>
      <c r="BP3573" s="8">
        <v>2365682.9923702534</v>
      </c>
      <c r="BQ3573" s="8">
        <v>-3676826.4212332768</v>
      </c>
      <c r="BR3573" s="8" t="str">
        <v>Yes</v>
      </c>
    </row>
    <row r="3574" spans="54:70" x14ac:dyDescent="0.2">
      <c r="BB3574" s="94"/>
      <c r="BL3574" s="8">
        <v>3525</v>
      </c>
      <c r="BM3574" s="8">
        <v>3345316.0946824057</v>
      </c>
      <c r="BN3574" s="8">
        <v>0</v>
      </c>
      <c r="BO3574" s="8">
        <v>3345316.0946824057</v>
      </c>
      <c r="BP3574" s="8">
        <v>3418582.038901065</v>
      </c>
      <c r="BQ3574" s="8">
        <v>73265.944218659308</v>
      </c>
      <c r="BR3574" s="8" t="str">
        <v>No</v>
      </c>
    </row>
    <row r="3575" spans="54:70" x14ac:dyDescent="0.2">
      <c r="BB3575" s="94"/>
      <c r="BL3575" s="8">
        <v>3526</v>
      </c>
      <c r="BM3575" s="8">
        <v>3155898.8912527086</v>
      </c>
      <c r="BN3575" s="8">
        <v>1090838.7182302568</v>
      </c>
      <c r="BO3575" s="8">
        <v>4246737.6094829654</v>
      </c>
      <c r="BP3575" s="8">
        <v>3203066.2160648927</v>
      </c>
      <c r="BQ3575" s="8">
        <v>-1043671.3934180727</v>
      </c>
      <c r="BR3575" s="8" t="str">
        <v>Yes</v>
      </c>
    </row>
    <row r="3576" spans="54:70" x14ac:dyDescent="0.2">
      <c r="BB3576" s="94"/>
      <c r="BL3576" s="8">
        <v>3527</v>
      </c>
      <c r="BM3576" s="8">
        <v>2777937.2990340432</v>
      </c>
      <c r="BN3576" s="8">
        <v>0</v>
      </c>
      <c r="BO3576" s="8">
        <v>2777937.2990340432</v>
      </c>
      <c r="BP3576" s="8">
        <v>3433007.6715357048</v>
      </c>
      <c r="BQ3576" s="8">
        <v>655070.37250166154</v>
      </c>
      <c r="BR3576" s="8" t="str">
        <v>No</v>
      </c>
    </row>
    <row r="3577" spans="54:70" x14ac:dyDescent="0.2">
      <c r="BB3577" s="94"/>
      <c r="BL3577" s="8">
        <v>3528</v>
      </c>
      <c r="BM3577" s="8">
        <v>3920284.9332554974</v>
      </c>
      <c r="BN3577" s="8">
        <v>0</v>
      </c>
      <c r="BO3577" s="8">
        <v>3920284.9332554974</v>
      </c>
      <c r="BP3577" s="8">
        <v>2376106.5172763341</v>
      </c>
      <c r="BQ3577" s="8">
        <v>-1544178.4159791633</v>
      </c>
      <c r="BR3577" s="8" t="str">
        <v>Yes</v>
      </c>
    </row>
    <row r="3578" spans="54:70" x14ac:dyDescent="0.2">
      <c r="BB3578" s="94"/>
      <c r="BL3578" s="8">
        <v>3529</v>
      </c>
      <c r="BM3578" s="8">
        <v>2658625.3100696043</v>
      </c>
      <c r="BN3578" s="8">
        <v>1693081.5276482205</v>
      </c>
      <c r="BO3578" s="8">
        <v>4351706.8377178246</v>
      </c>
      <c r="BP3578" s="8">
        <v>3315381.9996263278</v>
      </c>
      <c r="BQ3578" s="8">
        <v>-1036324.8380914968</v>
      </c>
      <c r="BR3578" s="8" t="str">
        <v>Yes</v>
      </c>
    </row>
    <row r="3579" spans="54:70" x14ac:dyDescent="0.2">
      <c r="BB3579" s="94"/>
      <c r="BL3579" s="8">
        <v>3530</v>
      </c>
      <c r="BM3579" s="8">
        <v>6899143.8784413729</v>
      </c>
      <c r="BN3579" s="8">
        <v>2945891.9971646694</v>
      </c>
      <c r="BO3579" s="8">
        <v>9845035.8756060414</v>
      </c>
      <c r="BP3579" s="8">
        <v>3231073.4570283615</v>
      </c>
      <c r="BQ3579" s="8">
        <v>-6613962.4185776804</v>
      </c>
      <c r="BR3579" s="8" t="str">
        <v>Yes</v>
      </c>
    </row>
    <row r="3580" spans="54:70" x14ac:dyDescent="0.2">
      <c r="BB3580" s="94"/>
      <c r="BL3580" s="8">
        <v>3531</v>
      </c>
      <c r="BM3580" s="8">
        <v>2670124.5819812631</v>
      </c>
      <c r="BN3580" s="8">
        <v>1389517.8472755938</v>
      </c>
      <c r="BO3580" s="8">
        <v>4059642.4292568569</v>
      </c>
      <c r="BP3580" s="8">
        <v>6655454.3057695404</v>
      </c>
      <c r="BQ3580" s="8">
        <v>2595811.8765126835</v>
      </c>
      <c r="BR3580" s="8" t="str">
        <v>No</v>
      </c>
    </row>
    <row r="3581" spans="54:70" x14ac:dyDescent="0.2">
      <c r="BB3581" s="94"/>
      <c r="BL3581" s="8">
        <v>3532</v>
      </c>
      <c r="BM3581" s="8">
        <v>4117975.9304672452</v>
      </c>
      <c r="BN3581" s="8">
        <v>4529540.9703136878</v>
      </c>
      <c r="BO3581" s="8">
        <v>8647516.900780933</v>
      </c>
      <c r="BP3581" s="8">
        <v>4523149.9006699082</v>
      </c>
      <c r="BQ3581" s="8">
        <v>-4124367.0001110248</v>
      </c>
      <c r="BR3581" s="8" t="str">
        <v>Yes</v>
      </c>
    </row>
    <row r="3582" spans="54:70" x14ac:dyDescent="0.2">
      <c r="BB3582" s="94"/>
      <c r="BL3582" s="8">
        <v>3533</v>
      </c>
      <c r="BM3582" s="8">
        <v>1305390.3240696404</v>
      </c>
      <c r="BN3582" s="8">
        <v>0</v>
      </c>
      <c r="BO3582" s="8">
        <v>1305390.3240696404</v>
      </c>
      <c r="BP3582" s="8">
        <v>3243562.9014462973</v>
      </c>
      <c r="BQ3582" s="8">
        <v>1938172.5773766569</v>
      </c>
      <c r="BR3582" s="8" t="str">
        <v>No</v>
      </c>
    </row>
    <row r="3583" spans="54:70" x14ac:dyDescent="0.2">
      <c r="BB3583" s="94"/>
      <c r="BL3583" s="8">
        <v>3534</v>
      </c>
      <c r="BM3583" s="8">
        <v>4804128.6901246812</v>
      </c>
      <c r="BN3583" s="8">
        <v>3022747.1603712384</v>
      </c>
      <c r="BO3583" s="8">
        <v>7826875.8504959196</v>
      </c>
      <c r="BP3583" s="8">
        <v>4424157.0015871683</v>
      </c>
      <c r="BQ3583" s="8">
        <v>-3402718.8489087513</v>
      </c>
      <c r="BR3583" s="8" t="str">
        <v>Yes</v>
      </c>
    </row>
    <row r="3584" spans="54:70" x14ac:dyDescent="0.2">
      <c r="BB3584" s="94"/>
      <c r="BL3584" s="8">
        <v>3535</v>
      </c>
      <c r="BM3584" s="8">
        <v>4891079.563839375</v>
      </c>
      <c r="BN3584" s="8">
        <v>0</v>
      </c>
      <c r="BO3584" s="8">
        <v>4891079.563839375</v>
      </c>
      <c r="BP3584" s="8">
        <v>2388916.5319299763</v>
      </c>
      <c r="BQ3584" s="8">
        <v>-2502163.0319093987</v>
      </c>
      <c r="BR3584" s="8" t="str">
        <v>Yes</v>
      </c>
    </row>
    <row r="3585" spans="54:70" x14ac:dyDescent="0.2">
      <c r="BB3585" s="94"/>
      <c r="BL3585" s="8">
        <v>3536</v>
      </c>
      <c r="BM3585" s="8">
        <v>5297053.262210181</v>
      </c>
      <c r="BN3585" s="8">
        <v>0</v>
      </c>
      <c r="BO3585" s="8">
        <v>5297053.262210181</v>
      </c>
      <c r="BP3585" s="8">
        <v>6017687.9334095242</v>
      </c>
      <c r="BQ3585" s="8">
        <v>720634.67119934317</v>
      </c>
      <c r="BR3585" s="8" t="str">
        <v>No</v>
      </c>
    </row>
    <row r="3586" spans="54:70" x14ac:dyDescent="0.2">
      <c r="BB3586" s="94"/>
      <c r="BL3586" s="8">
        <v>3537</v>
      </c>
      <c r="BM3586" s="8">
        <v>3287676.8797690361</v>
      </c>
      <c r="BN3586" s="8">
        <v>0</v>
      </c>
      <c r="BO3586" s="8">
        <v>3287676.8797690361</v>
      </c>
      <c r="BP3586" s="8">
        <v>2357590.0159064359</v>
      </c>
      <c r="BQ3586" s="8">
        <v>-930086.86386260018</v>
      </c>
      <c r="BR3586" s="8" t="str">
        <v>Yes</v>
      </c>
    </row>
    <row r="3587" spans="54:70" x14ac:dyDescent="0.2">
      <c r="BB3587" s="94"/>
      <c r="BL3587" s="8">
        <v>3538</v>
      </c>
      <c r="BM3587" s="8">
        <v>2999508.9551776918</v>
      </c>
      <c r="BN3587" s="8">
        <v>2652550.1124214916</v>
      </c>
      <c r="BO3587" s="8">
        <v>5652059.0675991829</v>
      </c>
      <c r="BP3587" s="8">
        <v>6532547.1146177854</v>
      </c>
      <c r="BQ3587" s="8">
        <v>880488.04701860249</v>
      </c>
      <c r="BR3587" s="8" t="str">
        <v>No</v>
      </c>
    </row>
    <row r="3588" spans="54:70" x14ac:dyDescent="0.2">
      <c r="BB3588" s="94"/>
      <c r="BL3588" s="8">
        <v>3539</v>
      </c>
      <c r="BM3588" s="8">
        <v>10648350.122097524</v>
      </c>
      <c r="BN3588" s="8">
        <v>21597302.460162967</v>
      </c>
      <c r="BO3588" s="8">
        <v>32245652.582260489</v>
      </c>
      <c r="BP3588" s="8">
        <v>3245256.3904481931</v>
      </c>
      <c r="BQ3588" s="8">
        <v>-29000396.191812295</v>
      </c>
      <c r="BR3588" s="8" t="str">
        <v>Yes</v>
      </c>
    </row>
    <row r="3589" spans="54:70" x14ac:dyDescent="0.2">
      <c r="BB3589" s="94"/>
      <c r="BL3589" s="8">
        <v>3540</v>
      </c>
      <c r="BM3589" s="8">
        <v>2305347.1515834341</v>
      </c>
      <c r="BN3589" s="8">
        <v>1508587.4717453085</v>
      </c>
      <c r="BO3589" s="8">
        <v>3813934.6233287426</v>
      </c>
      <c r="BP3589" s="8">
        <v>6070742.3218932841</v>
      </c>
      <c r="BQ3589" s="8">
        <v>2256807.6985645415</v>
      </c>
      <c r="BR3589" s="8" t="str">
        <v>No</v>
      </c>
    </row>
    <row r="3590" spans="54:70" x14ac:dyDescent="0.2">
      <c r="BB3590" s="94"/>
      <c r="BL3590" s="8">
        <v>3541</v>
      </c>
      <c r="BM3590" s="8">
        <v>4370170.2514667371</v>
      </c>
      <c r="BN3590" s="8">
        <v>0</v>
      </c>
      <c r="BO3590" s="8">
        <v>4370170.2514667371</v>
      </c>
      <c r="BP3590" s="8">
        <v>3606062.4461179152</v>
      </c>
      <c r="BQ3590" s="8">
        <v>-764107.80534882192</v>
      </c>
      <c r="BR3590" s="8" t="str">
        <v>Yes</v>
      </c>
    </row>
    <row r="3591" spans="54:70" x14ac:dyDescent="0.2">
      <c r="BB3591" s="94"/>
      <c r="BL3591" s="8">
        <v>3542</v>
      </c>
      <c r="BM3591" s="8">
        <v>9325550.4751645923</v>
      </c>
      <c r="BN3591" s="8">
        <v>0</v>
      </c>
      <c r="BO3591" s="8">
        <v>9325550.4751645923</v>
      </c>
      <c r="BP3591" s="8">
        <v>6665034.8786927648</v>
      </c>
      <c r="BQ3591" s="8">
        <v>-2660515.5964718275</v>
      </c>
      <c r="BR3591" s="8" t="str">
        <v>Yes</v>
      </c>
    </row>
    <row r="3592" spans="54:70" x14ac:dyDescent="0.2">
      <c r="BB3592" s="94"/>
      <c r="BL3592" s="8">
        <v>3543</v>
      </c>
      <c r="BM3592" s="8">
        <v>3662038.3158095563</v>
      </c>
      <c r="BN3592" s="8">
        <v>2127305.141817397</v>
      </c>
      <c r="BO3592" s="8">
        <v>5789343.4576269537</v>
      </c>
      <c r="BP3592" s="8">
        <v>4522631.1894505071</v>
      </c>
      <c r="BQ3592" s="8">
        <v>-1266712.2681764467</v>
      </c>
      <c r="BR3592" s="8" t="str">
        <v>Yes</v>
      </c>
    </row>
    <row r="3593" spans="54:70" x14ac:dyDescent="0.2">
      <c r="BB3593" s="94"/>
      <c r="BL3593" s="8">
        <v>3544</v>
      </c>
      <c r="BM3593" s="8">
        <v>4110259.2615704658</v>
      </c>
      <c r="BN3593" s="8">
        <v>0</v>
      </c>
      <c r="BO3593" s="8">
        <v>4110259.2615704658</v>
      </c>
      <c r="BP3593" s="8">
        <v>5862628.2513346775</v>
      </c>
      <c r="BQ3593" s="8">
        <v>1752368.9897642117</v>
      </c>
      <c r="BR3593" s="8" t="str">
        <v>No</v>
      </c>
    </row>
    <row r="3594" spans="54:70" x14ac:dyDescent="0.2">
      <c r="BB3594" s="94"/>
      <c r="BL3594" s="8">
        <v>3545</v>
      </c>
      <c r="BM3594" s="8">
        <v>7310709.5079464884</v>
      </c>
      <c r="BN3594" s="8">
        <v>10296022.247940956</v>
      </c>
      <c r="BO3594" s="8">
        <v>17606731.755887445</v>
      </c>
      <c r="BP3594" s="8">
        <v>4329727.2645565514</v>
      </c>
      <c r="BQ3594" s="8">
        <v>-13277004.491330894</v>
      </c>
      <c r="BR3594" s="8" t="str">
        <v>Yes</v>
      </c>
    </row>
    <row r="3595" spans="54:70" x14ac:dyDescent="0.2">
      <c r="BB3595" s="94"/>
      <c r="BL3595" s="8">
        <v>3546</v>
      </c>
      <c r="BM3595" s="8">
        <v>5025846.1444501886</v>
      </c>
      <c r="BN3595" s="8">
        <v>4025593.3496699408</v>
      </c>
      <c r="BO3595" s="8">
        <v>9051439.4941201285</v>
      </c>
      <c r="BP3595" s="8">
        <v>3030390.9117134567</v>
      </c>
      <c r="BQ3595" s="8">
        <v>-6021048.5824066717</v>
      </c>
      <c r="BR3595" s="8" t="str">
        <v>Yes</v>
      </c>
    </row>
    <row r="3596" spans="54:70" x14ac:dyDescent="0.2">
      <c r="BB3596" s="94"/>
      <c r="BL3596" s="8">
        <v>3547</v>
      </c>
      <c r="BM3596" s="8">
        <v>4794041.3022889644</v>
      </c>
      <c r="BN3596" s="8">
        <v>2067255.0326598466</v>
      </c>
      <c r="BO3596" s="8">
        <v>6861296.3349488107</v>
      </c>
      <c r="BP3596" s="8">
        <v>6156338.0599740269</v>
      </c>
      <c r="BQ3596" s="8">
        <v>-704958.27497478388</v>
      </c>
      <c r="BR3596" s="8" t="str">
        <v>Yes</v>
      </c>
    </row>
    <row r="3597" spans="54:70" x14ac:dyDescent="0.2">
      <c r="BB3597" s="94"/>
      <c r="BL3597" s="8">
        <v>3548</v>
      </c>
      <c r="BM3597" s="8">
        <v>4337293.2622530349</v>
      </c>
      <c r="BN3597" s="8">
        <v>0</v>
      </c>
      <c r="BO3597" s="8">
        <v>4337293.2622530349</v>
      </c>
      <c r="BP3597" s="8">
        <v>4105284.6640952192</v>
      </c>
      <c r="BQ3597" s="8">
        <v>-232008.59815781564</v>
      </c>
      <c r="BR3597" s="8" t="str">
        <v>Yes</v>
      </c>
    </row>
    <row r="3598" spans="54:70" x14ac:dyDescent="0.2">
      <c r="BB3598" s="94"/>
      <c r="BL3598" s="8">
        <v>3549</v>
      </c>
      <c r="BM3598" s="8">
        <v>3949833.7567573953</v>
      </c>
      <c r="BN3598" s="8">
        <v>3069380.6917540482</v>
      </c>
      <c r="BO3598" s="8">
        <v>7019214.448511444</v>
      </c>
      <c r="BP3598" s="8">
        <v>2058699.6077945002</v>
      </c>
      <c r="BQ3598" s="8">
        <v>-4960514.8407169441</v>
      </c>
      <c r="BR3598" s="8" t="str">
        <v>Yes</v>
      </c>
    </row>
    <row r="3599" spans="54:70" x14ac:dyDescent="0.2">
      <c r="BB3599" s="94"/>
      <c r="BL3599" s="8">
        <v>3550</v>
      </c>
      <c r="BM3599" s="8">
        <v>4176394.5018862863</v>
      </c>
      <c r="BN3599" s="8">
        <v>7228095.3891672958</v>
      </c>
      <c r="BO3599" s="8">
        <v>11404489.891053582</v>
      </c>
      <c r="BP3599" s="8">
        <v>2246165.4254573938</v>
      </c>
      <c r="BQ3599" s="8">
        <v>-9158324.4655961879</v>
      </c>
      <c r="BR3599" s="8" t="str">
        <v>Yes</v>
      </c>
    </row>
    <row r="3600" spans="54:70" x14ac:dyDescent="0.2">
      <c r="BB3600" s="94"/>
      <c r="BL3600" s="8">
        <v>3551</v>
      </c>
      <c r="BM3600" s="8">
        <v>4854534.4790286608</v>
      </c>
      <c r="BN3600" s="8">
        <v>0</v>
      </c>
      <c r="BO3600" s="8">
        <v>4854534.4790286608</v>
      </c>
      <c r="BP3600" s="8">
        <v>4232296.2646816522</v>
      </c>
      <c r="BQ3600" s="8">
        <v>-622238.21434700862</v>
      </c>
      <c r="BR3600" s="8" t="str">
        <v>Yes</v>
      </c>
    </row>
    <row r="3601" spans="54:70" x14ac:dyDescent="0.2">
      <c r="BB3601" s="94"/>
      <c r="BL3601" s="8">
        <v>3552</v>
      </c>
      <c r="BM3601" s="8">
        <v>6167717.3099906594</v>
      </c>
      <c r="BN3601" s="8">
        <v>14484188.418166379</v>
      </c>
      <c r="BO3601" s="8">
        <v>20651905.728157036</v>
      </c>
      <c r="BP3601" s="8">
        <v>3091240.1323659564</v>
      </c>
      <c r="BQ3601" s="8">
        <v>-17560665.595791079</v>
      </c>
      <c r="BR3601" s="8" t="str">
        <v>Yes</v>
      </c>
    </row>
    <row r="3602" spans="54:70" x14ac:dyDescent="0.2">
      <c r="BB3602" s="94"/>
      <c r="BL3602" s="8">
        <v>3553</v>
      </c>
      <c r="BM3602" s="8">
        <v>6867188.0928734904</v>
      </c>
      <c r="BN3602" s="8">
        <v>0</v>
      </c>
      <c r="BO3602" s="8">
        <v>6867188.0928734904</v>
      </c>
      <c r="BP3602" s="8">
        <v>6613269.0871922253</v>
      </c>
      <c r="BQ3602" s="8">
        <v>-253919.00568126515</v>
      </c>
      <c r="BR3602" s="8" t="str">
        <v>Yes</v>
      </c>
    </row>
    <row r="3603" spans="54:70" x14ac:dyDescent="0.2">
      <c r="BB3603" s="94"/>
      <c r="BL3603" s="8">
        <v>3554</v>
      </c>
      <c r="BM3603" s="8">
        <v>8754593.1969183274</v>
      </c>
      <c r="BN3603" s="8">
        <v>7167812.2937456798</v>
      </c>
      <c r="BO3603" s="8">
        <v>15922405.490664007</v>
      </c>
      <c r="BP3603" s="8">
        <v>4187728.5992967756</v>
      </c>
      <c r="BQ3603" s="8">
        <v>-11734676.891367231</v>
      </c>
      <c r="BR3603" s="8" t="str">
        <v>Yes</v>
      </c>
    </row>
    <row r="3604" spans="54:70" x14ac:dyDescent="0.2">
      <c r="BB3604" s="94"/>
      <c r="BL3604" s="8">
        <v>3555</v>
      </c>
      <c r="BM3604" s="8">
        <v>4362226.7323182765</v>
      </c>
      <c r="BN3604" s="8">
        <v>4875107.7615957493</v>
      </c>
      <c r="BO3604" s="8">
        <v>9237334.4939140268</v>
      </c>
      <c r="BP3604" s="8">
        <v>4490308.4484798955</v>
      </c>
      <c r="BQ3604" s="8">
        <v>-4747026.0454341313</v>
      </c>
      <c r="BR3604" s="8" t="str">
        <v>Yes</v>
      </c>
    </row>
    <row r="3605" spans="54:70" x14ac:dyDescent="0.2">
      <c r="BB3605" s="94"/>
      <c r="BL3605" s="8">
        <v>3556</v>
      </c>
      <c r="BM3605" s="8">
        <v>2861256.5547207678</v>
      </c>
      <c r="BN3605" s="8">
        <v>0</v>
      </c>
      <c r="BO3605" s="8">
        <v>2861256.5547207678</v>
      </c>
      <c r="BP3605" s="8">
        <v>3500235.2353242715</v>
      </c>
      <c r="BQ3605" s="8">
        <v>638978.68060350372</v>
      </c>
      <c r="BR3605" s="8" t="str">
        <v>No</v>
      </c>
    </row>
    <row r="3606" spans="54:70" x14ac:dyDescent="0.2">
      <c r="BB3606" s="94"/>
      <c r="BL3606" s="8">
        <v>3557</v>
      </c>
      <c r="BM3606" s="8">
        <v>2475327.395951381</v>
      </c>
      <c r="BN3606" s="8">
        <v>0</v>
      </c>
      <c r="BO3606" s="8">
        <v>2475327.395951381</v>
      </c>
      <c r="BP3606" s="8">
        <v>3456090.8776765936</v>
      </c>
      <c r="BQ3606" s="8">
        <v>980763.48172521265</v>
      </c>
      <c r="BR3606" s="8" t="str">
        <v>No</v>
      </c>
    </row>
    <row r="3607" spans="54:70" x14ac:dyDescent="0.2">
      <c r="BB3607" s="94"/>
      <c r="BL3607" s="8">
        <v>3558</v>
      </c>
      <c r="BM3607" s="8">
        <v>5319691.5380956624</v>
      </c>
      <c r="BN3607" s="8">
        <v>0</v>
      </c>
      <c r="BO3607" s="8">
        <v>5319691.5380956624</v>
      </c>
      <c r="BP3607" s="8">
        <v>6818336.6367609687</v>
      </c>
      <c r="BQ3607" s="8">
        <v>1498645.0986653063</v>
      </c>
      <c r="BR3607" s="8" t="str">
        <v>No</v>
      </c>
    </row>
    <row r="3608" spans="54:70" x14ac:dyDescent="0.2">
      <c r="BB3608" s="94"/>
      <c r="BL3608" s="8">
        <v>3559</v>
      </c>
      <c r="BM3608" s="8">
        <v>4948536.2498867856</v>
      </c>
      <c r="BN3608" s="8">
        <v>1553472.5927824953</v>
      </c>
      <c r="BO3608" s="8">
        <v>6502008.8426692812</v>
      </c>
      <c r="BP3608" s="8">
        <v>4429485.0764135383</v>
      </c>
      <c r="BQ3608" s="8">
        <v>-2072523.7662557429</v>
      </c>
      <c r="BR3608" s="8" t="str">
        <v>Yes</v>
      </c>
    </row>
    <row r="3609" spans="54:70" x14ac:dyDescent="0.2">
      <c r="BB3609" s="94"/>
      <c r="BL3609" s="8">
        <v>3560</v>
      </c>
      <c r="BM3609" s="8">
        <v>3728853.5257126773</v>
      </c>
      <c r="BN3609" s="8">
        <v>0</v>
      </c>
      <c r="BO3609" s="8">
        <v>3728853.5257126773</v>
      </c>
      <c r="BP3609" s="8">
        <v>2293603.1086758431</v>
      </c>
      <c r="BQ3609" s="8">
        <v>-1435250.4170368342</v>
      </c>
      <c r="BR3609" s="8" t="str">
        <v>Yes</v>
      </c>
    </row>
    <row r="3610" spans="54:70" x14ac:dyDescent="0.2">
      <c r="BB3610" s="94"/>
      <c r="BL3610" s="8">
        <v>3561</v>
      </c>
      <c r="BM3610" s="8">
        <v>2179970.2512340401</v>
      </c>
      <c r="BN3610" s="8">
        <v>1335967.8295638738</v>
      </c>
      <c r="BO3610" s="8">
        <v>3515938.0807979139</v>
      </c>
      <c r="BP3610" s="8">
        <v>3115747.4920660076</v>
      </c>
      <c r="BQ3610" s="8">
        <v>-400190.58873190638</v>
      </c>
      <c r="BR3610" s="8" t="str">
        <v>Yes</v>
      </c>
    </row>
    <row r="3611" spans="54:70" x14ac:dyDescent="0.2">
      <c r="BB3611" s="94"/>
      <c r="BL3611" s="8">
        <v>3562</v>
      </c>
      <c r="BM3611" s="8">
        <v>2473726.6057946989</v>
      </c>
      <c r="BN3611" s="8">
        <v>0</v>
      </c>
      <c r="BO3611" s="8">
        <v>2473726.6057946989</v>
      </c>
      <c r="BP3611" s="8">
        <v>3257524.2537175524</v>
      </c>
      <c r="BQ3611" s="8">
        <v>783797.64792285347</v>
      </c>
      <c r="BR3611" s="8" t="str">
        <v>No</v>
      </c>
    </row>
    <row r="3612" spans="54:70" x14ac:dyDescent="0.2">
      <c r="BB3612" s="94"/>
      <c r="BL3612" s="8">
        <v>3563</v>
      </c>
      <c r="BM3612" s="8">
        <v>4625080.450424931</v>
      </c>
      <c r="BN3612" s="8">
        <v>0</v>
      </c>
      <c r="BO3612" s="8">
        <v>4625080.450424931</v>
      </c>
      <c r="BP3612" s="8">
        <v>3578271.1037676823</v>
      </c>
      <c r="BQ3612" s="8">
        <v>-1046809.3466572487</v>
      </c>
      <c r="BR3612" s="8" t="str">
        <v>Yes</v>
      </c>
    </row>
    <row r="3613" spans="54:70" x14ac:dyDescent="0.2">
      <c r="BB3613" s="94"/>
      <c r="BL3613" s="8">
        <v>3564</v>
      </c>
      <c r="BM3613" s="8">
        <v>11278717.301633263</v>
      </c>
      <c r="BN3613" s="8">
        <v>6820345.0999744311</v>
      </c>
      <c r="BO3613" s="8">
        <v>18099062.401607692</v>
      </c>
      <c r="BP3613" s="8">
        <v>4018556.4955061572</v>
      </c>
      <c r="BQ3613" s="8">
        <v>-14080505.906101536</v>
      </c>
      <c r="BR3613" s="8" t="str">
        <v>Yes</v>
      </c>
    </row>
    <row r="3614" spans="54:70" x14ac:dyDescent="0.2">
      <c r="BB3614" s="94"/>
      <c r="BL3614" s="8">
        <v>3565</v>
      </c>
      <c r="BM3614" s="8">
        <v>3535672.8222634848</v>
      </c>
      <c r="BN3614" s="8">
        <v>0</v>
      </c>
      <c r="BO3614" s="8">
        <v>3535672.8222634848</v>
      </c>
      <c r="BP3614" s="8">
        <v>3481398.3111244584</v>
      </c>
      <c r="BQ3614" s="8">
        <v>-54274.511139026377</v>
      </c>
      <c r="BR3614" s="8" t="str">
        <v>Yes</v>
      </c>
    </row>
    <row r="3615" spans="54:70" x14ac:dyDescent="0.2">
      <c r="BB3615" s="94"/>
      <c r="BL3615" s="8">
        <v>3566</v>
      </c>
      <c r="BM3615" s="8">
        <v>6093435.0763790347</v>
      </c>
      <c r="BN3615" s="8">
        <v>3652304.8840566063</v>
      </c>
      <c r="BO3615" s="8">
        <v>9745739.9604356401</v>
      </c>
      <c r="BP3615" s="8">
        <v>7095332.7947770162</v>
      </c>
      <c r="BQ3615" s="8">
        <v>-2650407.1656586239</v>
      </c>
      <c r="BR3615" s="8" t="str">
        <v>Yes</v>
      </c>
    </row>
    <row r="3616" spans="54:70" x14ac:dyDescent="0.2">
      <c r="BB3616" s="94"/>
      <c r="BL3616" s="8">
        <v>3567</v>
      </c>
      <c r="BM3616" s="8">
        <v>2195945.1602168274</v>
      </c>
      <c r="BN3616" s="8">
        <v>1647449.0389139298</v>
      </c>
      <c r="BO3616" s="8">
        <v>3843394.1991307572</v>
      </c>
      <c r="BP3616" s="8">
        <v>3314117.1864669286</v>
      </c>
      <c r="BQ3616" s="8">
        <v>-529277.01266382867</v>
      </c>
      <c r="BR3616" s="8" t="str">
        <v>Yes</v>
      </c>
    </row>
    <row r="3617" spans="54:70" x14ac:dyDescent="0.2">
      <c r="BB3617" s="94"/>
      <c r="BL3617" s="8">
        <v>3568</v>
      </c>
      <c r="BM3617" s="8">
        <v>6322417.394247313</v>
      </c>
      <c r="BN3617" s="8">
        <v>0</v>
      </c>
      <c r="BO3617" s="8">
        <v>6322417.394247313</v>
      </c>
      <c r="BP3617" s="8">
        <v>5939068.4766017608</v>
      </c>
      <c r="BQ3617" s="8">
        <v>-383348.9176455522</v>
      </c>
      <c r="BR3617" s="8" t="str">
        <v>Yes</v>
      </c>
    </row>
    <row r="3618" spans="54:70" x14ac:dyDescent="0.2">
      <c r="BB3618" s="94"/>
      <c r="BL3618" s="8">
        <v>3569</v>
      </c>
      <c r="BM3618" s="8">
        <v>3527029.3234589328</v>
      </c>
      <c r="BN3618" s="8">
        <v>1623008.6170925491</v>
      </c>
      <c r="BO3618" s="8">
        <v>5150037.9405514821</v>
      </c>
      <c r="BP3618" s="8">
        <v>5718194.8526531141</v>
      </c>
      <c r="BQ3618" s="8">
        <v>568156.91210163198</v>
      </c>
      <c r="BR3618" s="8" t="str">
        <v>No</v>
      </c>
    </row>
    <row r="3619" spans="54:70" x14ac:dyDescent="0.2">
      <c r="BB3619" s="94"/>
      <c r="BL3619" s="8">
        <v>3570</v>
      </c>
      <c r="BM3619" s="8">
        <v>7331698.3570743129</v>
      </c>
      <c r="BN3619" s="8">
        <v>4077511.8272426687</v>
      </c>
      <c r="BO3619" s="8">
        <v>11409210.184316982</v>
      </c>
      <c r="BP3619" s="8">
        <v>2145888.0414029611</v>
      </c>
      <c r="BQ3619" s="8">
        <v>-9263322.1429140195</v>
      </c>
      <c r="BR3619" s="8" t="str">
        <v>Yes</v>
      </c>
    </row>
    <row r="3620" spans="54:70" x14ac:dyDescent="0.2">
      <c r="BB3620" s="94"/>
      <c r="BL3620" s="8">
        <v>3571</v>
      </c>
      <c r="BM3620" s="8">
        <v>4148955.0646496462</v>
      </c>
      <c r="BN3620" s="8">
        <v>3589924.786949812</v>
      </c>
      <c r="BO3620" s="8">
        <v>7738879.8515994586</v>
      </c>
      <c r="BP3620" s="8">
        <v>5143201.8050257917</v>
      </c>
      <c r="BQ3620" s="8">
        <v>-2595678.0465736669</v>
      </c>
      <c r="BR3620" s="8" t="str">
        <v>Yes</v>
      </c>
    </row>
    <row r="3621" spans="54:70" x14ac:dyDescent="0.2">
      <c r="BB3621" s="94"/>
      <c r="BL3621" s="8">
        <v>3572</v>
      </c>
      <c r="BM3621" s="8">
        <v>4649558.1105479524</v>
      </c>
      <c r="BN3621" s="8">
        <v>0</v>
      </c>
      <c r="BO3621" s="8">
        <v>4649558.1105479524</v>
      </c>
      <c r="BP3621" s="8">
        <v>4426501.0102813179</v>
      </c>
      <c r="BQ3621" s="8">
        <v>-223057.10026663449</v>
      </c>
      <c r="BR3621" s="8" t="str">
        <v>Yes</v>
      </c>
    </row>
    <row r="3622" spans="54:70" x14ac:dyDescent="0.2">
      <c r="BB3622" s="94"/>
      <c r="BL3622" s="8">
        <v>3573</v>
      </c>
      <c r="BM3622" s="8">
        <v>11627613.694828369</v>
      </c>
      <c r="BN3622" s="8">
        <v>0</v>
      </c>
      <c r="BO3622" s="8">
        <v>11627613.694828369</v>
      </c>
      <c r="BP3622" s="8">
        <v>3204058.6905466402</v>
      </c>
      <c r="BQ3622" s="8">
        <v>-8423555.0042817295</v>
      </c>
      <c r="BR3622" s="8" t="str">
        <v>Yes</v>
      </c>
    </row>
    <row r="3623" spans="54:70" x14ac:dyDescent="0.2">
      <c r="BB3623" s="94"/>
      <c r="BL3623" s="8">
        <v>3574</v>
      </c>
      <c r="BM3623" s="8">
        <v>4353232.2530618925</v>
      </c>
      <c r="BN3623" s="8">
        <v>0</v>
      </c>
      <c r="BO3623" s="8">
        <v>4353232.2530618925</v>
      </c>
      <c r="BP3623" s="8">
        <v>6323068.6263341736</v>
      </c>
      <c r="BQ3623" s="8">
        <v>1969836.3732722811</v>
      </c>
      <c r="BR3623" s="8" t="str">
        <v>No</v>
      </c>
    </row>
    <row r="3624" spans="54:70" x14ac:dyDescent="0.2">
      <c r="BB3624" s="94"/>
      <c r="BL3624" s="8">
        <v>3575</v>
      </c>
      <c r="BM3624" s="8">
        <v>3076199.9159827353</v>
      </c>
      <c r="BN3624" s="8">
        <v>0</v>
      </c>
      <c r="BO3624" s="8">
        <v>3076199.9159827353</v>
      </c>
      <c r="BP3624" s="8">
        <v>6471507.3026738251</v>
      </c>
      <c r="BQ3624" s="8">
        <v>3395307.3866910897</v>
      </c>
      <c r="BR3624" s="8" t="str">
        <v>No</v>
      </c>
    </row>
    <row r="3625" spans="54:70" x14ac:dyDescent="0.2">
      <c r="BB3625" s="94"/>
      <c r="BL3625" s="8">
        <v>3576</v>
      </c>
      <c r="BM3625" s="8">
        <v>3589050.2413817002</v>
      </c>
      <c r="BN3625" s="8">
        <v>2221287.6512615415</v>
      </c>
      <c r="BO3625" s="8">
        <v>5810337.8926432412</v>
      </c>
      <c r="BP3625" s="8">
        <v>3448143.8838024484</v>
      </c>
      <c r="BQ3625" s="8">
        <v>-2362194.0088407928</v>
      </c>
      <c r="BR3625" s="8" t="str">
        <v>Yes</v>
      </c>
    </row>
    <row r="3626" spans="54:70" x14ac:dyDescent="0.2">
      <c r="BB3626" s="94"/>
      <c r="BL3626" s="8">
        <v>3577</v>
      </c>
      <c r="BM3626" s="8">
        <v>7414712.4430463072</v>
      </c>
      <c r="BN3626" s="8">
        <v>8493289.2531754617</v>
      </c>
      <c r="BO3626" s="8">
        <v>15908001.696221769</v>
      </c>
      <c r="BP3626" s="8">
        <v>4310629.0245256638</v>
      </c>
      <c r="BQ3626" s="8">
        <v>-11597372.671696104</v>
      </c>
      <c r="BR3626" s="8" t="str">
        <v>Yes</v>
      </c>
    </row>
    <row r="3627" spans="54:70" x14ac:dyDescent="0.2">
      <c r="BB3627" s="94"/>
      <c r="BL3627" s="8">
        <v>3578</v>
      </c>
      <c r="BM3627" s="8">
        <v>3336803.5851081861</v>
      </c>
      <c r="BN3627" s="8">
        <v>0</v>
      </c>
      <c r="BO3627" s="8">
        <v>3336803.5851081861</v>
      </c>
      <c r="BP3627" s="8">
        <v>6327657.9656262398</v>
      </c>
      <c r="BQ3627" s="8">
        <v>2990854.3805180537</v>
      </c>
      <c r="BR3627" s="8" t="str">
        <v>No</v>
      </c>
    </row>
    <row r="3628" spans="54:70" x14ac:dyDescent="0.2">
      <c r="BB3628" s="94"/>
      <c r="BL3628" s="8">
        <v>3579</v>
      </c>
      <c r="BM3628" s="8">
        <v>5769445.7731007598</v>
      </c>
      <c r="BN3628" s="8">
        <v>0</v>
      </c>
      <c r="BO3628" s="8">
        <v>5769445.7731007598</v>
      </c>
      <c r="BP3628" s="8">
        <v>4027327.1429333892</v>
      </c>
      <c r="BQ3628" s="8">
        <v>-1742118.6301673707</v>
      </c>
      <c r="BR3628" s="8" t="str">
        <v>Yes</v>
      </c>
    </row>
    <row r="3629" spans="54:70" x14ac:dyDescent="0.2">
      <c r="BB3629" s="94"/>
      <c r="BL3629" s="8">
        <v>3580</v>
      </c>
      <c r="BM3629" s="8">
        <v>2022312.0231820391</v>
      </c>
      <c r="BN3629" s="8">
        <v>0</v>
      </c>
      <c r="BO3629" s="8">
        <v>2022312.0231820391</v>
      </c>
      <c r="BP3629" s="8">
        <v>6340468.6362299863</v>
      </c>
      <c r="BQ3629" s="8">
        <v>4318156.6130479472</v>
      </c>
      <c r="BR3629" s="8" t="str">
        <v>No</v>
      </c>
    </row>
    <row r="3630" spans="54:70" x14ac:dyDescent="0.2">
      <c r="BB3630" s="94"/>
      <c r="BL3630" s="8">
        <v>3581</v>
      </c>
      <c r="BM3630" s="8">
        <v>3528851.5285557471</v>
      </c>
      <c r="BN3630" s="8">
        <v>2773614.0983971371</v>
      </c>
      <c r="BO3630" s="8">
        <v>6302465.6269528847</v>
      </c>
      <c r="BP3630" s="8">
        <v>3230037.3682429902</v>
      </c>
      <c r="BQ3630" s="8">
        <v>-3072428.2587098945</v>
      </c>
      <c r="BR3630" s="8" t="str">
        <v>Yes</v>
      </c>
    </row>
    <row r="3631" spans="54:70" x14ac:dyDescent="0.2">
      <c r="BB3631" s="94"/>
      <c r="BL3631" s="8">
        <v>3582</v>
      </c>
      <c r="BM3631" s="8">
        <v>2897790.6359293903</v>
      </c>
      <c r="BN3631" s="8">
        <v>0</v>
      </c>
      <c r="BO3631" s="8">
        <v>2897790.6359293903</v>
      </c>
      <c r="BP3631" s="8">
        <v>6531561.9914840423</v>
      </c>
      <c r="BQ3631" s="8">
        <v>3633771.3555546519</v>
      </c>
      <c r="BR3631" s="8" t="str">
        <v>No</v>
      </c>
    </row>
    <row r="3632" spans="54:70" x14ac:dyDescent="0.2">
      <c r="BB3632" s="94"/>
      <c r="BL3632" s="8">
        <v>3583</v>
      </c>
      <c r="BM3632" s="8">
        <v>8228866.2413404873</v>
      </c>
      <c r="BN3632" s="8">
        <v>0</v>
      </c>
      <c r="BO3632" s="8">
        <v>8228866.2413404873</v>
      </c>
      <c r="BP3632" s="8">
        <v>4354015.3800717294</v>
      </c>
      <c r="BQ3632" s="8">
        <v>-3874850.8612687578</v>
      </c>
      <c r="BR3632" s="8" t="str">
        <v>Yes</v>
      </c>
    </row>
    <row r="3633" spans="54:70" x14ac:dyDescent="0.2">
      <c r="BB3633" s="94"/>
      <c r="BL3633" s="8">
        <v>3584</v>
      </c>
      <c r="BM3633" s="8">
        <v>8018971.4205745431</v>
      </c>
      <c r="BN3633" s="8">
        <v>12002830.807195393</v>
      </c>
      <c r="BO3633" s="8">
        <v>20021802.227769937</v>
      </c>
      <c r="BP3633" s="8">
        <v>6097946.4486742364</v>
      </c>
      <c r="BQ3633" s="8">
        <v>-13923855.779095702</v>
      </c>
      <c r="BR3633" s="8" t="str">
        <v>Yes</v>
      </c>
    </row>
    <row r="3634" spans="54:70" x14ac:dyDescent="0.2">
      <c r="BB3634" s="94"/>
      <c r="BL3634" s="8">
        <v>3585</v>
      </c>
      <c r="BM3634" s="8">
        <v>4733604.4770604819</v>
      </c>
      <c r="BN3634" s="8">
        <v>0</v>
      </c>
      <c r="BO3634" s="8">
        <v>4733604.4770604819</v>
      </c>
      <c r="BP3634" s="8">
        <v>3149399.8714839839</v>
      </c>
      <c r="BQ3634" s="8">
        <v>-1584204.605576498</v>
      </c>
      <c r="BR3634" s="8" t="str">
        <v>Yes</v>
      </c>
    </row>
    <row r="3635" spans="54:70" x14ac:dyDescent="0.2">
      <c r="BB3635" s="94"/>
      <c r="BL3635" s="8">
        <v>3586</v>
      </c>
      <c r="BM3635" s="8">
        <v>3196266.0753002102</v>
      </c>
      <c r="BN3635" s="8">
        <v>0</v>
      </c>
      <c r="BO3635" s="8">
        <v>3196266.0753002102</v>
      </c>
      <c r="BP3635" s="8">
        <v>3933991.7786798468</v>
      </c>
      <c r="BQ3635" s="8">
        <v>737725.70337963663</v>
      </c>
      <c r="BR3635" s="8" t="str">
        <v>No</v>
      </c>
    </row>
    <row r="3636" spans="54:70" x14ac:dyDescent="0.2">
      <c r="BB3636" s="94"/>
      <c r="BL3636" s="8">
        <v>3587</v>
      </c>
      <c r="BM3636" s="8">
        <v>3290116.5068088616</v>
      </c>
      <c r="BN3636" s="8">
        <v>1684458.2057935579</v>
      </c>
      <c r="BO3636" s="8">
        <v>4974574.7126024198</v>
      </c>
      <c r="BP3636" s="8">
        <v>4557345.7386433911</v>
      </c>
      <c r="BQ3636" s="8">
        <v>-417228.97395902872</v>
      </c>
      <c r="BR3636" s="8" t="str">
        <v>Yes</v>
      </c>
    </row>
    <row r="3637" spans="54:70" x14ac:dyDescent="0.2">
      <c r="BB3637" s="94"/>
      <c r="BL3637" s="8">
        <v>3588</v>
      </c>
      <c r="BM3637" s="8">
        <v>2947098.1557533257</v>
      </c>
      <c r="BN3637" s="8">
        <v>2385343.4626210877</v>
      </c>
      <c r="BO3637" s="8">
        <v>5332441.6183744129</v>
      </c>
      <c r="BP3637" s="8">
        <v>3436934.3695570752</v>
      </c>
      <c r="BQ3637" s="8">
        <v>-1895507.2488173377</v>
      </c>
      <c r="BR3637" s="8" t="str">
        <v>Yes</v>
      </c>
    </row>
    <row r="3638" spans="54:70" x14ac:dyDescent="0.2">
      <c r="BB3638" s="94"/>
      <c r="BL3638" s="8">
        <v>3589</v>
      </c>
      <c r="BM3638" s="8">
        <v>3091333.8174265735</v>
      </c>
      <c r="BN3638" s="8">
        <v>3076009.3452807311</v>
      </c>
      <c r="BO3638" s="8">
        <v>6167343.1627073046</v>
      </c>
      <c r="BP3638" s="8">
        <v>3379416.9484032947</v>
      </c>
      <c r="BQ3638" s="8">
        <v>-2787926.2143040099</v>
      </c>
      <c r="BR3638" s="8" t="str">
        <v>Yes</v>
      </c>
    </row>
    <row r="3639" spans="54:70" x14ac:dyDescent="0.2">
      <c r="BB3639" s="94"/>
      <c r="BL3639" s="8">
        <v>3590</v>
      </c>
      <c r="BM3639" s="8">
        <v>5004621.6295687705</v>
      </c>
      <c r="BN3639" s="8">
        <v>4232057.0035146708</v>
      </c>
      <c r="BO3639" s="8">
        <v>9236678.6330834404</v>
      </c>
      <c r="BP3639" s="8">
        <v>3352774.9324972648</v>
      </c>
      <c r="BQ3639" s="8">
        <v>-5883903.7005861755</v>
      </c>
      <c r="BR3639" s="8" t="str">
        <v>Yes</v>
      </c>
    </row>
    <row r="3640" spans="54:70" x14ac:dyDescent="0.2">
      <c r="BB3640" s="94"/>
      <c r="BL3640" s="8">
        <v>3591</v>
      </c>
      <c r="BM3640" s="8">
        <v>2133336.7935198774</v>
      </c>
      <c r="BN3640" s="8">
        <v>2791500.0920304633</v>
      </c>
      <c r="BO3640" s="8">
        <v>4924836.8855503406</v>
      </c>
      <c r="BP3640" s="8">
        <v>2082363.8174743401</v>
      </c>
      <c r="BQ3640" s="8">
        <v>-2842473.0680760005</v>
      </c>
      <c r="BR3640" s="8" t="str">
        <v>Yes</v>
      </c>
    </row>
    <row r="3641" spans="54:70" x14ac:dyDescent="0.2">
      <c r="BB3641" s="94"/>
      <c r="BL3641" s="8">
        <v>3592</v>
      </c>
      <c r="BM3641" s="8">
        <v>2648033.5025270618</v>
      </c>
      <c r="BN3641" s="8">
        <v>0</v>
      </c>
      <c r="BO3641" s="8">
        <v>2648033.5025270618</v>
      </c>
      <c r="BP3641" s="8">
        <v>4335235.7569749095</v>
      </c>
      <c r="BQ3641" s="8">
        <v>1687202.2544478476</v>
      </c>
      <c r="BR3641" s="8" t="str">
        <v>No</v>
      </c>
    </row>
    <row r="3642" spans="54:70" x14ac:dyDescent="0.2">
      <c r="BB3642" s="94"/>
      <c r="BL3642" s="8">
        <v>3593</v>
      </c>
      <c r="BM3642" s="8">
        <v>4055974.1490683332</v>
      </c>
      <c r="BN3642" s="8">
        <v>0</v>
      </c>
      <c r="BO3642" s="8">
        <v>4055974.1490683332</v>
      </c>
      <c r="BP3642" s="8">
        <v>4200540.2432019515</v>
      </c>
      <c r="BQ3642" s="8">
        <v>144566.09413361829</v>
      </c>
      <c r="BR3642" s="8" t="str">
        <v>No</v>
      </c>
    </row>
    <row r="3643" spans="54:70" x14ac:dyDescent="0.2">
      <c r="BB3643" s="94"/>
      <c r="BL3643" s="8">
        <v>3594</v>
      </c>
      <c r="BM3643" s="8">
        <v>7924923.9949321635</v>
      </c>
      <c r="BN3643" s="8">
        <v>10530972.426331839</v>
      </c>
      <c r="BO3643" s="8">
        <v>18455896.421264</v>
      </c>
      <c r="BP3643" s="8">
        <v>3319736.9475483848</v>
      </c>
      <c r="BQ3643" s="8">
        <v>-15136159.473715615</v>
      </c>
      <c r="BR3643" s="8" t="str">
        <v>Yes</v>
      </c>
    </row>
    <row r="3644" spans="54:70" x14ac:dyDescent="0.2">
      <c r="BB3644" s="94"/>
      <c r="BL3644" s="8">
        <v>3595</v>
      </c>
      <c r="BM3644" s="8">
        <v>2753625.6980779162</v>
      </c>
      <c r="BN3644" s="8">
        <v>0</v>
      </c>
      <c r="BO3644" s="8">
        <v>2753625.6980779162</v>
      </c>
      <c r="BP3644" s="8">
        <v>2450630.4019789142</v>
      </c>
      <c r="BQ3644" s="8">
        <v>-302995.29609900201</v>
      </c>
      <c r="BR3644" s="8" t="str">
        <v>Yes</v>
      </c>
    </row>
    <row r="3645" spans="54:70" x14ac:dyDescent="0.2">
      <c r="BB3645" s="94"/>
      <c r="BL3645" s="8">
        <v>3596</v>
      </c>
      <c r="BM3645" s="8">
        <v>5270148.1755325133</v>
      </c>
      <c r="BN3645" s="8">
        <v>3972755.2787666214</v>
      </c>
      <c r="BO3645" s="8">
        <v>9242903.4542991351</v>
      </c>
      <c r="BP3645" s="8">
        <v>3584205.6341146803</v>
      </c>
      <c r="BQ3645" s="8">
        <v>-5658697.8201844543</v>
      </c>
      <c r="BR3645" s="8" t="str">
        <v>Yes</v>
      </c>
    </row>
    <row r="3646" spans="54:70" x14ac:dyDescent="0.2">
      <c r="BB3646" s="94"/>
      <c r="BL3646" s="8">
        <v>3597</v>
      </c>
      <c r="BM3646" s="8">
        <v>1865563.3636633565</v>
      </c>
      <c r="BN3646" s="8">
        <v>0</v>
      </c>
      <c r="BO3646" s="8">
        <v>1865563.3636633565</v>
      </c>
      <c r="BP3646" s="8">
        <v>4570861.6232267367</v>
      </c>
      <c r="BQ3646" s="8">
        <v>2705298.2595633799</v>
      </c>
      <c r="BR3646" s="8" t="str">
        <v>No</v>
      </c>
    </row>
    <row r="3647" spans="54:70" x14ac:dyDescent="0.2">
      <c r="BB3647" s="94"/>
      <c r="BL3647" s="8">
        <v>3598</v>
      </c>
      <c r="BM3647" s="8">
        <v>2162079.4642790994</v>
      </c>
      <c r="BN3647" s="8">
        <v>0</v>
      </c>
      <c r="BO3647" s="8">
        <v>2162079.4642790994</v>
      </c>
      <c r="BP3647" s="8">
        <v>3395463.0325906049</v>
      </c>
      <c r="BQ3647" s="8">
        <v>1233383.5683115055</v>
      </c>
      <c r="BR3647" s="8" t="str">
        <v>No</v>
      </c>
    </row>
    <row r="3648" spans="54:70" x14ac:dyDescent="0.2">
      <c r="BB3648" s="94"/>
      <c r="BL3648" s="8">
        <v>3599</v>
      </c>
      <c r="BM3648" s="8">
        <v>3642000.1255611097</v>
      </c>
      <c r="BN3648" s="8">
        <v>0</v>
      </c>
      <c r="BO3648" s="8">
        <v>3642000.1255611097</v>
      </c>
      <c r="BP3648" s="8">
        <v>6286719.5705209095</v>
      </c>
      <c r="BQ3648" s="8">
        <v>2644719.4449597998</v>
      </c>
      <c r="BR3648" s="8" t="str">
        <v>No</v>
      </c>
    </row>
    <row r="3649" spans="54:70" x14ac:dyDescent="0.2">
      <c r="BB3649" s="94"/>
      <c r="BL3649" s="8">
        <v>3600</v>
      </c>
      <c r="BM3649" s="8">
        <v>3879161.617553425</v>
      </c>
      <c r="BN3649" s="8">
        <v>442468.11679613718</v>
      </c>
      <c r="BO3649" s="8">
        <v>4321629.7343495619</v>
      </c>
      <c r="BP3649" s="8">
        <v>6752403.8967075422</v>
      </c>
      <c r="BQ3649" s="8">
        <v>2430774.1623579804</v>
      </c>
      <c r="BR3649" s="8" t="str">
        <v>No</v>
      </c>
    </row>
    <row r="3650" spans="54:70" x14ac:dyDescent="0.2">
      <c r="BB3650" s="94"/>
      <c r="BL3650" s="8">
        <v>3601</v>
      </c>
      <c r="BM3650" s="8">
        <v>7709118.3373951707</v>
      </c>
      <c r="BN3650" s="8">
        <v>3795144.840225209</v>
      </c>
      <c r="BO3650" s="8">
        <v>11504263.177620379</v>
      </c>
      <c r="BP3650" s="8">
        <v>5978078.2192501156</v>
      </c>
      <c r="BQ3650" s="8">
        <v>-5526184.9583702637</v>
      </c>
      <c r="BR3650" s="8" t="str">
        <v>Yes</v>
      </c>
    </row>
    <row r="3651" spans="54:70" x14ac:dyDescent="0.2">
      <c r="BB3651" s="94"/>
      <c r="BL3651" s="8">
        <v>3602</v>
      </c>
      <c r="BM3651" s="8">
        <v>4371157.03259537</v>
      </c>
      <c r="BN3651" s="8">
        <v>760306.6457765667</v>
      </c>
      <c r="BO3651" s="8">
        <v>5131463.678371937</v>
      </c>
      <c r="BP3651" s="8">
        <v>6393523.3141439119</v>
      </c>
      <c r="BQ3651" s="8">
        <v>1262059.6357719749</v>
      </c>
      <c r="BR3651" s="8" t="str">
        <v>No</v>
      </c>
    </row>
    <row r="3652" spans="54:70" x14ac:dyDescent="0.2">
      <c r="BB3652" s="94"/>
      <c r="BL3652" s="8">
        <v>3603</v>
      </c>
      <c r="BM3652" s="8">
        <v>2816285.6666140128</v>
      </c>
      <c r="BN3652" s="8">
        <v>0</v>
      </c>
      <c r="BO3652" s="8">
        <v>2816285.6666140128</v>
      </c>
      <c r="BP3652" s="8">
        <v>2351588.9605998797</v>
      </c>
      <c r="BQ3652" s="8">
        <v>-464696.70601413306</v>
      </c>
      <c r="BR3652" s="8" t="str">
        <v>Yes</v>
      </c>
    </row>
    <row r="3653" spans="54:70" x14ac:dyDescent="0.2">
      <c r="BB3653" s="94"/>
      <c r="BL3653" s="8">
        <v>3604</v>
      </c>
      <c r="BM3653" s="8">
        <v>5296590.2949981131</v>
      </c>
      <c r="BN3653" s="8">
        <v>11326644.152942358</v>
      </c>
      <c r="BO3653" s="8">
        <v>16623234.447940471</v>
      </c>
      <c r="BP3653" s="8">
        <v>3192237.9832845167</v>
      </c>
      <c r="BQ3653" s="8">
        <v>-13430996.464655954</v>
      </c>
      <c r="BR3653" s="8" t="str">
        <v>Yes</v>
      </c>
    </row>
    <row r="3654" spans="54:70" x14ac:dyDescent="0.2">
      <c r="BB3654" s="94"/>
      <c r="BL3654" s="8">
        <v>3605</v>
      </c>
      <c r="BM3654" s="8">
        <v>2001742.2801785641</v>
      </c>
      <c r="BN3654" s="8">
        <v>72348.461780495825</v>
      </c>
      <c r="BO3654" s="8">
        <v>2074090.7419590601</v>
      </c>
      <c r="BP3654" s="8">
        <v>5673301.6992875515</v>
      </c>
      <c r="BQ3654" s="8">
        <v>3599210.9573284914</v>
      </c>
      <c r="BR3654" s="8" t="str">
        <v>No</v>
      </c>
    </row>
    <row r="3655" spans="54:70" x14ac:dyDescent="0.2">
      <c r="BB3655" s="94"/>
      <c r="BL3655" s="8">
        <v>3606</v>
      </c>
      <c r="BM3655" s="8">
        <v>6127805.323180628</v>
      </c>
      <c r="BN3655" s="8">
        <v>4964622.0344248768</v>
      </c>
      <c r="BO3655" s="8">
        <v>11092427.357605506</v>
      </c>
      <c r="BP3655" s="8">
        <v>2167151.4899330018</v>
      </c>
      <c r="BQ3655" s="8">
        <v>-8925275.867672503</v>
      </c>
      <c r="BR3655" s="8" t="str">
        <v>Yes</v>
      </c>
    </row>
    <row r="3656" spans="54:70" x14ac:dyDescent="0.2">
      <c r="BB3656" s="94"/>
      <c r="BL3656" s="8">
        <v>3607</v>
      </c>
      <c r="BM3656" s="8">
        <v>3833383.3013893715</v>
      </c>
      <c r="BN3656" s="8">
        <v>0</v>
      </c>
      <c r="BO3656" s="8">
        <v>3833383.3013893715</v>
      </c>
      <c r="BP3656" s="8">
        <v>6480122.2357149571</v>
      </c>
      <c r="BQ3656" s="8">
        <v>2646738.9343255856</v>
      </c>
      <c r="BR3656" s="8" t="str">
        <v>No</v>
      </c>
    </row>
    <row r="3657" spans="54:70" x14ac:dyDescent="0.2">
      <c r="BB3657" s="94"/>
      <c r="BL3657" s="8">
        <v>3608</v>
      </c>
      <c r="BM3657" s="8">
        <v>4965743.8213345762</v>
      </c>
      <c r="BN3657" s="8">
        <v>4656626.5811538612</v>
      </c>
      <c r="BO3657" s="8">
        <v>9622370.4024884365</v>
      </c>
      <c r="BP3657" s="8">
        <v>3873191.8379056407</v>
      </c>
      <c r="BQ3657" s="8">
        <v>-5749178.5645827958</v>
      </c>
      <c r="BR3657" s="8" t="str">
        <v>Yes</v>
      </c>
    </row>
    <row r="3658" spans="54:70" x14ac:dyDescent="0.2">
      <c r="BB3658" s="94"/>
      <c r="BL3658" s="8">
        <v>3609</v>
      </c>
      <c r="BM3658" s="8">
        <v>5869148.8529381165</v>
      </c>
      <c r="BN3658" s="8">
        <v>2695703.5540727088</v>
      </c>
      <c r="BO3658" s="8">
        <v>8564852.4070108254</v>
      </c>
      <c r="BP3658" s="8">
        <v>4827341.7254098551</v>
      </c>
      <c r="BQ3658" s="8">
        <v>-3737510.6816009702</v>
      </c>
      <c r="BR3658" s="8" t="str">
        <v>Yes</v>
      </c>
    </row>
    <row r="3659" spans="54:70" x14ac:dyDescent="0.2">
      <c r="BB3659" s="94"/>
      <c r="BL3659" s="8">
        <v>3610</v>
      </c>
      <c r="BM3659" s="8">
        <v>9473037.0167443193</v>
      </c>
      <c r="BN3659" s="8">
        <v>19375338.286645275</v>
      </c>
      <c r="BO3659" s="8">
        <v>28848375.303389594</v>
      </c>
      <c r="BP3659" s="8">
        <v>3270876.5689516515</v>
      </c>
      <c r="BQ3659" s="8">
        <v>-25577498.734437943</v>
      </c>
      <c r="BR3659" s="8" t="str">
        <v>Yes</v>
      </c>
    </row>
    <row r="3660" spans="54:70" x14ac:dyDescent="0.2">
      <c r="BB3660" s="94"/>
      <c r="BL3660" s="8">
        <v>3611</v>
      </c>
      <c r="BM3660" s="8">
        <v>4263599.7847626498</v>
      </c>
      <c r="BN3660" s="8">
        <v>7069147.1959436284</v>
      </c>
      <c r="BO3660" s="8">
        <v>11332746.980706278</v>
      </c>
      <c r="BP3660" s="8">
        <v>3459582.3863347657</v>
      </c>
      <c r="BQ3660" s="8">
        <v>-7873164.5943715125</v>
      </c>
      <c r="BR3660" s="8" t="str">
        <v>Yes</v>
      </c>
    </row>
    <row r="3661" spans="54:70" x14ac:dyDescent="0.2">
      <c r="BB3661" s="94"/>
      <c r="BL3661" s="8">
        <v>3612</v>
      </c>
      <c r="BM3661" s="8">
        <v>1587716.5028993026</v>
      </c>
      <c r="BN3661" s="8">
        <v>60999.993589845311</v>
      </c>
      <c r="BO3661" s="8">
        <v>1648716.4964891479</v>
      </c>
      <c r="BP3661" s="8">
        <v>6264786.2120641107</v>
      </c>
      <c r="BQ3661" s="8">
        <v>4616069.715574963</v>
      </c>
      <c r="BR3661" s="8" t="str">
        <v>No</v>
      </c>
    </row>
    <row r="3662" spans="54:70" x14ac:dyDescent="0.2">
      <c r="BB3662" s="94"/>
      <c r="BL3662" s="8">
        <v>3613</v>
      </c>
      <c r="BM3662" s="8">
        <v>7258120.1608001143</v>
      </c>
      <c r="BN3662" s="8">
        <v>8151497.1321320422</v>
      </c>
      <c r="BO3662" s="8">
        <v>15409617.292932156</v>
      </c>
      <c r="BP3662" s="8">
        <v>2141865.9000063767</v>
      </c>
      <c r="BQ3662" s="8">
        <v>-13267751.39292578</v>
      </c>
      <c r="BR3662" s="8" t="str">
        <v>Yes</v>
      </c>
    </row>
    <row r="3663" spans="54:70" x14ac:dyDescent="0.2">
      <c r="BB3663" s="94"/>
      <c r="BL3663" s="8">
        <v>3614</v>
      </c>
      <c r="BM3663" s="8">
        <v>3700265.3148480845</v>
      </c>
      <c r="BN3663" s="8">
        <v>4582887.0590332327</v>
      </c>
      <c r="BO3663" s="8">
        <v>8283152.3738813177</v>
      </c>
      <c r="BP3663" s="8">
        <v>3235716.1498768907</v>
      </c>
      <c r="BQ3663" s="8">
        <v>-5047436.224004427</v>
      </c>
      <c r="BR3663" s="8" t="str">
        <v>Yes</v>
      </c>
    </row>
    <row r="3664" spans="54:70" x14ac:dyDescent="0.2">
      <c r="BB3664" s="94"/>
      <c r="BL3664" s="8">
        <v>3615</v>
      </c>
      <c r="BM3664" s="8">
        <v>4539363.1970845256</v>
      </c>
      <c r="BN3664" s="8">
        <v>0</v>
      </c>
      <c r="BO3664" s="8">
        <v>4539363.1970845256</v>
      </c>
      <c r="BP3664" s="8">
        <v>4091162.0476438776</v>
      </c>
      <c r="BQ3664" s="8">
        <v>-448201.14944064803</v>
      </c>
      <c r="BR3664" s="8" t="str">
        <v>Yes</v>
      </c>
    </row>
    <row r="3665" spans="54:70" x14ac:dyDescent="0.2">
      <c r="BB3665" s="94"/>
      <c r="BL3665" s="8">
        <v>3616</v>
      </c>
      <c r="BM3665" s="8">
        <v>4035881.1348174568</v>
      </c>
      <c r="BN3665" s="8">
        <v>3053469.8232250242</v>
      </c>
      <c r="BO3665" s="8">
        <v>7089350.958042481</v>
      </c>
      <c r="BP3665" s="8">
        <v>3312679.8503470961</v>
      </c>
      <c r="BQ3665" s="8">
        <v>-3776671.1076953849</v>
      </c>
      <c r="BR3665" s="8" t="str">
        <v>Yes</v>
      </c>
    </row>
    <row r="3666" spans="54:70" x14ac:dyDescent="0.2">
      <c r="BB3666" s="94"/>
      <c r="BL3666" s="8">
        <v>3617</v>
      </c>
      <c r="BM3666" s="8">
        <v>4292354.8752757832</v>
      </c>
      <c r="BN3666" s="8">
        <v>3834694.3605770101</v>
      </c>
      <c r="BO3666" s="8">
        <v>8127049.2358527929</v>
      </c>
      <c r="BP3666" s="8">
        <v>4071182.9658772498</v>
      </c>
      <c r="BQ3666" s="8">
        <v>-4055866.269975543</v>
      </c>
      <c r="BR3666" s="8" t="str">
        <v>Yes</v>
      </c>
    </row>
    <row r="3667" spans="54:70" x14ac:dyDescent="0.2">
      <c r="BB3667" s="94"/>
      <c r="BL3667" s="8">
        <v>3618</v>
      </c>
      <c r="BM3667" s="8">
        <v>3893063.4420187902</v>
      </c>
      <c r="BN3667" s="8">
        <v>0</v>
      </c>
      <c r="BO3667" s="8">
        <v>3893063.4420187902</v>
      </c>
      <c r="BP3667" s="8">
        <v>2329452.3619933687</v>
      </c>
      <c r="BQ3667" s="8">
        <v>-1563611.0800254215</v>
      </c>
      <c r="BR3667" s="8" t="str">
        <v>Yes</v>
      </c>
    </row>
    <row r="3668" spans="54:70" x14ac:dyDescent="0.2">
      <c r="BB3668" s="94"/>
      <c r="BL3668" s="8">
        <v>3619</v>
      </c>
      <c r="BM3668" s="8">
        <v>2170830.365031369</v>
      </c>
      <c r="BN3668" s="8">
        <v>1365870.8373526346</v>
      </c>
      <c r="BO3668" s="8">
        <v>3536701.2023840034</v>
      </c>
      <c r="BP3668" s="8">
        <v>4299947.7877018563</v>
      </c>
      <c r="BQ3668" s="8">
        <v>763246.58531785291</v>
      </c>
      <c r="BR3668" s="8" t="str">
        <v>No</v>
      </c>
    </row>
    <row r="3669" spans="54:70" x14ac:dyDescent="0.2">
      <c r="BB3669" s="94"/>
      <c r="BL3669" s="8">
        <v>3620</v>
      </c>
      <c r="BM3669" s="8">
        <v>2284647.7504374925</v>
      </c>
      <c r="BN3669" s="8">
        <v>1022174.2089602191</v>
      </c>
      <c r="BO3669" s="8">
        <v>3306821.9593977118</v>
      </c>
      <c r="BP3669" s="8">
        <v>3634922.6239765598</v>
      </c>
      <c r="BQ3669" s="8">
        <v>328100.66457884805</v>
      </c>
      <c r="BR3669" s="8" t="str">
        <v>No</v>
      </c>
    </row>
    <row r="3670" spans="54:70" x14ac:dyDescent="0.2">
      <c r="BB3670" s="94"/>
      <c r="BL3670" s="8">
        <v>3621</v>
      </c>
      <c r="BM3670" s="8">
        <v>4413696.6849924289</v>
      </c>
      <c r="BN3670" s="8">
        <v>3761553.0706181778</v>
      </c>
      <c r="BO3670" s="8">
        <v>8175249.7556106066</v>
      </c>
      <c r="BP3670" s="8">
        <v>2014602.1079770366</v>
      </c>
      <c r="BQ3670" s="8">
        <v>-6160647.6476335702</v>
      </c>
      <c r="BR3670" s="8" t="str">
        <v>Yes</v>
      </c>
    </row>
    <row r="3671" spans="54:70" x14ac:dyDescent="0.2">
      <c r="BB3671" s="94"/>
      <c r="BL3671" s="8">
        <v>3622</v>
      </c>
      <c r="BM3671" s="8">
        <v>1895058.581885163</v>
      </c>
      <c r="BN3671" s="8">
        <v>597869.05957808113</v>
      </c>
      <c r="BO3671" s="8">
        <v>2492927.6414632443</v>
      </c>
      <c r="BP3671" s="8">
        <v>4382724.0748657808</v>
      </c>
      <c r="BQ3671" s="8">
        <v>1889796.4334025364</v>
      </c>
      <c r="BR3671" s="8" t="str">
        <v>No</v>
      </c>
    </row>
    <row r="3672" spans="54:70" x14ac:dyDescent="0.2">
      <c r="BB3672" s="94"/>
      <c r="BL3672" s="8">
        <v>3623</v>
      </c>
      <c r="BM3672" s="8">
        <v>4807037.4872447727</v>
      </c>
      <c r="BN3672" s="8">
        <v>0</v>
      </c>
      <c r="BO3672" s="8">
        <v>4807037.4872447727</v>
      </c>
      <c r="BP3672" s="8">
        <v>4341805.1792219533</v>
      </c>
      <c r="BQ3672" s="8">
        <v>-465232.30802281946</v>
      </c>
      <c r="BR3672" s="8" t="str">
        <v>Yes</v>
      </c>
    </row>
    <row r="3673" spans="54:70" x14ac:dyDescent="0.2">
      <c r="BB3673" s="94"/>
      <c r="BL3673" s="8">
        <v>3624</v>
      </c>
      <c r="BM3673" s="8">
        <v>3596181.2858049674</v>
      </c>
      <c r="BN3673" s="8">
        <v>1340209.6962420915</v>
      </c>
      <c r="BO3673" s="8">
        <v>4936390.9820470586</v>
      </c>
      <c r="BP3673" s="8">
        <v>3396708.2009107638</v>
      </c>
      <c r="BQ3673" s="8">
        <v>-1539682.7811362948</v>
      </c>
      <c r="BR3673" s="8" t="str">
        <v>Yes</v>
      </c>
    </row>
    <row r="3674" spans="54:70" x14ac:dyDescent="0.2">
      <c r="BB3674" s="94"/>
      <c r="BL3674" s="8">
        <v>3625</v>
      </c>
      <c r="BM3674" s="8">
        <v>4509429.9899350284</v>
      </c>
      <c r="BN3674" s="8">
        <v>0</v>
      </c>
      <c r="BO3674" s="8">
        <v>4509429.9899350284</v>
      </c>
      <c r="BP3674" s="8">
        <v>3320937.1105010365</v>
      </c>
      <c r="BQ3674" s="8">
        <v>-1188492.8794339919</v>
      </c>
      <c r="BR3674" s="8" t="str">
        <v>Yes</v>
      </c>
    </row>
    <row r="3675" spans="54:70" x14ac:dyDescent="0.2">
      <c r="BB3675" s="94"/>
      <c r="BL3675" s="8">
        <v>3626</v>
      </c>
      <c r="BM3675" s="8">
        <v>6741263.8390197093</v>
      </c>
      <c r="BN3675" s="8">
        <v>8955539.1718864217</v>
      </c>
      <c r="BO3675" s="8">
        <v>15696803.01090613</v>
      </c>
      <c r="BP3675" s="8">
        <v>2231515.7523125466</v>
      </c>
      <c r="BQ3675" s="8">
        <v>-13465287.258593583</v>
      </c>
      <c r="BR3675" s="8" t="str">
        <v>Yes</v>
      </c>
    </row>
    <row r="3676" spans="54:70" x14ac:dyDescent="0.2">
      <c r="BB3676" s="94"/>
      <c r="BL3676" s="8">
        <v>3627</v>
      </c>
      <c r="BM3676" s="8">
        <v>4395336.1126203611</v>
      </c>
      <c r="BN3676" s="8">
        <v>0</v>
      </c>
      <c r="BO3676" s="8">
        <v>4395336.1126203611</v>
      </c>
      <c r="BP3676" s="8">
        <v>2448142.4794980334</v>
      </c>
      <c r="BQ3676" s="8">
        <v>-1947193.6331223277</v>
      </c>
      <c r="BR3676" s="8" t="str">
        <v>Yes</v>
      </c>
    </row>
    <row r="3677" spans="54:70" x14ac:dyDescent="0.2">
      <c r="BB3677" s="94"/>
      <c r="BL3677" s="8">
        <v>3628</v>
      </c>
      <c r="BM3677" s="8">
        <v>8590951.9969751034</v>
      </c>
      <c r="BN3677" s="8">
        <v>0</v>
      </c>
      <c r="BO3677" s="8">
        <v>8590951.9969751034</v>
      </c>
      <c r="BP3677" s="8">
        <v>2339075.6366393953</v>
      </c>
      <c r="BQ3677" s="8">
        <v>-6251876.3603357077</v>
      </c>
      <c r="BR3677" s="8" t="str">
        <v>Yes</v>
      </c>
    </row>
    <row r="3678" spans="54:70" x14ac:dyDescent="0.2">
      <c r="BB3678" s="94"/>
      <c r="BL3678" s="8">
        <v>3629</v>
      </c>
      <c r="BM3678" s="8">
        <v>3161473.4471197217</v>
      </c>
      <c r="BN3678" s="8">
        <v>0</v>
      </c>
      <c r="BO3678" s="8">
        <v>3161473.4471197217</v>
      </c>
      <c r="BP3678" s="8">
        <v>6469397.4984237589</v>
      </c>
      <c r="BQ3678" s="8">
        <v>3307924.0513040372</v>
      </c>
      <c r="BR3678" s="8" t="str">
        <v>No</v>
      </c>
    </row>
    <row r="3679" spans="54:70" x14ac:dyDescent="0.2">
      <c r="BB3679" s="94"/>
      <c r="BL3679" s="8">
        <v>3630</v>
      </c>
      <c r="BM3679" s="8">
        <v>4103417.7001910992</v>
      </c>
      <c r="BN3679" s="8">
        <v>0</v>
      </c>
      <c r="BO3679" s="8">
        <v>4103417.7001910992</v>
      </c>
      <c r="BP3679" s="8">
        <v>3513388.7016504752</v>
      </c>
      <c r="BQ3679" s="8">
        <v>-590028.99854062404</v>
      </c>
      <c r="BR3679" s="8" t="str">
        <v>Yes</v>
      </c>
    </row>
    <row r="3680" spans="54:70" x14ac:dyDescent="0.2">
      <c r="BB3680" s="94"/>
      <c r="BL3680" s="8">
        <v>3631</v>
      </c>
      <c r="BM3680" s="8">
        <v>3255907.1736969184</v>
      </c>
      <c r="BN3680" s="8">
        <v>0</v>
      </c>
      <c r="BO3680" s="8">
        <v>3255907.1736969184</v>
      </c>
      <c r="BP3680" s="8">
        <v>3199112.2969492218</v>
      </c>
      <c r="BQ3680" s="8">
        <v>-56794.87674769666</v>
      </c>
      <c r="BR3680" s="8" t="str">
        <v>Yes</v>
      </c>
    </row>
    <row r="3681" spans="54:70" x14ac:dyDescent="0.2">
      <c r="BB3681" s="94"/>
      <c r="BL3681" s="8">
        <v>3632</v>
      </c>
      <c r="BM3681" s="8">
        <v>4414195.6677831914</v>
      </c>
      <c r="BN3681" s="8">
        <v>5153026.2766227657</v>
      </c>
      <c r="BO3681" s="8">
        <v>9567221.9444059581</v>
      </c>
      <c r="BP3681" s="8">
        <v>6285625.9690585043</v>
      </c>
      <c r="BQ3681" s="8">
        <v>-3281595.9753474537</v>
      </c>
      <c r="BR3681" s="8" t="str">
        <v>Yes</v>
      </c>
    </row>
    <row r="3682" spans="54:70" x14ac:dyDescent="0.2">
      <c r="BB3682" s="94"/>
      <c r="BL3682" s="8">
        <v>3633</v>
      </c>
      <c r="BM3682" s="8">
        <v>3874673.9275643965</v>
      </c>
      <c r="BN3682" s="8">
        <v>6457288.0735694375</v>
      </c>
      <c r="BO3682" s="8">
        <v>10331962.001133833</v>
      </c>
      <c r="BP3682" s="8">
        <v>4170019.9250186551</v>
      </c>
      <c r="BQ3682" s="8">
        <v>-6161942.0761151779</v>
      </c>
      <c r="BR3682" s="8" t="str">
        <v>Yes</v>
      </c>
    </row>
    <row r="3683" spans="54:70" x14ac:dyDescent="0.2">
      <c r="BB3683" s="94"/>
      <c r="BL3683" s="8">
        <v>3634</v>
      </c>
      <c r="BM3683" s="8">
        <v>4724453.918425736</v>
      </c>
      <c r="BN3683" s="8">
        <v>4284918.6758145038</v>
      </c>
      <c r="BO3683" s="8">
        <v>9009372.5942402408</v>
      </c>
      <c r="BP3683" s="8">
        <v>2105905.938971811</v>
      </c>
      <c r="BQ3683" s="8">
        <v>-6903466.6552684298</v>
      </c>
      <c r="BR3683" s="8" t="str">
        <v>Yes</v>
      </c>
    </row>
    <row r="3684" spans="54:70" x14ac:dyDescent="0.2">
      <c r="BB3684" s="94"/>
      <c r="BL3684" s="8">
        <v>3635</v>
      </c>
      <c r="BM3684" s="8">
        <v>3638275.7132977648</v>
      </c>
      <c r="BN3684" s="8">
        <v>0</v>
      </c>
      <c r="BO3684" s="8">
        <v>3638275.7132977648</v>
      </c>
      <c r="BP3684" s="8">
        <v>3477462.5798976021</v>
      </c>
      <c r="BQ3684" s="8">
        <v>-160813.13340016268</v>
      </c>
      <c r="BR3684" s="8" t="str">
        <v>Yes</v>
      </c>
    </row>
    <row r="3685" spans="54:70" x14ac:dyDescent="0.2">
      <c r="BB3685" s="94"/>
      <c r="BL3685" s="8">
        <v>3636</v>
      </c>
      <c r="BM3685" s="8">
        <v>3027771.7864184305</v>
      </c>
      <c r="BN3685" s="8">
        <v>0</v>
      </c>
      <c r="BO3685" s="8">
        <v>3027771.7864184305</v>
      </c>
      <c r="BP3685" s="8">
        <v>2349330.5745394514</v>
      </c>
      <c r="BQ3685" s="8">
        <v>-678441.21187897911</v>
      </c>
      <c r="BR3685" s="8" t="str">
        <v>Yes</v>
      </c>
    </row>
    <row r="3686" spans="54:70" x14ac:dyDescent="0.2">
      <c r="BB3686" s="94"/>
      <c r="BL3686" s="8">
        <v>3637</v>
      </c>
      <c r="BM3686" s="8">
        <v>4255984.7014995161</v>
      </c>
      <c r="BN3686" s="8">
        <v>7136409.3613747591</v>
      </c>
      <c r="BO3686" s="8">
        <v>11392394.062874276</v>
      </c>
      <c r="BP3686" s="8">
        <v>2272685.8423019284</v>
      </c>
      <c r="BQ3686" s="8">
        <v>-9119708.2205723487</v>
      </c>
      <c r="BR3686" s="8" t="str">
        <v>Yes</v>
      </c>
    </row>
    <row r="3687" spans="54:70" x14ac:dyDescent="0.2">
      <c r="BB3687" s="94"/>
      <c r="BL3687" s="8">
        <v>3638</v>
      </c>
      <c r="BM3687" s="8">
        <v>2428115.9061013889</v>
      </c>
      <c r="BN3687" s="8">
        <v>2831529.2755103917</v>
      </c>
      <c r="BO3687" s="8">
        <v>5259645.1816117801</v>
      </c>
      <c r="BP3687" s="8">
        <v>2288489.0315246717</v>
      </c>
      <c r="BQ3687" s="8">
        <v>-2971156.1500871084</v>
      </c>
      <c r="BR3687" s="8" t="str">
        <v>Yes</v>
      </c>
    </row>
    <row r="3688" spans="54:70" x14ac:dyDescent="0.2">
      <c r="BB3688" s="94"/>
      <c r="BL3688" s="8">
        <v>3639</v>
      </c>
      <c r="BM3688" s="8">
        <v>3570966.8000992481</v>
      </c>
      <c r="BN3688" s="8">
        <v>3308519.0432028971</v>
      </c>
      <c r="BO3688" s="8">
        <v>6879485.8433021456</v>
      </c>
      <c r="BP3688" s="8">
        <v>4275399.2168073999</v>
      </c>
      <c r="BQ3688" s="8">
        <v>-2604086.6264947457</v>
      </c>
      <c r="BR3688" s="8" t="str">
        <v>Yes</v>
      </c>
    </row>
    <row r="3689" spans="54:70" x14ac:dyDescent="0.2">
      <c r="BB3689" s="94"/>
      <c r="BL3689" s="8">
        <v>3640</v>
      </c>
      <c r="BM3689" s="8">
        <v>4955705.2260764902</v>
      </c>
      <c r="BN3689" s="8">
        <v>0</v>
      </c>
      <c r="BO3689" s="8">
        <v>4955705.2260764902</v>
      </c>
      <c r="BP3689" s="8">
        <v>4242744.9298369018</v>
      </c>
      <c r="BQ3689" s="8">
        <v>-712960.29623958841</v>
      </c>
      <c r="BR3689" s="8" t="str">
        <v>Yes</v>
      </c>
    </row>
    <row r="3690" spans="54:70" x14ac:dyDescent="0.2">
      <c r="BB3690" s="94"/>
      <c r="BL3690" s="8">
        <v>3641</v>
      </c>
      <c r="BM3690" s="8">
        <v>2812831.1268394375</v>
      </c>
      <c r="BN3690" s="8">
        <v>1054156.5239299634</v>
      </c>
      <c r="BO3690" s="8">
        <v>3866987.6507694009</v>
      </c>
      <c r="BP3690" s="8">
        <v>3498064.8026126595</v>
      </c>
      <c r="BQ3690" s="8">
        <v>-368922.84815674135</v>
      </c>
      <c r="BR3690" s="8" t="str">
        <v>Yes</v>
      </c>
    </row>
    <row r="3691" spans="54:70" x14ac:dyDescent="0.2">
      <c r="BB3691" s="94"/>
      <c r="BL3691" s="8">
        <v>3642</v>
      </c>
      <c r="BM3691" s="8">
        <v>3634926.197602076</v>
      </c>
      <c r="BN3691" s="8">
        <v>2051717.7123353989</v>
      </c>
      <c r="BO3691" s="8">
        <v>5686643.9099374749</v>
      </c>
      <c r="BP3691" s="8">
        <v>2416497.1312946077</v>
      </c>
      <c r="BQ3691" s="8">
        <v>-3270146.7786428672</v>
      </c>
      <c r="BR3691" s="8" t="str">
        <v>Yes</v>
      </c>
    </row>
    <row r="3692" spans="54:70" x14ac:dyDescent="0.2">
      <c r="BB3692" s="94"/>
      <c r="BL3692" s="8">
        <v>3643</v>
      </c>
      <c r="BM3692" s="8">
        <v>4317840.6684379131</v>
      </c>
      <c r="BN3692" s="8">
        <v>0</v>
      </c>
      <c r="BO3692" s="8">
        <v>4317840.6684379131</v>
      </c>
      <c r="BP3692" s="8">
        <v>3174142.0383840315</v>
      </c>
      <c r="BQ3692" s="8">
        <v>-1143698.6300538816</v>
      </c>
      <c r="BR3692" s="8" t="str">
        <v>Yes</v>
      </c>
    </row>
    <row r="3693" spans="54:70" x14ac:dyDescent="0.2">
      <c r="BB3693" s="94"/>
      <c r="BL3693" s="8">
        <v>3644</v>
      </c>
      <c r="BM3693" s="8">
        <v>3622502.249836389</v>
      </c>
      <c r="BN3693" s="8">
        <v>0</v>
      </c>
      <c r="BO3693" s="8">
        <v>3622502.249836389</v>
      </c>
      <c r="BP3693" s="8">
        <v>4687969.3269991986</v>
      </c>
      <c r="BQ3693" s="8">
        <v>1065467.0771628097</v>
      </c>
      <c r="BR3693" s="8" t="str">
        <v>No</v>
      </c>
    </row>
    <row r="3694" spans="54:70" x14ac:dyDescent="0.2">
      <c r="BB3694" s="94"/>
      <c r="BL3694" s="8">
        <v>3645</v>
      </c>
      <c r="BM3694" s="8">
        <v>2497710.981515225</v>
      </c>
      <c r="BN3694" s="8">
        <v>0</v>
      </c>
      <c r="BO3694" s="8">
        <v>2497710.981515225</v>
      </c>
      <c r="BP3694" s="8">
        <v>6425893.0517528113</v>
      </c>
      <c r="BQ3694" s="8">
        <v>3928182.0702375863</v>
      </c>
      <c r="BR3694" s="8" t="str">
        <v>No</v>
      </c>
    </row>
    <row r="3695" spans="54:70" x14ac:dyDescent="0.2">
      <c r="BB3695" s="94"/>
      <c r="BL3695" s="8">
        <v>3646</v>
      </c>
      <c r="BM3695" s="8">
        <v>3722620.1558635896</v>
      </c>
      <c r="BN3695" s="8">
        <v>2625403.9512957637</v>
      </c>
      <c r="BO3695" s="8">
        <v>6348024.1071593538</v>
      </c>
      <c r="BP3695" s="8">
        <v>2183562.0566073041</v>
      </c>
      <c r="BQ3695" s="8">
        <v>-4164462.0505520497</v>
      </c>
      <c r="BR3695" s="8" t="str">
        <v>Yes</v>
      </c>
    </row>
    <row r="3696" spans="54:70" x14ac:dyDescent="0.2">
      <c r="BB3696" s="94"/>
      <c r="BL3696" s="8">
        <v>3647</v>
      </c>
      <c r="BM3696" s="8">
        <v>4217261.2592403516</v>
      </c>
      <c r="BN3696" s="8">
        <v>3390663.9759400818</v>
      </c>
      <c r="BO3696" s="8">
        <v>7607925.2351804338</v>
      </c>
      <c r="BP3696" s="8">
        <v>2343146.0318966056</v>
      </c>
      <c r="BQ3696" s="8">
        <v>-5264779.2032838278</v>
      </c>
      <c r="BR3696" s="8" t="str">
        <v>Yes</v>
      </c>
    </row>
    <row r="3697" spans="54:70" x14ac:dyDescent="0.2">
      <c r="BB3697" s="94"/>
      <c r="BL3697" s="8">
        <v>3648</v>
      </c>
      <c r="BM3697" s="8">
        <v>2673848.7922327407</v>
      </c>
      <c r="BN3697" s="8">
        <v>2468707.4449287434</v>
      </c>
      <c r="BO3697" s="8">
        <v>5142556.2371614836</v>
      </c>
      <c r="BP3697" s="8">
        <v>2080695.9488389527</v>
      </c>
      <c r="BQ3697" s="8">
        <v>-3061860.2883225307</v>
      </c>
      <c r="BR3697" s="8" t="str">
        <v>Yes</v>
      </c>
    </row>
    <row r="3698" spans="54:70" x14ac:dyDescent="0.2">
      <c r="BB3698" s="94"/>
      <c r="BL3698" s="8">
        <v>3649</v>
      </c>
      <c r="BM3698" s="8">
        <v>3192059.3219963326</v>
      </c>
      <c r="BN3698" s="8">
        <v>0</v>
      </c>
      <c r="BO3698" s="8">
        <v>3192059.3219963326</v>
      </c>
      <c r="BP3698" s="8">
        <v>3685052.875264911</v>
      </c>
      <c r="BQ3698" s="8">
        <v>492993.55326857837</v>
      </c>
      <c r="BR3698" s="8" t="str">
        <v>No</v>
      </c>
    </row>
    <row r="3699" spans="54:70" x14ac:dyDescent="0.2">
      <c r="BB3699" s="94"/>
      <c r="BL3699" s="8">
        <v>3650</v>
      </c>
      <c r="BM3699" s="8">
        <v>3940296.9574709986</v>
      </c>
      <c r="BN3699" s="8">
        <v>0</v>
      </c>
      <c r="BO3699" s="8">
        <v>3940296.9574709986</v>
      </c>
      <c r="BP3699" s="8">
        <v>4053373.4350529355</v>
      </c>
      <c r="BQ3699" s="8">
        <v>113076.47758193687</v>
      </c>
      <c r="BR3699" s="8" t="str">
        <v>No</v>
      </c>
    </row>
    <row r="3700" spans="54:70" x14ac:dyDescent="0.2">
      <c r="BB3700" s="94"/>
      <c r="BL3700" s="8">
        <v>3651</v>
      </c>
      <c r="BM3700" s="8">
        <v>4460346.0444413684</v>
      </c>
      <c r="BN3700" s="8">
        <v>0</v>
      </c>
      <c r="BO3700" s="8">
        <v>4460346.0444413684</v>
      </c>
      <c r="BP3700" s="8">
        <v>5770571.4702223139</v>
      </c>
      <c r="BQ3700" s="8">
        <v>1310225.4257809455</v>
      </c>
      <c r="BR3700" s="8" t="str">
        <v>No</v>
      </c>
    </row>
    <row r="3701" spans="54:70" x14ac:dyDescent="0.2">
      <c r="BB3701" s="94"/>
      <c r="BL3701" s="8">
        <v>3652</v>
      </c>
      <c r="BM3701" s="8">
        <v>5983068.1701694038</v>
      </c>
      <c r="BN3701" s="8">
        <v>3784966.5369323464</v>
      </c>
      <c r="BO3701" s="8">
        <v>9768034.7071017511</v>
      </c>
      <c r="BP3701" s="8">
        <v>3267989.1745404322</v>
      </c>
      <c r="BQ3701" s="8">
        <v>-6500045.5325613189</v>
      </c>
      <c r="BR3701" s="8" t="str">
        <v>Yes</v>
      </c>
    </row>
    <row r="3702" spans="54:70" x14ac:dyDescent="0.2">
      <c r="BB3702" s="94"/>
      <c r="BL3702" s="8">
        <v>3653</v>
      </c>
      <c r="BM3702" s="8">
        <v>3736664.9312373102</v>
      </c>
      <c r="BN3702" s="8">
        <v>568483.08338741458</v>
      </c>
      <c r="BO3702" s="8">
        <v>4305148.0146247251</v>
      </c>
      <c r="BP3702" s="8">
        <v>6231672.7240933385</v>
      </c>
      <c r="BQ3702" s="8">
        <v>1926524.7094686134</v>
      </c>
      <c r="BR3702" s="8" t="str">
        <v>No</v>
      </c>
    </row>
    <row r="3703" spans="54:70" x14ac:dyDescent="0.2">
      <c r="BB3703" s="94"/>
      <c r="BL3703" s="8">
        <v>3654</v>
      </c>
      <c r="BM3703" s="8">
        <v>6866042.8976963758</v>
      </c>
      <c r="BN3703" s="8">
        <v>4523612.3560218802</v>
      </c>
      <c r="BO3703" s="8">
        <v>11389655.253718257</v>
      </c>
      <c r="BP3703" s="8">
        <v>3541740.0250255615</v>
      </c>
      <c r="BQ3703" s="8">
        <v>-7847915.2286926955</v>
      </c>
      <c r="BR3703" s="8" t="str">
        <v>Yes</v>
      </c>
    </row>
    <row r="3704" spans="54:70" x14ac:dyDescent="0.2">
      <c r="BB3704" s="94"/>
      <c r="BL3704" s="8">
        <v>3655</v>
      </c>
      <c r="BM3704" s="8">
        <v>5981537.8811940197</v>
      </c>
      <c r="BN3704" s="8">
        <v>8229711.375794542</v>
      </c>
      <c r="BO3704" s="8">
        <v>14211249.256988563</v>
      </c>
      <c r="BP3704" s="8">
        <v>3171597.2605183367</v>
      </c>
      <c r="BQ3704" s="8">
        <v>-11039651.996470226</v>
      </c>
      <c r="BR3704" s="8" t="str">
        <v>Yes</v>
      </c>
    </row>
    <row r="3705" spans="54:70" x14ac:dyDescent="0.2">
      <c r="BB3705" s="94"/>
      <c r="BL3705" s="8">
        <v>3656</v>
      </c>
      <c r="BM3705" s="8">
        <v>5953289.3377306787</v>
      </c>
      <c r="BN3705" s="8">
        <v>7735581.8115310986</v>
      </c>
      <c r="BO3705" s="8">
        <v>13688871.149261776</v>
      </c>
      <c r="BP3705" s="8">
        <v>5636674.5735957883</v>
      </c>
      <c r="BQ3705" s="8">
        <v>-8052196.575665988</v>
      </c>
      <c r="BR3705" s="8" t="str">
        <v>Yes</v>
      </c>
    </row>
    <row r="3706" spans="54:70" x14ac:dyDescent="0.2">
      <c r="BB3706" s="94"/>
      <c r="BL3706" s="8">
        <v>3657</v>
      </c>
      <c r="BM3706" s="8">
        <v>4284655.413981434</v>
      </c>
      <c r="BN3706" s="8">
        <v>0</v>
      </c>
      <c r="BO3706" s="8">
        <v>4284655.413981434</v>
      </c>
      <c r="BP3706" s="8">
        <v>4584759.2576278308</v>
      </c>
      <c r="BQ3706" s="8">
        <v>300103.84364639688</v>
      </c>
      <c r="BR3706" s="8" t="str">
        <v>No</v>
      </c>
    </row>
    <row r="3707" spans="54:70" x14ac:dyDescent="0.2">
      <c r="BB3707" s="94"/>
      <c r="BL3707" s="8">
        <v>3658</v>
      </c>
      <c r="BM3707" s="8">
        <v>7497100.1999282483</v>
      </c>
      <c r="BN3707" s="8">
        <v>5840100.5955638187</v>
      </c>
      <c r="BO3707" s="8">
        <v>13337200.795492068</v>
      </c>
      <c r="BP3707" s="8">
        <v>6351745.9565421483</v>
      </c>
      <c r="BQ3707" s="8">
        <v>-6985454.8389499197</v>
      </c>
      <c r="BR3707" s="8" t="str">
        <v>Yes</v>
      </c>
    </row>
    <row r="3708" spans="54:70" x14ac:dyDescent="0.2">
      <c r="BB3708" s="94"/>
      <c r="BL3708" s="8">
        <v>3659</v>
      </c>
      <c r="BM3708" s="8">
        <v>2730392.985683036</v>
      </c>
      <c r="BN3708" s="8">
        <v>908043.30989170074</v>
      </c>
      <c r="BO3708" s="8">
        <v>3638436.2955747368</v>
      </c>
      <c r="BP3708" s="8">
        <v>6170624.0926022585</v>
      </c>
      <c r="BQ3708" s="8">
        <v>2532187.7970275218</v>
      </c>
      <c r="BR3708" s="8" t="str">
        <v>No</v>
      </c>
    </row>
    <row r="3709" spans="54:70" x14ac:dyDescent="0.2">
      <c r="BB3709" s="94"/>
      <c r="BL3709" s="8">
        <v>3660</v>
      </c>
      <c r="BM3709" s="8">
        <v>7061625.645637773</v>
      </c>
      <c r="BN3709" s="8">
        <v>12464360.479339922</v>
      </c>
      <c r="BO3709" s="8">
        <v>19525986.124977693</v>
      </c>
      <c r="BP3709" s="8">
        <v>4066114.3312958763</v>
      </c>
      <c r="BQ3709" s="8">
        <v>-15459871.793681817</v>
      </c>
      <c r="BR3709" s="8" t="str">
        <v>Yes</v>
      </c>
    </row>
    <row r="3710" spans="54:70" x14ac:dyDescent="0.2">
      <c r="BB3710" s="94"/>
      <c r="BL3710" s="8">
        <v>3661</v>
      </c>
      <c r="BM3710" s="8">
        <v>3188872.7489019786</v>
      </c>
      <c r="BN3710" s="8">
        <v>1477433.7609882853</v>
      </c>
      <c r="BO3710" s="8">
        <v>4666306.5098902639</v>
      </c>
      <c r="BP3710" s="8">
        <v>7009694.8698363109</v>
      </c>
      <c r="BQ3710" s="8">
        <v>2343388.359946047</v>
      </c>
      <c r="BR3710" s="8" t="str">
        <v>No</v>
      </c>
    </row>
    <row r="3711" spans="54:70" x14ac:dyDescent="0.2">
      <c r="BB3711" s="94"/>
      <c r="BL3711" s="8">
        <v>3662</v>
      </c>
      <c r="BM3711" s="8">
        <v>4410852.9507115018</v>
      </c>
      <c r="BN3711" s="8">
        <v>0</v>
      </c>
      <c r="BO3711" s="8">
        <v>4410852.9507115018</v>
      </c>
      <c r="BP3711" s="8">
        <v>2225589.2799579883</v>
      </c>
      <c r="BQ3711" s="8">
        <v>-2185263.6707535135</v>
      </c>
      <c r="BR3711" s="8" t="str">
        <v>Yes</v>
      </c>
    </row>
    <row r="3712" spans="54:70" x14ac:dyDescent="0.2">
      <c r="BB3712" s="94"/>
      <c r="BL3712" s="8">
        <v>3663</v>
      </c>
      <c r="BM3712" s="8">
        <v>5891635.7581116576</v>
      </c>
      <c r="BN3712" s="8">
        <v>5198804.4423943572</v>
      </c>
      <c r="BO3712" s="8">
        <v>11090440.200506015</v>
      </c>
      <c r="BP3712" s="8">
        <v>6146922.6010526223</v>
      </c>
      <c r="BQ3712" s="8">
        <v>-4943517.5994533924</v>
      </c>
      <c r="BR3712" s="8" t="str">
        <v>Yes</v>
      </c>
    </row>
    <row r="3713" spans="54:70" x14ac:dyDescent="0.2">
      <c r="BB3713" s="94"/>
      <c r="BL3713" s="8">
        <v>3664</v>
      </c>
      <c r="BM3713" s="8">
        <v>5354369.4153562319</v>
      </c>
      <c r="BN3713" s="8">
        <v>0</v>
      </c>
      <c r="BO3713" s="8">
        <v>5354369.4153562319</v>
      </c>
      <c r="BP3713" s="8">
        <v>3272533.1721611698</v>
      </c>
      <c r="BQ3713" s="8">
        <v>-2081836.243195062</v>
      </c>
      <c r="BR3713" s="8" t="str">
        <v>Yes</v>
      </c>
    </row>
    <row r="3714" spans="54:70" x14ac:dyDescent="0.2">
      <c r="BB3714" s="94"/>
      <c r="BL3714" s="8">
        <v>3665</v>
      </c>
      <c r="BM3714" s="8">
        <v>2913473.3106193962</v>
      </c>
      <c r="BN3714" s="8">
        <v>1972006.0852880434</v>
      </c>
      <c r="BO3714" s="8">
        <v>4885479.3959074393</v>
      </c>
      <c r="BP3714" s="8">
        <v>4027714.2591365837</v>
      </c>
      <c r="BQ3714" s="8">
        <v>-857765.13677085564</v>
      </c>
      <c r="BR3714" s="8" t="str">
        <v>Yes</v>
      </c>
    </row>
    <row r="3715" spans="54:70" x14ac:dyDescent="0.2">
      <c r="BB3715" s="94"/>
      <c r="BL3715" s="8">
        <v>3666</v>
      </c>
      <c r="BM3715" s="8">
        <v>2342432.1240837649</v>
      </c>
      <c r="BN3715" s="8">
        <v>0</v>
      </c>
      <c r="BO3715" s="8">
        <v>2342432.1240837649</v>
      </c>
      <c r="BP3715" s="8">
        <v>6690176.9964233646</v>
      </c>
      <c r="BQ3715" s="8">
        <v>4347744.8723395998</v>
      </c>
      <c r="BR3715" s="8" t="str">
        <v>No</v>
      </c>
    </row>
    <row r="3716" spans="54:70" x14ac:dyDescent="0.2">
      <c r="BB3716" s="94"/>
      <c r="BL3716" s="8">
        <v>3667</v>
      </c>
      <c r="BM3716" s="8">
        <v>1997076.5014005066</v>
      </c>
      <c r="BN3716" s="8">
        <v>698257.05462733586</v>
      </c>
      <c r="BO3716" s="8">
        <v>2695333.5560278427</v>
      </c>
      <c r="BP3716" s="8">
        <v>2330676.2407903657</v>
      </c>
      <c r="BQ3716" s="8">
        <v>-364657.31523747696</v>
      </c>
      <c r="BR3716" s="8" t="str">
        <v>Yes</v>
      </c>
    </row>
    <row r="3717" spans="54:70" x14ac:dyDescent="0.2">
      <c r="BB3717" s="94"/>
      <c r="BL3717" s="8">
        <v>3668</v>
      </c>
      <c r="BM3717" s="8">
        <v>2629582.5780739095</v>
      </c>
      <c r="BN3717" s="8">
        <v>2112049.9997091047</v>
      </c>
      <c r="BO3717" s="8">
        <v>4741632.5777830146</v>
      </c>
      <c r="BP3717" s="8">
        <v>2297996.7578025232</v>
      </c>
      <c r="BQ3717" s="8">
        <v>-2443635.8199804914</v>
      </c>
      <c r="BR3717" s="8" t="str">
        <v>Yes</v>
      </c>
    </row>
    <row r="3718" spans="54:70" x14ac:dyDescent="0.2">
      <c r="BB3718" s="94"/>
      <c r="BL3718" s="8">
        <v>3669</v>
      </c>
      <c r="BM3718" s="8">
        <v>3602565.5195805817</v>
      </c>
      <c r="BN3718" s="8">
        <v>0</v>
      </c>
      <c r="BO3718" s="8">
        <v>3602565.5195805817</v>
      </c>
      <c r="BP3718" s="8">
        <v>6313730.6325670201</v>
      </c>
      <c r="BQ3718" s="8">
        <v>2711165.1129864384</v>
      </c>
      <c r="BR3718" s="8" t="str">
        <v>No</v>
      </c>
    </row>
    <row r="3719" spans="54:70" x14ac:dyDescent="0.2">
      <c r="BB3719" s="94"/>
      <c r="BL3719" s="8">
        <v>3670</v>
      </c>
      <c r="BM3719" s="8">
        <v>3373497.4971965807</v>
      </c>
      <c r="BN3719" s="8">
        <v>0</v>
      </c>
      <c r="BO3719" s="8">
        <v>3373497.4971965807</v>
      </c>
      <c r="BP3719" s="8">
        <v>3213164.0660952488</v>
      </c>
      <c r="BQ3719" s="8">
        <v>-160333.43110133195</v>
      </c>
      <c r="BR3719" s="8" t="str">
        <v>Yes</v>
      </c>
    </row>
    <row r="3720" spans="54:70" x14ac:dyDescent="0.2">
      <c r="BB3720" s="94"/>
      <c r="BL3720" s="8">
        <v>3671</v>
      </c>
      <c r="BM3720" s="8">
        <v>6668436.209722518</v>
      </c>
      <c r="BN3720" s="8">
        <v>4365185.1930192914</v>
      </c>
      <c r="BO3720" s="8">
        <v>11033621.402741808</v>
      </c>
      <c r="BP3720" s="8">
        <v>3262657.7861968516</v>
      </c>
      <c r="BQ3720" s="8">
        <v>-7770963.6165449563</v>
      </c>
      <c r="BR3720" s="8" t="str">
        <v>Yes</v>
      </c>
    </row>
    <row r="3721" spans="54:70" x14ac:dyDescent="0.2">
      <c r="BB3721" s="94"/>
      <c r="BL3721" s="8">
        <v>3672</v>
      </c>
      <c r="BM3721" s="8">
        <v>4042041.6163417036</v>
      </c>
      <c r="BN3721" s="8">
        <v>3823937.4499760917</v>
      </c>
      <c r="BO3721" s="8">
        <v>7865979.0663177948</v>
      </c>
      <c r="BP3721" s="8">
        <v>4300033.5358550474</v>
      </c>
      <c r="BQ3721" s="8">
        <v>-3565945.5304627474</v>
      </c>
      <c r="BR3721" s="8" t="str">
        <v>Yes</v>
      </c>
    </row>
    <row r="3722" spans="54:70" x14ac:dyDescent="0.2">
      <c r="BB3722" s="94"/>
      <c r="BL3722" s="8">
        <v>3673</v>
      </c>
      <c r="BM3722" s="8">
        <v>1119930.7636120068</v>
      </c>
      <c r="BN3722" s="8">
        <v>975679.78136880603</v>
      </c>
      <c r="BO3722" s="8">
        <v>2095610.5449808128</v>
      </c>
      <c r="BP3722" s="8">
        <v>2251210.6038691867</v>
      </c>
      <c r="BQ3722" s="8">
        <v>155600.0588883739</v>
      </c>
      <c r="BR3722" s="8" t="str">
        <v>No</v>
      </c>
    </row>
    <row r="3723" spans="54:70" x14ac:dyDescent="0.2">
      <c r="BB3723" s="94"/>
      <c r="BL3723" s="8">
        <v>3674</v>
      </c>
      <c r="BM3723" s="8">
        <v>9000576.1646846402</v>
      </c>
      <c r="BN3723" s="8">
        <v>0</v>
      </c>
      <c r="BO3723" s="8">
        <v>9000576.1646846402</v>
      </c>
      <c r="BP3723" s="8">
        <v>3302822.347420136</v>
      </c>
      <c r="BQ3723" s="8">
        <v>-5697753.8172645047</v>
      </c>
      <c r="BR3723" s="8" t="str">
        <v>Yes</v>
      </c>
    </row>
    <row r="3724" spans="54:70" x14ac:dyDescent="0.2">
      <c r="BB3724" s="94"/>
      <c r="BL3724" s="8">
        <v>3675</v>
      </c>
      <c r="BM3724" s="8">
        <v>5513369.3566299286</v>
      </c>
      <c r="BN3724" s="8">
        <v>0</v>
      </c>
      <c r="BO3724" s="8">
        <v>5513369.3566299286</v>
      </c>
      <c r="BP3724" s="8">
        <v>4327808.8022371819</v>
      </c>
      <c r="BQ3724" s="8">
        <v>-1185560.5543927466</v>
      </c>
      <c r="BR3724" s="8" t="str">
        <v>Yes</v>
      </c>
    </row>
    <row r="3725" spans="54:70" x14ac:dyDescent="0.2">
      <c r="BB3725" s="94"/>
      <c r="BL3725" s="8">
        <v>3676</v>
      </c>
      <c r="BM3725" s="8">
        <v>8955730.2780290842</v>
      </c>
      <c r="BN3725" s="8">
        <v>14220854.151736703</v>
      </c>
      <c r="BO3725" s="8">
        <v>23176584.429765787</v>
      </c>
      <c r="BP3725" s="8">
        <v>3100493.537172799</v>
      </c>
      <c r="BQ3725" s="8">
        <v>-20076090.892592989</v>
      </c>
      <c r="BR3725" s="8" t="str">
        <v>Yes</v>
      </c>
    </row>
    <row r="3726" spans="54:70" x14ac:dyDescent="0.2">
      <c r="BB3726" s="94"/>
      <c r="BL3726" s="8">
        <v>3677</v>
      </c>
      <c r="BM3726" s="8">
        <v>4995676.2021898013</v>
      </c>
      <c r="BN3726" s="8">
        <v>3380041.4444246916</v>
      </c>
      <c r="BO3726" s="8">
        <v>8375717.6466144929</v>
      </c>
      <c r="BP3726" s="8">
        <v>4451712.1621482978</v>
      </c>
      <c r="BQ3726" s="8">
        <v>-3924005.4844661951</v>
      </c>
      <c r="BR3726" s="8" t="str">
        <v>Yes</v>
      </c>
    </row>
    <row r="3727" spans="54:70" x14ac:dyDescent="0.2">
      <c r="BB3727" s="94"/>
      <c r="BL3727" s="8">
        <v>3678</v>
      </c>
      <c r="BM3727" s="8">
        <v>12594573.696798116</v>
      </c>
      <c r="BN3727" s="8">
        <v>0</v>
      </c>
      <c r="BO3727" s="8">
        <v>12594573.696798116</v>
      </c>
      <c r="BP3727" s="8">
        <v>6336447.8527503135</v>
      </c>
      <c r="BQ3727" s="8">
        <v>-6258125.8440478025</v>
      </c>
      <c r="BR3727" s="8" t="str">
        <v>Yes</v>
      </c>
    </row>
    <row r="3728" spans="54:70" x14ac:dyDescent="0.2">
      <c r="BB3728" s="94"/>
      <c r="BL3728" s="8">
        <v>3679</v>
      </c>
      <c r="BM3728" s="8">
        <v>7002816.9061455056</v>
      </c>
      <c r="BN3728" s="8">
        <v>0</v>
      </c>
      <c r="BO3728" s="8">
        <v>7002816.9061455056</v>
      </c>
      <c r="BP3728" s="8">
        <v>6060589.0791319637</v>
      </c>
      <c r="BQ3728" s="8">
        <v>-942227.82701354194</v>
      </c>
      <c r="BR3728" s="8" t="str">
        <v>Yes</v>
      </c>
    </row>
    <row r="3729" spans="54:70" x14ac:dyDescent="0.2">
      <c r="BB3729" s="94"/>
      <c r="BL3729" s="8">
        <v>3680</v>
      </c>
      <c r="BM3729" s="8">
        <v>1975902.1502830514</v>
      </c>
      <c r="BN3729" s="8">
        <v>2551085.2692737021</v>
      </c>
      <c r="BO3729" s="8">
        <v>4526987.4195567537</v>
      </c>
      <c r="BP3729" s="8">
        <v>2392811.4274817565</v>
      </c>
      <c r="BQ3729" s="8">
        <v>-2134175.9920749972</v>
      </c>
      <c r="BR3729" s="8" t="str">
        <v>Yes</v>
      </c>
    </row>
    <row r="3730" spans="54:70" x14ac:dyDescent="0.2">
      <c r="BB3730" s="94"/>
      <c r="BL3730" s="8">
        <v>3681</v>
      </c>
      <c r="BM3730" s="8">
        <v>9089986.4803712461</v>
      </c>
      <c r="BN3730" s="8">
        <v>0</v>
      </c>
      <c r="BO3730" s="8">
        <v>9089986.4803712461</v>
      </c>
      <c r="BP3730" s="8">
        <v>4116097.9686057069</v>
      </c>
      <c r="BQ3730" s="8">
        <v>-4973888.5117655396</v>
      </c>
      <c r="BR3730" s="8" t="str">
        <v>Yes</v>
      </c>
    </row>
    <row r="3731" spans="54:70" x14ac:dyDescent="0.2">
      <c r="BB3731" s="94"/>
      <c r="BL3731" s="8">
        <v>3682</v>
      </c>
      <c r="BM3731" s="8">
        <v>3707321.0151245641</v>
      </c>
      <c r="BN3731" s="8">
        <v>0</v>
      </c>
      <c r="BO3731" s="8">
        <v>3707321.0151245641</v>
      </c>
      <c r="BP3731" s="8">
        <v>3332212.6206453</v>
      </c>
      <c r="BQ3731" s="8">
        <v>-375108.39447926404</v>
      </c>
      <c r="BR3731" s="8" t="str">
        <v>Yes</v>
      </c>
    </row>
    <row r="3732" spans="54:70" x14ac:dyDescent="0.2">
      <c r="BB3732" s="94"/>
      <c r="BL3732" s="8">
        <v>3683</v>
      </c>
      <c r="BM3732" s="8">
        <v>7426783.5565912984</v>
      </c>
      <c r="BN3732" s="8">
        <v>4500959.3024215056</v>
      </c>
      <c r="BO3732" s="8">
        <v>11927742.859012805</v>
      </c>
      <c r="BP3732" s="8">
        <v>6011406.0228623794</v>
      </c>
      <c r="BQ3732" s="8">
        <v>-5916336.8361504255</v>
      </c>
      <c r="BR3732" s="8" t="str">
        <v>Yes</v>
      </c>
    </row>
    <row r="3733" spans="54:70" x14ac:dyDescent="0.2">
      <c r="BB3733" s="94"/>
      <c r="BL3733" s="8">
        <v>3684</v>
      </c>
      <c r="BM3733" s="8">
        <v>6965136.6278673643</v>
      </c>
      <c r="BN3733" s="8">
        <v>0</v>
      </c>
      <c r="BO3733" s="8">
        <v>6965136.6278673643</v>
      </c>
      <c r="BP3733" s="8">
        <v>4305723.4270921471</v>
      </c>
      <c r="BQ3733" s="8">
        <v>-2659413.2007752173</v>
      </c>
      <c r="BR3733" s="8" t="str">
        <v>Yes</v>
      </c>
    </row>
    <row r="3734" spans="54:70" x14ac:dyDescent="0.2">
      <c r="BB3734" s="94"/>
      <c r="BL3734" s="8">
        <v>3685</v>
      </c>
      <c r="BM3734" s="8">
        <v>2634004.0597942043</v>
      </c>
      <c r="BN3734" s="8">
        <v>0</v>
      </c>
      <c r="BO3734" s="8">
        <v>2634004.0597942043</v>
      </c>
      <c r="BP3734" s="8">
        <v>4080383.6419913881</v>
      </c>
      <c r="BQ3734" s="8">
        <v>1446379.5821971837</v>
      </c>
      <c r="BR3734" s="8" t="str">
        <v>No</v>
      </c>
    </row>
    <row r="3735" spans="54:70" x14ac:dyDescent="0.2">
      <c r="BB3735" s="94"/>
      <c r="BL3735" s="8">
        <v>3686</v>
      </c>
      <c r="BM3735" s="8">
        <v>2424776.961415817</v>
      </c>
      <c r="BN3735" s="8">
        <v>0</v>
      </c>
      <c r="BO3735" s="8">
        <v>2424776.961415817</v>
      </c>
      <c r="BP3735" s="8">
        <v>6314972.2827718025</v>
      </c>
      <c r="BQ3735" s="8">
        <v>3890195.3213559855</v>
      </c>
      <c r="BR3735" s="8" t="str">
        <v>No</v>
      </c>
    </row>
    <row r="3736" spans="54:70" x14ac:dyDescent="0.2">
      <c r="BB3736" s="94"/>
      <c r="BL3736" s="8">
        <v>3687</v>
      </c>
      <c r="BM3736" s="8">
        <v>5110695.8457625983</v>
      </c>
      <c r="BN3736" s="8">
        <v>4572046.3943829145</v>
      </c>
      <c r="BO3736" s="8">
        <v>9682742.2401455119</v>
      </c>
      <c r="BP3736" s="8">
        <v>4321271.6213675719</v>
      </c>
      <c r="BQ3736" s="8">
        <v>-5361470.61877794</v>
      </c>
      <c r="BR3736" s="8" t="str">
        <v>Yes</v>
      </c>
    </row>
    <row r="3737" spans="54:70" x14ac:dyDescent="0.2">
      <c r="BB3737" s="94"/>
      <c r="BL3737" s="8">
        <v>3688</v>
      </c>
      <c r="BM3737" s="8">
        <v>6691821.0057071429</v>
      </c>
      <c r="BN3737" s="8">
        <v>2497702.542421977</v>
      </c>
      <c r="BO3737" s="8">
        <v>9189523.548129119</v>
      </c>
      <c r="BP3737" s="8">
        <v>2154303.2449480854</v>
      </c>
      <c r="BQ3737" s="8">
        <v>-7035220.3031810336</v>
      </c>
      <c r="BR3737" s="8" t="str">
        <v>Yes</v>
      </c>
    </row>
    <row r="3738" spans="54:70" x14ac:dyDescent="0.2">
      <c r="BB3738" s="94"/>
      <c r="BL3738" s="8">
        <v>3689</v>
      </c>
      <c r="BM3738" s="8">
        <v>2695877.349351421</v>
      </c>
      <c r="BN3738" s="8">
        <v>0</v>
      </c>
      <c r="BO3738" s="8">
        <v>2695877.349351421</v>
      </c>
      <c r="BP3738" s="8">
        <v>3007460.3161000987</v>
      </c>
      <c r="BQ3738" s="8">
        <v>311582.96674867766</v>
      </c>
      <c r="BR3738" s="8" t="str">
        <v>No</v>
      </c>
    </row>
    <row r="3739" spans="54:70" x14ac:dyDescent="0.2">
      <c r="BB3739" s="94"/>
      <c r="BL3739" s="8">
        <v>3690</v>
      </c>
      <c r="BM3739" s="8">
        <v>4446528.7967668734</v>
      </c>
      <c r="BN3739" s="8">
        <v>2996342.7230459168</v>
      </c>
      <c r="BO3739" s="8">
        <v>7442871.5198127907</v>
      </c>
      <c r="BP3739" s="8">
        <v>6332509.36736493</v>
      </c>
      <c r="BQ3739" s="8">
        <v>-1110362.1524478607</v>
      </c>
      <c r="BR3739" s="8" t="str">
        <v>Yes</v>
      </c>
    </row>
    <row r="3740" spans="54:70" x14ac:dyDescent="0.2">
      <c r="BB3740" s="94"/>
      <c r="BL3740" s="8">
        <v>3691</v>
      </c>
      <c r="BM3740" s="8">
        <v>3180790.7887431937</v>
      </c>
      <c r="BN3740" s="8">
        <v>1373177.5945527398</v>
      </c>
      <c r="BO3740" s="8">
        <v>4553968.3832959337</v>
      </c>
      <c r="BP3740" s="8">
        <v>4435163.5054389331</v>
      </c>
      <c r="BQ3740" s="8">
        <v>-118804.87785700057</v>
      </c>
      <c r="BR3740" s="8" t="str">
        <v>Yes</v>
      </c>
    </row>
    <row r="3741" spans="54:70" x14ac:dyDescent="0.2">
      <c r="BB3741" s="94"/>
      <c r="BL3741" s="8">
        <v>3692</v>
      </c>
      <c r="BM3741" s="8">
        <v>6826742.0849876218</v>
      </c>
      <c r="BN3741" s="8">
        <v>0</v>
      </c>
      <c r="BO3741" s="8">
        <v>6826742.0849876218</v>
      </c>
      <c r="BP3741" s="8">
        <v>7062012.6087640822</v>
      </c>
      <c r="BQ3741" s="8">
        <v>235270.52377646044</v>
      </c>
      <c r="BR3741" s="8" t="str">
        <v>No</v>
      </c>
    </row>
    <row r="3742" spans="54:70" x14ac:dyDescent="0.2">
      <c r="BB3742" s="94"/>
      <c r="BL3742" s="8">
        <v>3693</v>
      </c>
      <c r="BM3742" s="8">
        <v>2528272.1472346005</v>
      </c>
      <c r="BN3742" s="8">
        <v>0</v>
      </c>
      <c r="BO3742" s="8">
        <v>2528272.1472346005</v>
      </c>
      <c r="BP3742" s="8">
        <v>3346931.5541958539</v>
      </c>
      <c r="BQ3742" s="8">
        <v>818659.40696125338</v>
      </c>
      <c r="BR3742" s="8" t="str">
        <v>No</v>
      </c>
    </row>
    <row r="3743" spans="54:70" x14ac:dyDescent="0.2">
      <c r="BB3743" s="94"/>
      <c r="BL3743" s="8">
        <v>3694</v>
      </c>
      <c r="BM3743" s="8">
        <v>5174577.287664338</v>
      </c>
      <c r="BN3743" s="8">
        <v>0</v>
      </c>
      <c r="BO3743" s="8">
        <v>5174577.287664338</v>
      </c>
      <c r="BP3743" s="8">
        <v>2257916.2080747895</v>
      </c>
      <c r="BQ3743" s="8">
        <v>-2916661.0795895485</v>
      </c>
      <c r="BR3743" s="8" t="str">
        <v>Yes</v>
      </c>
    </row>
    <row r="3744" spans="54:70" x14ac:dyDescent="0.2">
      <c r="BB3744" s="94"/>
      <c r="BL3744" s="8">
        <v>3695</v>
      </c>
      <c r="BM3744" s="8">
        <v>2555236.1173418704</v>
      </c>
      <c r="BN3744" s="8">
        <v>0</v>
      </c>
      <c r="BO3744" s="8">
        <v>2555236.1173418704</v>
      </c>
      <c r="BP3744" s="8">
        <v>6181452.2758749509</v>
      </c>
      <c r="BQ3744" s="8">
        <v>3626216.1585330805</v>
      </c>
      <c r="BR3744" s="8" t="str">
        <v>No</v>
      </c>
    </row>
    <row r="3745" spans="54:70" x14ac:dyDescent="0.2">
      <c r="BB3745" s="94"/>
      <c r="BL3745" s="8">
        <v>3696</v>
      </c>
      <c r="BM3745" s="8">
        <v>3655848.6619399074</v>
      </c>
      <c r="BN3745" s="8">
        <v>2436718.0361798275</v>
      </c>
      <c r="BO3745" s="8">
        <v>6092566.6981197353</v>
      </c>
      <c r="BP3745" s="8">
        <v>3164944.3021620694</v>
      </c>
      <c r="BQ3745" s="8">
        <v>-2927622.395957666</v>
      </c>
      <c r="BR3745" s="8" t="str">
        <v>Yes</v>
      </c>
    </row>
    <row r="3746" spans="54:70" x14ac:dyDescent="0.2">
      <c r="BB3746" s="94"/>
      <c r="BL3746" s="8">
        <v>3697</v>
      </c>
      <c r="BM3746" s="8">
        <v>3039446.3512260355</v>
      </c>
      <c r="BN3746" s="8">
        <v>3335958.2866931329</v>
      </c>
      <c r="BO3746" s="8">
        <v>6375404.6379191689</v>
      </c>
      <c r="BP3746" s="8">
        <v>2309051.5618741149</v>
      </c>
      <c r="BQ3746" s="8">
        <v>-4066353.076045054</v>
      </c>
      <c r="BR3746" s="8" t="str">
        <v>Yes</v>
      </c>
    </row>
    <row r="3747" spans="54:70" x14ac:dyDescent="0.2">
      <c r="BB3747" s="94"/>
      <c r="BL3747" s="8">
        <v>3698</v>
      </c>
      <c r="BM3747" s="8">
        <v>2830377.1979194093</v>
      </c>
      <c r="BN3747" s="8">
        <v>0</v>
      </c>
      <c r="BO3747" s="8">
        <v>2830377.1979194093</v>
      </c>
      <c r="BP3747" s="8">
        <v>2644074.4284137446</v>
      </c>
      <c r="BQ3747" s="8">
        <v>-186302.76950566471</v>
      </c>
      <c r="BR3747" s="8" t="str">
        <v>Yes</v>
      </c>
    </row>
    <row r="3748" spans="54:70" x14ac:dyDescent="0.2">
      <c r="BB3748" s="94"/>
      <c r="BL3748" s="8">
        <v>3699</v>
      </c>
      <c r="BM3748" s="8">
        <v>2005292.718020136</v>
      </c>
      <c r="BN3748" s="8">
        <v>0</v>
      </c>
      <c r="BO3748" s="8">
        <v>2005292.718020136</v>
      </c>
      <c r="BP3748" s="8">
        <v>4556001.3039459856</v>
      </c>
      <c r="BQ3748" s="8">
        <v>2550708.5859258496</v>
      </c>
      <c r="BR3748" s="8" t="str">
        <v>No</v>
      </c>
    </row>
    <row r="3749" spans="54:70" x14ac:dyDescent="0.2">
      <c r="BB3749" s="94"/>
      <c r="BL3749" s="8">
        <v>3700</v>
      </c>
      <c r="BM3749" s="8">
        <v>4977204.4952455107</v>
      </c>
      <c r="BN3749" s="8">
        <v>4514892.7783144889</v>
      </c>
      <c r="BO3749" s="8">
        <v>9492097.2735599987</v>
      </c>
      <c r="BP3749" s="8">
        <v>6051120.9926606948</v>
      </c>
      <c r="BQ3749" s="8">
        <v>-3440976.280899304</v>
      </c>
      <c r="BR3749" s="8" t="str">
        <v>Yes</v>
      </c>
    </row>
    <row r="3750" spans="54:70" x14ac:dyDescent="0.2">
      <c r="BB3750" s="94"/>
      <c r="BL3750" s="8">
        <v>3701</v>
      </c>
      <c r="BM3750" s="8">
        <v>3549536.0787257268</v>
      </c>
      <c r="BN3750" s="8">
        <v>0</v>
      </c>
      <c r="BO3750" s="8">
        <v>3549536.0787257268</v>
      </c>
      <c r="BP3750" s="8">
        <v>2179538.3820392922</v>
      </c>
      <c r="BQ3750" s="8">
        <v>-1369997.6966864346</v>
      </c>
      <c r="BR3750" s="8" t="str">
        <v>Yes</v>
      </c>
    </row>
    <row r="3751" spans="54:70" x14ac:dyDescent="0.2">
      <c r="BB3751" s="94"/>
      <c r="BL3751" s="8">
        <v>3702</v>
      </c>
      <c r="BM3751" s="8">
        <v>4818849.9667991558</v>
      </c>
      <c r="BN3751" s="8">
        <v>5263762.8061626945</v>
      </c>
      <c r="BO3751" s="8">
        <v>10082612.772961851</v>
      </c>
      <c r="BP3751" s="8">
        <v>3582585.6258002073</v>
      </c>
      <c r="BQ3751" s="8">
        <v>-6500027.147161644</v>
      </c>
      <c r="BR3751" s="8" t="str">
        <v>Yes</v>
      </c>
    </row>
    <row r="3752" spans="54:70" x14ac:dyDescent="0.2">
      <c r="BB3752" s="94"/>
      <c r="BL3752" s="8">
        <v>3703</v>
      </c>
      <c r="BM3752" s="8">
        <v>6039693.9979769215</v>
      </c>
      <c r="BN3752" s="8">
        <v>3814551.1864451347</v>
      </c>
      <c r="BO3752" s="8">
        <v>9854245.1844220571</v>
      </c>
      <c r="BP3752" s="8">
        <v>3374051.3928654259</v>
      </c>
      <c r="BQ3752" s="8">
        <v>-6480193.7915566312</v>
      </c>
      <c r="BR3752" s="8" t="str">
        <v>Yes</v>
      </c>
    </row>
    <row r="3753" spans="54:70" x14ac:dyDescent="0.2">
      <c r="BB3753" s="94"/>
      <c r="BL3753" s="8">
        <v>3704</v>
      </c>
      <c r="BM3753" s="8">
        <v>3565555.1530640842</v>
      </c>
      <c r="BN3753" s="8">
        <v>4727639.0273716105</v>
      </c>
      <c r="BO3753" s="8">
        <v>8293194.1804356948</v>
      </c>
      <c r="BP3753" s="8">
        <v>2144458.0525999516</v>
      </c>
      <c r="BQ3753" s="8">
        <v>-6148736.1278357431</v>
      </c>
      <c r="BR3753" s="8" t="str">
        <v>Yes</v>
      </c>
    </row>
    <row r="3754" spans="54:70" x14ac:dyDescent="0.2">
      <c r="BB3754" s="94"/>
      <c r="BL3754" s="8">
        <v>3705</v>
      </c>
      <c r="BM3754" s="8">
        <v>2521422.1247281907</v>
      </c>
      <c r="BN3754" s="8">
        <v>2328744.9923609346</v>
      </c>
      <c r="BO3754" s="8">
        <v>4850167.1170891253</v>
      </c>
      <c r="BP3754" s="8">
        <v>6054101.6540666418</v>
      </c>
      <c r="BQ3754" s="8">
        <v>1203934.5369775165</v>
      </c>
      <c r="BR3754" s="8" t="str">
        <v>No</v>
      </c>
    </row>
    <row r="3755" spans="54:70" x14ac:dyDescent="0.2">
      <c r="BB3755" s="94"/>
      <c r="BL3755" s="8">
        <v>3706</v>
      </c>
      <c r="BM3755" s="8">
        <v>3576059.207248766</v>
      </c>
      <c r="BN3755" s="8">
        <v>3613747.922386345</v>
      </c>
      <c r="BO3755" s="8">
        <v>7189807.1296351105</v>
      </c>
      <c r="BP3755" s="8">
        <v>3017813.5949096712</v>
      </c>
      <c r="BQ3755" s="8">
        <v>-4171993.5347254393</v>
      </c>
      <c r="BR3755" s="8" t="str">
        <v>Yes</v>
      </c>
    </row>
    <row r="3756" spans="54:70" x14ac:dyDescent="0.2">
      <c r="BB3756" s="94"/>
      <c r="BL3756" s="8">
        <v>3707</v>
      </c>
      <c r="BM3756" s="8">
        <v>5704476.9435686944</v>
      </c>
      <c r="BN3756" s="8">
        <v>3832895.6072038924</v>
      </c>
      <c r="BO3756" s="8">
        <v>9537372.5507725868</v>
      </c>
      <c r="BP3756" s="8">
        <v>2369054.31859911</v>
      </c>
      <c r="BQ3756" s="8">
        <v>-7168318.2321734764</v>
      </c>
      <c r="BR3756" s="8" t="str">
        <v>Yes</v>
      </c>
    </row>
    <row r="3757" spans="54:70" x14ac:dyDescent="0.2">
      <c r="BB3757" s="94"/>
      <c r="BL3757" s="8">
        <v>3708</v>
      </c>
      <c r="BM3757" s="8">
        <v>4340034.9636145672</v>
      </c>
      <c r="BN3757" s="8">
        <v>2770549.7454359634</v>
      </c>
      <c r="BO3757" s="8">
        <v>7110584.7090505306</v>
      </c>
      <c r="BP3757" s="8">
        <v>6253582.5172870997</v>
      </c>
      <c r="BQ3757" s="8">
        <v>-857002.19176343083</v>
      </c>
      <c r="BR3757" s="8" t="str">
        <v>Yes</v>
      </c>
    </row>
    <row r="3758" spans="54:70" x14ac:dyDescent="0.2">
      <c r="BB3758" s="94"/>
      <c r="BL3758" s="8">
        <v>3709</v>
      </c>
      <c r="BM3758" s="8">
        <v>3070919.346525677</v>
      </c>
      <c r="BN3758" s="8">
        <v>0</v>
      </c>
      <c r="BO3758" s="8">
        <v>3070919.346525677</v>
      </c>
      <c r="BP3758" s="8">
        <v>2319645.0701523158</v>
      </c>
      <c r="BQ3758" s="8">
        <v>-751274.27637336124</v>
      </c>
      <c r="BR3758" s="8" t="str">
        <v>Yes</v>
      </c>
    </row>
    <row r="3759" spans="54:70" x14ac:dyDescent="0.2">
      <c r="BB3759" s="94"/>
      <c r="BL3759" s="8">
        <v>3710</v>
      </c>
      <c r="BM3759" s="8">
        <v>4061904.1984756449</v>
      </c>
      <c r="BN3759" s="8">
        <v>0</v>
      </c>
      <c r="BO3759" s="8">
        <v>4061904.1984756449</v>
      </c>
      <c r="BP3759" s="8">
        <v>3206580.4357426679</v>
      </c>
      <c r="BQ3759" s="8">
        <v>-855323.76273297705</v>
      </c>
      <c r="BR3759" s="8" t="str">
        <v>Yes</v>
      </c>
    </row>
    <row r="3760" spans="54:70" x14ac:dyDescent="0.2">
      <c r="BB3760" s="94"/>
      <c r="BL3760" s="8">
        <v>3711</v>
      </c>
      <c r="BM3760" s="8">
        <v>5734669.8196800295</v>
      </c>
      <c r="BN3760" s="8">
        <v>0</v>
      </c>
      <c r="BO3760" s="8">
        <v>5734669.8196800295</v>
      </c>
      <c r="BP3760" s="8">
        <v>4592263.0143764205</v>
      </c>
      <c r="BQ3760" s="8">
        <v>-1142406.805303609</v>
      </c>
      <c r="BR3760" s="8" t="str">
        <v>Yes</v>
      </c>
    </row>
    <row r="3761" spans="54:70" x14ac:dyDescent="0.2">
      <c r="BB3761" s="94"/>
      <c r="BL3761" s="8">
        <v>3712</v>
      </c>
      <c r="BM3761" s="8">
        <v>4494902.4450042257</v>
      </c>
      <c r="BN3761" s="8">
        <v>0</v>
      </c>
      <c r="BO3761" s="8">
        <v>4494902.4450042257</v>
      </c>
      <c r="BP3761" s="8">
        <v>4096793.7470582603</v>
      </c>
      <c r="BQ3761" s="8">
        <v>-398108.69794596545</v>
      </c>
      <c r="BR3761" s="8" t="str">
        <v>Yes</v>
      </c>
    </row>
    <row r="3762" spans="54:70" x14ac:dyDescent="0.2">
      <c r="BB3762" s="94"/>
      <c r="BL3762" s="8">
        <v>3713</v>
      </c>
      <c r="BM3762" s="8">
        <v>5512546.7888327446</v>
      </c>
      <c r="BN3762" s="8">
        <v>0</v>
      </c>
      <c r="BO3762" s="8">
        <v>5512546.7888327446</v>
      </c>
      <c r="BP3762" s="8">
        <v>3399882.0162527175</v>
      </c>
      <c r="BQ3762" s="8">
        <v>-2112664.7725800271</v>
      </c>
      <c r="BR3762" s="8" t="str">
        <v>Yes</v>
      </c>
    </row>
    <row r="3763" spans="54:70" x14ac:dyDescent="0.2">
      <c r="BB3763" s="94"/>
      <c r="BL3763" s="8">
        <v>3714</v>
      </c>
      <c r="BM3763" s="8">
        <v>2417086.5865644766</v>
      </c>
      <c r="BN3763" s="8">
        <v>1800757.5513678486</v>
      </c>
      <c r="BO3763" s="8">
        <v>4217844.1379323248</v>
      </c>
      <c r="BP3763" s="8">
        <v>5817281.9782982161</v>
      </c>
      <c r="BQ3763" s="8">
        <v>1599437.8403658913</v>
      </c>
      <c r="BR3763" s="8" t="str">
        <v>No</v>
      </c>
    </row>
    <row r="3764" spans="54:70" x14ac:dyDescent="0.2">
      <c r="BB3764" s="94"/>
      <c r="BL3764" s="8">
        <v>3715</v>
      </c>
      <c r="BM3764" s="8">
        <v>6776092.0350646246</v>
      </c>
      <c r="BN3764" s="8">
        <v>0</v>
      </c>
      <c r="BO3764" s="8">
        <v>6776092.0350646246</v>
      </c>
      <c r="BP3764" s="8">
        <v>3136575.7027261695</v>
      </c>
      <c r="BQ3764" s="8">
        <v>-3639516.3323384551</v>
      </c>
      <c r="BR3764" s="8" t="str">
        <v>Yes</v>
      </c>
    </row>
    <row r="3765" spans="54:70" x14ac:dyDescent="0.2">
      <c r="BB3765" s="94"/>
      <c r="BL3765" s="8">
        <v>3716</v>
      </c>
      <c r="BM3765" s="8">
        <v>3504147.8014722671</v>
      </c>
      <c r="BN3765" s="8">
        <v>0</v>
      </c>
      <c r="BO3765" s="8">
        <v>3504147.8014722671</v>
      </c>
      <c r="BP3765" s="8">
        <v>2293548.5275414377</v>
      </c>
      <c r="BQ3765" s="8">
        <v>-1210599.2739308295</v>
      </c>
      <c r="BR3765" s="8" t="str">
        <v>Yes</v>
      </c>
    </row>
    <row r="3766" spans="54:70" x14ac:dyDescent="0.2">
      <c r="BB3766" s="94"/>
      <c r="BL3766" s="8">
        <v>3717</v>
      </c>
      <c r="BM3766" s="8">
        <v>3574811.7000524439</v>
      </c>
      <c r="BN3766" s="8">
        <v>0</v>
      </c>
      <c r="BO3766" s="8">
        <v>3574811.7000524439</v>
      </c>
      <c r="BP3766" s="8">
        <v>5217726.5243697241</v>
      </c>
      <c r="BQ3766" s="8">
        <v>1642914.8243172802</v>
      </c>
      <c r="BR3766" s="8" t="str">
        <v>No</v>
      </c>
    </row>
    <row r="3767" spans="54:70" x14ac:dyDescent="0.2">
      <c r="BB3767" s="94"/>
      <c r="BL3767" s="8">
        <v>3718</v>
      </c>
      <c r="BM3767" s="8">
        <v>4904321.0021422906</v>
      </c>
      <c r="BN3767" s="8">
        <v>0</v>
      </c>
      <c r="BO3767" s="8">
        <v>4904321.0021422906</v>
      </c>
      <c r="BP3767" s="8">
        <v>4096957.3272497738</v>
      </c>
      <c r="BQ3767" s="8">
        <v>-807363.67489251681</v>
      </c>
      <c r="BR3767" s="8" t="str">
        <v>Yes</v>
      </c>
    </row>
    <row r="3768" spans="54:70" x14ac:dyDescent="0.2">
      <c r="BB3768" s="94"/>
      <c r="BL3768" s="8">
        <v>3719</v>
      </c>
      <c r="BM3768" s="8">
        <v>1990457.817306031</v>
      </c>
      <c r="BN3768" s="8">
        <v>318867.35391001776</v>
      </c>
      <c r="BO3768" s="8">
        <v>2309325.1712160488</v>
      </c>
      <c r="BP3768" s="8">
        <v>3348398.3601927944</v>
      </c>
      <c r="BQ3768" s="8">
        <v>1039073.1889767456</v>
      </c>
      <c r="BR3768" s="8" t="str">
        <v>No</v>
      </c>
    </row>
    <row r="3769" spans="54:70" x14ac:dyDescent="0.2">
      <c r="BB3769" s="94"/>
      <c r="BL3769" s="8">
        <v>3720</v>
      </c>
      <c r="BM3769" s="8">
        <v>4557246.3597985562</v>
      </c>
      <c r="BN3769" s="8">
        <v>8465718.6821975559</v>
      </c>
      <c r="BO3769" s="8">
        <v>13022965.041996112</v>
      </c>
      <c r="BP3769" s="8">
        <v>2415988.7450077049</v>
      </c>
      <c r="BQ3769" s="8">
        <v>-10606976.296988407</v>
      </c>
      <c r="BR3769" s="8" t="str">
        <v>Yes</v>
      </c>
    </row>
    <row r="3770" spans="54:70" x14ac:dyDescent="0.2">
      <c r="BB3770" s="94"/>
      <c r="BL3770" s="8">
        <v>3721</v>
      </c>
      <c r="BM3770" s="8">
        <v>5956901.3755105976</v>
      </c>
      <c r="BN3770" s="8">
        <v>0</v>
      </c>
      <c r="BO3770" s="8">
        <v>5956901.3755105976</v>
      </c>
      <c r="BP3770" s="8">
        <v>6067665.6151584573</v>
      </c>
      <c r="BQ3770" s="8">
        <v>110764.23964785971</v>
      </c>
      <c r="BR3770" s="8" t="str">
        <v>No</v>
      </c>
    </row>
    <row r="3771" spans="54:70" x14ac:dyDescent="0.2">
      <c r="BB3771" s="94"/>
      <c r="BL3771" s="8">
        <v>3722</v>
      </c>
      <c r="BM3771" s="8">
        <v>7728773.4262466244</v>
      </c>
      <c r="BN3771" s="8">
        <v>0</v>
      </c>
      <c r="BO3771" s="8">
        <v>7728773.4262466244</v>
      </c>
      <c r="BP3771" s="8">
        <v>3981283.6893323194</v>
      </c>
      <c r="BQ3771" s="8">
        <v>-3747489.736914305</v>
      </c>
      <c r="BR3771" s="8" t="str">
        <v>Yes</v>
      </c>
    </row>
    <row r="3772" spans="54:70" x14ac:dyDescent="0.2">
      <c r="BB3772" s="94"/>
      <c r="BL3772" s="8">
        <v>3723</v>
      </c>
      <c r="BM3772" s="8">
        <v>7901191.5587692056</v>
      </c>
      <c r="BN3772" s="8">
        <v>0</v>
      </c>
      <c r="BO3772" s="8">
        <v>7901191.5587692056</v>
      </c>
      <c r="BP3772" s="8">
        <v>2218433.7756833006</v>
      </c>
      <c r="BQ3772" s="8">
        <v>-5682757.783085905</v>
      </c>
      <c r="BR3772" s="8" t="str">
        <v>Yes</v>
      </c>
    </row>
    <row r="3773" spans="54:70" x14ac:dyDescent="0.2">
      <c r="BB3773" s="94"/>
      <c r="BL3773" s="8">
        <v>3724</v>
      </c>
      <c r="BM3773" s="8">
        <v>6407600.9463584656</v>
      </c>
      <c r="BN3773" s="8">
        <v>10388613.181712685</v>
      </c>
      <c r="BO3773" s="8">
        <v>16796214.128071152</v>
      </c>
      <c r="BP3773" s="8">
        <v>4385848.1385751655</v>
      </c>
      <c r="BQ3773" s="8">
        <v>-12410365.989495985</v>
      </c>
      <c r="BR3773" s="8" t="str">
        <v>Yes</v>
      </c>
    </row>
    <row r="3774" spans="54:70" x14ac:dyDescent="0.2">
      <c r="BB3774" s="94"/>
      <c r="BL3774" s="8">
        <v>3725</v>
      </c>
      <c r="BM3774" s="8">
        <v>2845086.0102931838</v>
      </c>
      <c r="BN3774" s="8">
        <v>0</v>
      </c>
      <c r="BO3774" s="8">
        <v>2845086.0102931838</v>
      </c>
      <c r="BP3774" s="8">
        <v>2368235.9315354507</v>
      </c>
      <c r="BQ3774" s="8">
        <v>-476850.07875773311</v>
      </c>
      <c r="BR3774" s="8" t="str">
        <v>Yes</v>
      </c>
    </row>
    <row r="3775" spans="54:70" x14ac:dyDescent="0.2">
      <c r="BB3775" s="94"/>
      <c r="BL3775" s="8">
        <v>3726</v>
      </c>
      <c r="BM3775" s="8">
        <v>2017986.9493726492</v>
      </c>
      <c r="BN3775" s="8">
        <v>1791575.2452367092</v>
      </c>
      <c r="BO3775" s="8">
        <v>3809562.1946093584</v>
      </c>
      <c r="BP3775" s="8">
        <v>3302482.0985482023</v>
      </c>
      <c r="BQ3775" s="8">
        <v>-507080.09606115613</v>
      </c>
      <c r="BR3775" s="8" t="str">
        <v>Yes</v>
      </c>
    </row>
    <row r="3776" spans="54:70" x14ac:dyDescent="0.2">
      <c r="BB3776" s="94"/>
      <c r="BL3776" s="8">
        <v>3727</v>
      </c>
      <c r="BM3776" s="8">
        <v>3111725.3037203713</v>
      </c>
      <c r="BN3776" s="8">
        <v>0</v>
      </c>
      <c r="BO3776" s="8">
        <v>3111725.3037203713</v>
      </c>
      <c r="BP3776" s="8">
        <v>4159835.7592920801</v>
      </c>
      <c r="BQ3776" s="8">
        <v>1048110.4555717087</v>
      </c>
      <c r="BR3776" s="8" t="str">
        <v>No</v>
      </c>
    </row>
    <row r="3777" spans="54:70" x14ac:dyDescent="0.2">
      <c r="BB3777" s="94"/>
      <c r="BL3777" s="8">
        <v>3728</v>
      </c>
      <c r="BM3777" s="8">
        <v>3113647.1435340624</v>
      </c>
      <c r="BN3777" s="8">
        <v>0</v>
      </c>
      <c r="BO3777" s="8">
        <v>3113647.1435340624</v>
      </c>
      <c r="BP3777" s="8">
        <v>3269662.0308502298</v>
      </c>
      <c r="BQ3777" s="8">
        <v>156014.88731616735</v>
      </c>
      <c r="BR3777" s="8" t="str">
        <v>No</v>
      </c>
    </row>
    <row r="3778" spans="54:70" x14ac:dyDescent="0.2">
      <c r="BB3778" s="94"/>
      <c r="BL3778" s="8">
        <v>3729</v>
      </c>
      <c r="BM3778" s="8">
        <v>2164939.5375867435</v>
      </c>
      <c r="BN3778" s="8">
        <v>0</v>
      </c>
      <c r="BO3778" s="8">
        <v>2164939.5375867435</v>
      </c>
      <c r="BP3778" s="8">
        <v>6272337.9934730884</v>
      </c>
      <c r="BQ3778" s="8">
        <v>4107398.4558863449</v>
      </c>
      <c r="BR3778" s="8" t="str">
        <v>No</v>
      </c>
    </row>
    <row r="3779" spans="54:70" x14ac:dyDescent="0.2">
      <c r="BB3779" s="94"/>
      <c r="BL3779" s="8">
        <v>3730</v>
      </c>
      <c r="BM3779" s="8">
        <v>3172997.5695966175</v>
      </c>
      <c r="BN3779" s="8">
        <v>0</v>
      </c>
      <c r="BO3779" s="8">
        <v>3172997.5695966175</v>
      </c>
      <c r="BP3779" s="8">
        <v>6403696.1617060974</v>
      </c>
      <c r="BQ3779" s="8">
        <v>3230698.5921094799</v>
      </c>
      <c r="BR3779" s="8" t="str">
        <v>No</v>
      </c>
    </row>
    <row r="3780" spans="54:70" x14ac:dyDescent="0.2">
      <c r="BB3780" s="94"/>
      <c r="BL3780" s="8">
        <v>3731</v>
      </c>
      <c r="BM3780" s="8">
        <v>4999419.3049886823</v>
      </c>
      <c r="BN3780" s="8">
        <v>0</v>
      </c>
      <c r="BO3780" s="8">
        <v>4999419.3049886823</v>
      </c>
      <c r="BP3780" s="8">
        <v>6131969.0176300872</v>
      </c>
      <c r="BQ3780" s="8">
        <v>1132549.7126414049</v>
      </c>
      <c r="BR3780" s="8" t="str">
        <v>No</v>
      </c>
    </row>
    <row r="3781" spans="54:70" x14ac:dyDescent="0.2">
      <c r="BB3781" s="94"/>
      <c r="BL3781" s="8">
        <v>3732</v>
      </c>
      <c r="BM3781" s="8">
        <v>1553079.7391070069</v>
      </c>
      <c r="BN3781" s="8">
        <v>1596148.4890927211</v>
      </c>
      <c r="BO3781" s="8">
        <v>3149228.2281997278</v>
      </c>
      <c r="BP3781" s="8">
        <v>2182901.9900137284</v>
      </c>
      <c r="BQ3781" s="8">
        <v>-966326.23818599945</v>
      </c>
      <c r="BR3781" s="8" t="str">
        <v>Yes</v>
      </c>
    </row>
    <row r="3782" spans="54:70" x14ac:dyDescent="0.2">
      <c r="BB3782" s="94"/>
      <c r="BL3782" s="8">
        <v>3733</v>
      </c>
      <c r="BM3782" s="8">
        <v>8782806.0329784974</v>
      </c>
      <c r="BN3782" s="8">
        <v>0</v>
      </c>
      <c r="BO3782" s="8">
        <v>8782806.0329784974</v>
      </c>
      <c r="BP3782" s="8">
        <v>6162481.4860922722</v>
      </c>
      <c r="BQ3782" s="8">
        <v>-2620324.5468862252</v>
      </c>
      <c r="BR3782" s="8" t="str">
        <v>Yes</v>
      </c>
    </row>
    <row r="3783" spans="54:70" x14ac:dyDescent="0.2">
      <c r="BB3783" s="94"/>
      <c r="BL3783" s="8">
        <v>3734</v>
      </c>
      <c r="BM3783" s="8">
        <v>4750401.3539488399</v>
      </c>
      <c r="BN3783" s="8">
        <v>6181652.9441715553</v>
      </c>
      <c r="BO3783" s="8">
        <v>10932054.298120394</v>
      </c>
      <c r="BP3783" s="8">
        <v>2470808.7561509619</v>
      </c>
      <c r="BQ3783" s="8">
        <v>-8461245.5419694334</v>
      </c>
      <c r="BR3783" s="8" t="str">
        <v>Yes</v>
      </c>
    </row>
    <row r="3784" spans="54:70" x14ac:dyDescent="0.2">
      <c r="BB3784" s="94"/>
      <c r="BL3784" s="8">
        <v>3735</v>
      </c>
      <c r="BM3784" s="8">
        <v>2458990.1453919942</v>
      </c>
      <c r="BN3784" s="8">
        <v>1573604.4940692286</v>
      </c>
      <c r="BO3784" s="8">
        <v>4032594.639461223</v>
      </c>
      <c r="BP3784" s="8">
        <v>6007434.0366148409</v>
      </c>
      <c r="BQ3784" s="8">
        <v>1974839.3971536178</v>
      </c>
      <c r="BR3784" s="8" t="str">
        <v>No</v>
      </c>
    </row>
    <row r="3785" spans="54:70" x14ac:dyDescent="0.2">
      <c r="BB3785" s="94"/>
      <c r="BL3785" s="8">
        <v>3736</v>
      </c>
      <c r="BM3785" s="8">
        <v>4103060.2167905634</v>
      </c>
      <c r="BN3785" s="8">
        <v>0</v>
      </c>
      <c r="BO3785" s="8">
        <v>4103060.2167905634</v>
      </c>
      <c r="BP3785" s="8">
        <v>2415080.9792772322</v>
      </c>
      <c r="BQ3785" s="8">
        <v>-1687979.2375133312</v>
      </c>
      <c r="BR3785" s="8" t="str">
        <v>Yes</v>
      </c>
    </row>
    <row r="3786" spans="54:70" x14ac:dyDescent="0.2">
      <c r="BB3786" s="94"/>
      <c r="BL3786" s="8">
        <v>3737</v>
      </c>
      <c r="BM3786" s="8">
        <v>5433304.7964102291</v>
      </c>
      <c r="BN3786" s="8">
        <v>0</v>
      </c>
      <c r="BO3786" s="8">
        <v>5433304.7964102291</v>
      </c>
      <c r="BP3786" s="8">
        <v>5787642.8425172484</v>
      </c>
      <c r="BQ3786" s="8">
        <v>354338.0461070193</v>
      </c>
      <c r="BR3786" s="8" t="str">
        <v>No</v>
      </c>
    </row>
    <row r="3787" spans="54:70" x14ac:dyDescent="0.2">
      <c r="BB3787" s="94"/>
      <c r="BL3787" s="8">
        <v>3738</v>
      </c>
      <c r="BM3787" s="8">
        <v>6352561.5649010874</v>
      </c>
      <c r="BN3787" s="8">
        <v>0</v>
      </c>
      <c r="BO3787" s="8">
        <v>6352561.5649010874</v>
      </c>
      <c r="BP3787" s="8">
        <v>6278532.0616653031</v>
      </c>
      <c r="BQ3787" s="8">
        <v>-74029.503235784359</v>
      </c>
      <c r="BR3787" s="8" t="str">
        <v>Yes</v>
      </c>
    </row>
    <row r="3788" spans="54:70" x14ac:dyDescent="0.2">
      <c r="BB3788" s="94"/>
      <c r="BL3788" s="8">
        <v>3739</v>
      </c>
      <c r="BM3788" s="8">
        <v>3565629.8637865456</v>
      </c>
      <c r="BN3788" s="8">
        <v>2996090.1306357561</v>
      </c>
      <c r="BO3788" s="8">
        <v>6561719.9944223017</v>
      </c>
      <c r="BP3788" s="8">
        <v>2247714.3046287065</v>
      </c>
      <c r="BQ3788" s="8">
        <v>-4314005.6897935951</v>
      </c>
      <c r="BR3788" s="8" t="str">
        <v>Yes</v>
      </c>
    </row>
    <row r="3789" spans="54:70" x14ac:dyDescent="0.2">
      <c r="BB3789" s="94"/>
      <c r="BL3789" s="8">
        <v>3740</v>
      </c>
      <c r="BM3789" s="8">
        <v>3843937.0029293718</v>
      </c>
      <c r="BN3789" s="8">
        <v>0</v>
      </c>
      <c r="BO3789" s="8">
        <v>3843937.0029293718</v>
      </c>
      <c r="BP3789" s="8">
        <v>6061119.8260145839</v>
      </c>
      <c r="BQ3789" s="8">
        <v>2217182.8230852121</v>
      </c>
      <c r="BR3789" s="8" t="str">
        <v>No</v>
      </c>
    </row>
    <row r="3790" spans="54:70" x14ac:dyDescent="0.2">
      <c r="BB3790" s="94"/>
      <c r="BL3790" s="8">
        <v>3741</v>
      </c>
      <c r="BM3790" s="8">
        <v>3224276.5267588166</v>
      </c>
      <c r="BN3790" s="8">
        <v>2161964.2391811782</v>
      </c>
      <c r="BO3790" s="8">
        <v>5386240.7659399947</v>
      </c>
      <c r="BP3790" s="8">
        <v>6360934.7229476012</v>
      </c>
      <c r="BQ3790" s="8">
        <v>974693.95700760651</v>
      </c>
      <c r="BR3790" s="8" t="str">
        <v>No</v>
      </c>
    </row>
    <row r="3791" spans="54:70" x14ac:dyDescent="0.2">
      <c r="BB3791" s="94"/>
      <c r="BL3791" s="8">
        <v>3742</v>
      </c>
      <c r="BM3791" s="8">
        <v>2301442.3392534824</v>
      </c>
      <c r="BN3791" s="8">
        <v>1541945.0894589853</v>
      </c>
      <c r="BO3791" s="8">
        <v>3843387.4287124677</v>
      </c>
      <c r="BP3791" s="8">
        <v>3302345.6340858019</v>
      </c>
      <c r="BQ3791" s="8">
        <v>-541041.79462666577</v>
      </c>
      <c r="BR3791" s="8" t="str">
        <v>Yes</v>
      </c>
    </row>
    <row r="3792" spans="54:70" x14ac:dyDescent="0.2">
      <c r="BB3792" s="94"/>
      <c r="BL3792" s="8">
        <v>3743</v>
      </c>
      <c r="BM3792" s="8">
        <v>2715925.6518147336</v>
      </c>
      <c r="BN3792" s="8">
        <v>1711080.0073224301</v>
      </c>
      <c r="BO3792" s="8">
        <v>4427005.6591371633</v>
      </c>
      <c r="BP3792" s="8">
        <v>3347746.6513915202</v>
      </c>
      <c r="BQ3792" s="8">
        <v>-1079259.0077456431</v>
      </c>
      <c r="BR3792" s="8" t="str">
        <v>Yes</v>
      </c>
    </row>
    <row r="3793" spans="54:70" x14ac:dyDescent="0.2">
      <c r="BB3793" s="94"/>
      <c r="BL3793" s="8">
        <v>3744</v>
      </c>
      <c r="BM3793" s="8">
        <v>11781548.370947007</v>
      </c>
      <c r="BN3793" s="8">
        <v>5860699.5735071786</v>
      </c>
      <c r="BO3793" s="8">
        <v>17642247.944454186</v>
      </c>
      <c r="BP3793" s="8">
        <v>5818942.7433564216</v>
      </c>
      <c r="BQ3793" s="8">
        <v>-11823305.201097764</v>
      </c>
      <c r="BR3793" s="8" t="str">
        <v>Yes</v>
      </c>
    </row>
    <row r="3794" spans="54:70" x14ac:dyDescent="0.2">
      <c r="BB3794" s="94"/>
      <c r="BL3794" s="8">
        <v>3745</v>
      </c>
      <c r="BM3794" s="8">
        <v>13892071.318564594</v>
      </c>
      <c r="BN3794" s="8">
        <v>0</v>
      </c>
      <c r="BO3794" s="8">
        <v>13892071.318564594</v>
      </c>
      <c r="BP3794" s="8">
        <v>4576796.7497455012</v>
      </c>
      <c r="BQ3794" s="8">
        <v>-9315274.5688190926</v>
      </c>
      <c r="BR3794" s="8" t="str">
        <v>Yes</v>
      </c>
    </row>
    <row r="3795" spans="54:70" x14ac:dyDescent="0.2">
      <c r="BB3795" s="94"/>
      <c r="BL3795" s="8">
        <v>3746</v>
      </c>
      <c r="BM3795" s="8">
        <v>3277281.7703530323</v>
      </c>
      <c r="BN3795" s="8">
        <v>0</v>
      </c>
      <c r="BO3795" s="8">
        <v>3277281.7703530323</v>
      </c>
      <c r="BP3795" s="8">
        <v>4134560.3157022251</v>
      </c>
      <c r="BQ3795" s="8">
        <v>857278.54534919281</v>
      </c>
      <c r="BR3795" s="8" t="str">
        <v>No</v>
      </c>
    </row>
    <row r="3796" spans="54:70" x14ac:dyDescent="0.2">
      <c r="BB3796" s="94"/>
      <c r="BL3796" s="8">
        <v>3747</v>
      </c>
      <c r="BM3796" s="8">
        <v>10177471.038855648</v>
      </c>
      <c r="BN3796" s="8">
        <v>0</v>
      </c>
      <c r="BO3796" s="8">
        <v>10177471.038855648</v>
      </c>
      <c r="BP3796" s="8">
        <v>6055547.1639179559</v>
      </c>
      <c r="BQ3796" s="8">
        <v>-4121923.8749376917</v>
      </c>
      <c r="BR3796" s="8" t="str">
        <v>Yes</v>
      </c>
    </row>
    <row r="3797" spans="54:70" x14ac:dyDescent="0.2">
      <c r="BB3797" s="94"/>
      <c r="BL3797" s="8">
        <v>3748</v>
      </c>
      <c r="BM3797" s="8">
        <v>3742384.8174670516</v>
      </c>
      <c r="BN3797" s="8">
        <v>0</v>
      </c>
      <c r="BO3797" s="8">
        <v>3742384.8174670516</v>
      </c>
      <c r="BP3797" s="8">
        <v>3901144.101073042</v>
      </c>
      <c r="BQ3797" s="8">
        <v>158759.28360599047</v>
      </c>
      <c r="BR3797" s="8" t="str">
        <v>No</v>
      </c>
    </row>
    <row r="3798" spans="54:70" x14ac:dyDescent="0.2">
      <c r="BB3798" s="94"/>
      <c r="BL3798" s="8">
        <v>3749</v>
      </c>
      <c r="BM3798" s="8">
        <v>6848001.2458812743</v>
      </c>
      <c r="BN3798" s="8">
        <v>0</v>
      </c>
      <c r="BO3798" s="8">
        <v>6848001.2458812743</v>
      </c>
      <c r="BP3798" s="8">
        <v>4289028.3438420463</v>
      </c>
      <c r="BQ3798" s="8">
        <v>-2558972.902039228</v>
      </c>
      <c r="BR3798" s="8" t="str">
        <v>Yes</v>
      </c>
    </row>
    <row r="3799" spans="54:70" x14ac:dyDescent="0.2">
      <c r="BB3799" s="94"/>
      <c r="BL3799" s="8">
        <v>3750</v>
      </c>
      <c r="BM3799" s="8">
        <v>6026446.1778935324</v>
      </c>
      <c r="BN3799" s="8">
        <v>0</v>
      </c>
      <c r="BO3799" s="8">
        <v>6026446.1778935324</v>
      </c>
      <c r="BP3799" s="8">
        <v>5871142.233264463</v>
      </c>
      <c r="BQ3799" s="8">
        <v>-155303.94462906942</v>
      </c>
      <c r="BR3799" s="8" t="str">
        <v>Yes</v>
      </c>
    </row>
    <row r="3800" spans="54:70" x14ac:dyDescent="0.2">
      <c r="BB3800" s="94"/>
      <c r="BL3800" s="8">
        <v>3751</v>
      </c>
      <c r="BM3800" s="8">
        <v>4001908.2839310281</v>
      </c>
      <c r="BN3800" s="8">
        <v>2507645.2885342855</v>
      </c>
      <c r="BO3800" s="8">
        <v>6509553.5724653136</v>
      </c>
      <c r="BP3800" s="8">
        <v>5921549.6311348164</v>
      </c>
      <c r="BQ3800" s="8">
        <v>-588003.94133049715</v>
      </c>
      <c r="BR3800" s="8" t="str">
        <v>Yes</v>
      </c>
    </row>
    <row r="3801" spans="54:70" x14ac:dyDescent="0.2">
      <c r="BB3801" s="94"/>
      <c r="BL3801" s="8">
        <v>3752</v>
      </c>
      <c r="BM3801" s="8">
        <v>5948475.6057143928</v>
      </c>
      <c r="BN3801" s="8">
        <v>0</v>
      </c>
      <c r="BO3801" s="8">
        <v>5948475.6057143928</v>
      </c>
      <c r="BP3801" s="8">
        <v>7015374.1330892667</v>
      </c>
      <c r="BQ3801" s="8">
        <v>1066898.5273748739</v>
      </c>
      <c r="BR3801" s="8" t="str">
        <v>No</v>
      </c>
    </row>
    <row r="3802" spans="54:70" x14ac:dyDescent="0.2">
      <c r="BB3802" s="94"/>
      <c r="BL3802" s="8">
        <v>3753</v>
      </c>
      <c r="BM3802" s="8">
        <v>4577704.5325284488</v>
      </c>
      <c r="BN3802" s="8">
        <v>0</v>
      </c>
      <c r="BO3802" s="8">
        <v>4577704.5325284488</v>
      </c>
      <c r="BP3802" s="8">
        <v>6201250.458563311</v>
      </c>
      <c r="BQ3802" s="8">
        <v>1623545.9260348622</v>
      </c>
      <c r="BR3802" s="8" t="str">
        <v>No</v>
      </c>
    </row>
    <row r="3803" spans="54:70" x14ac:dyDescent="0.2">
      <c r="BB3803" s="94"/>
      <c r="BL3803" s="8">
        <v>3754</v>
      </c>
      <c r="BM3803" s="8">
        <v>2262788.9466474159</v>
      </c>
      <c r="BN3803" s="8">
        <v>797985.0684999926</v>
      </c>
      <c r="BO3803" s="8">
        <v>3060774.0151474085</v>
      </c>
      <c r="BP3803" s="8">
        <v>6953873.1450059284</v>
      </c>
      <c r="BQ3803" s="8">
        <v>3893099.1298585199</v>
      </c>
      <c r="BR3803" s="8" t="str">
        <v>No</v>
      </c>
    </row>
    <row r="3804" spans="54:70" x14ac:dyDescent="0.2">
      <c r="BB3804" s="94"/>
      <c r="BL3804" s="8">
        <v>3755</v>
      </c>
      <c r="BM3804" s="8">
        <v>3280247.4939327184</v>
      </c>
      <c r="BN3804" s="8">
        <v>0</v>
      </c>
      <c r="BO3804" s="8">
        <v>3280247.4939327184</v>
      </c>
      <c r="BP3804" s="8">
        <v>3245704.7232252723</v>
      </c>
      <c r="BQ3804" s="8">
        <v>-34542.77070744615</v>
      </c>
      <c r="BR3804" s="8" t="str">
        <v>Yes</v>
      </c>
    </row>
    <row r="3805" spans="54:70" x14ac:dyDescent="0.2">
      <c r="BB3805" s="94"/>
      <c r="BL3805" s="8">
        <v>3756</v>
      </c>
      <c r="BM3805" s="8">
        <v>6022166.0318510188</v>
      </c>
      <c r="BN3805" s="8">
        <v>3695722.6213288303</v>
      </c>
      <c r="BO3805" s="8">
        <v>9717888.6531798486</v>
      </c>
      <c r="BP3805" s="8">
        <v>3759618.9945071894</v>
      </c>
      <c r="BQ3805" s="8">
        <v>-5958269.6586726587</v>
      </c>
      <c r="BR3805" s="8" t="str">
        <v>Yes</v>
      </c>
    </row>
    <row r="3806" spans="54:70" x14ac:dyDescent="0.2">
      <c r="BB3806" s="94"/>
      <c r="BL3806" s="8">
        <v>3757</v>
      </c>
      <c r="BM3806" s="8">
        <v>1867385.0939488802</v>
      </c>
      <c r="BN3806" s="8">
        <v>1105573.0205097357</v>
      </c>
      <c r="BO3806" s="8">
        <v>2972958.1144586159</v>
      </c>
      <c r="BP3806" s="8">
        <v>4397378.5710421279</v>
      </c>
      <c r="BQ3806" s="8">
        <v>1424420.456583512</v>
      </c>
      <c r="BR3806" s="8" t="str">
        <v>No</v>
      </c>
    </row>
    <row r="3807" spans="54:70" x14ac:dyDescent="0.2">
      <c r="BB3807" s="94"/>
      <c r="BL3807" s="8">
        <v>3758</v>
      </c>
      <c r="BM3807" s="8">
        <v>3991707.22169133</v>
      </c>
      <c r="BN3807" s="8">
        <v>2380862.2829193808</v>
      </c>
      <c r="BO3807" s="8">
        <v>6372569.5046107108</v>
      </c>
      <c r="BP3807" s="8">
        <v>2457176.3122781962</v>
      </c>
      <c r="BQ3807" s="8">
        <v>-3915393.1923325146</v>
      </c>
      <c r="BR3807" s="8" t="str">
        <v>Yes</v>
      </c>
    </row>
    <row r="3808" spans="54:70" x14ac:dyDescent="0.2">
      <c r="BB3808" s="94"/>
      <c r="BL3808" s="8">
        <v>3759</v>
      </c>
      <c r="BM3808" s="8">
        <v>5102223.0954385884</v>
      </c>
      <c r="BN3808" s="8">
        <v>0</v>
      </c>
      <c r="BO3808" s="8">
        <v>5102223.0954385884</v>
      </c>
      <c r="BP3808" s="8">
        <v>6331124.9474111143</v>
      </c>
      <c r="BQ3808" s="8">
        <v>1228901.8519725259</v>
      </c>
      <c r="BR3808" s="8" t="str">
        <v>No</v>
      </c>
    </row>
    <row r="3809" spans="54:70" x14ac:dyDescent="0.2">
      <c r="BB3809" s="94"/>
      <c r="BL3809" s="8">
        <v>3760</v>
      </c>
      <c r="BM3809" s="8">
        <v>8642988.778368026</v>
      </c>
      <c r="BN3809" s="8">
        <v>14714389.301948652</v>
      </c>
      <c r="BO3809" s="8">
        <v>23357378.080316678</v>
      </c>
      <c r="BP3809" s="8">
        <v>2119198.7070743982</v>
      </c>
      <c r="BQ3809" s="8">
        <v>-21238179.373242281</v>
      </c>
      <c r="BR3809" s="8" t="str">
        <v>Yes</v>
      </c>
    </row>
    <row r="3810" spans="54:70" x14ac:dyDescent="0.2">
      <c r="BB3810" s="94"/>
      <c r="BL3810" s="8">
        <v>3761</v>
      </c>
      <c r="BM3810" s="8">
        <v>1788422.0147385099</v>
      </c>
      <c r="BN3810" s="8">
        <v>1071377.6778151905</v>
      </c>
      <c r="BO3810" s="8">
        <v>2859799.6925537004</v>
      </c>
      <c r="BP3810" s="8">
        <v>3564670.6370801507</v>
      </c>
      <c r="BQ3810" s="8">
        <v>704870.94452645024</v>
      </c>
      <c r="BR3810" s="8" t="str">
        <v>No</v>
      </c>
    </row>
    <row r="3811" spans="54:70" x14ac:dyDescent="0.2">
      <c r="BB3811" s="94"/>
      <c r="BL3811" s="8">
        <v>3762</v>
      </c>
      <c r="BM3811" s="8">
        <v>1937626.6370851474</v>
      </c>
      <c r="BN3811" s="8">
        <v>351245.79911633092</v>
      </c>
      <c r="BO3811" s="8">
        <v>2288872.4362014784</v>
      </c>
      <c r="BP3811" s="8">
        <v>6368883.7816673666</v>
      </c>
      <c r="BQ3811" s="8">
        <v>4080011.3454658883</v>
      </c>
      <c r="BR3811" s="8" t="str">
        <v>No</v>
      </c>
    </row>
    <row r="3812" spans="54:70" x14ac:dyDescent="0.2">
      <c r="BB3812" s="94"/>
      <c r="BL3812" s="8">
        <v>3763</v>
      </c>
      <c r="BM3812" s="8">
        <v>4949435.5268620132</v>
      </c>
      <c r="BN3812" s="8">
        <v>0</v>
      </c>
      <c r="BO3812" s="8">
        <v>4949435.5268620132</v>
      </c>
      <c r="BP3812" s="8">
        <v>2355192.0532404557</v>
      </c>
      <c r="BQ3812" s="8">
        <v>-2594243.4736215575</v>
      </c>
      <c r="BR3812" s="8" t="str">
        <v>Yes</v>
      </c>
    </row>
    <row r="3813" spans="54:70" x14ac:dyDescent="0.2">
      <c r="BB3813" s="94"/>
      <c r="BL3813" s="8">
        <v>3764</v>
      </c>
      <c r="BM3813" s="8">
        <v>2084885.658729953</v>
      </c>
      <c r="BN3813" s="8">
        <v>0</v>
      </c>
      <c r="BO3813" s="8">
        <v>2084885.658729953</v>
      </c>
      <c r="BP3813" s="8">
        <v>3099207.3789054495</v>
      </c>
      <c r="BQ3813" s="8">
        <v>1014321.7201754965</v>
      </c>
      <c r="BR3813" s="8" t="str">
        <v>No</v>
      </c>
    </row>
    <row r="3814" spans="54:70" x14ac:dyDescent="0.2">
      <c r="BB3814" s="94"/>
      <c r="BL3814" s="8">
        <v>3765</v>
      </c>
      <c r="BM3814" s="8">
        <v>7513517.7667652369</v>
      </c>
      <c r="BN3814" s="8">
        <v>0</v>
      </c>
      <c r="BO3814" s="8">
        <v>7513517.7667652369</v>
      </c>
      <c r="BP3814" s="8">
        <v>2465068.6031352924</v>
      </c>
      <c r="BQ3814" s="8">
        <v>-5048449.1636299444</v>
      </c>
      <c r="BR3814" s="8" t="str">
        <v>Yes</v>
      </c>
    </row>
    <row r="3815" spans="54:70" x14ac:dyDescent="0.2">
      <c r="BB3815" s="94"/>
      <c r="BL3815" s="8">
        <v>3766</v>
      </c>
      <c r="BM3815" s="8">
        <v>5192817.7177621471</v>
      </c>
      <c r="BN3815" s="8">
        <v>0</v>
      </c>
      <c r="BO3815" s="8">
        <v>5192817.7177621471</v>
      </c>
      <c r="BP3815" s="8">
        <v>4041044.1829328756</v>
      </c>
      <c r="BQ3815" s="8">
        <v>-1151773.5348292715</v>
      </c>
      <c r="BR3815" s="8" t="str">
        <v>Yes</v>
      </c>
    </row>
    <row r="3816" spans="54:70" x14ac:dyDescent="0.2">
      <c r="BB3816" s="94"/>
      <c r="BL3816" s="8">
        <v>3767</v>
      </c>
      <c r="BM3816" s="8">
        <v>4202060.1931234933</v>
      </c>
      <c r="BN3816" s="8">
        <v>0</v>
      </c>
      <c r="BO3816" s="8">
        <v>4202060.1931234933</v>
      </c>
      <c r="BP3816" s="8">
        <v>6725850.4927333966</v>
      </c>
      <c r="BQ3816" s="8">
        <v>2523790.2996099032</v>
      </c>
      <c r="BR3816" s="8" t="str">
        <v>No</v>
      </c>
    </row>
    <row r="3817" spans="54:70" x14ac:dyDescent="0.2">
      <c r="BB3817" s="94"/>
      <c r="BL3817" s="8">
        <v>3768</v>
      </c>
      <c r="BM3817" s="8">
        <v>4833083.7067614254</v>
      </c>
      <c r="BN3817" s="8">
        <v>0</v>
      </c>
      <c r="BO3817" s="8">
        <v>4833083.7067614254</v>
      </c>
      <c r="BP3817" s="8">
        <v>4449605.8496990353</v>
      </c>
      <c r="BQ3817" s="8">
        <v>-383477.85706239007</v>
      </c>
      <c r="BR3817" s="8" t="str">
        <v>Yes</v>
      </c>
    </row>
    <row r="3818" spans="54:70" x14ac:dyDescent="0.2">
      <c r="BB3818" s="94"/>
      <c r="BL3818" s="8">
        <v>3769</v>
      </c>
      <c r="BM3818" s="8">
        <v>8171888.6764438227</v>
      </c>
      <c r="BN3818" s="8">
        <v>0</v>
      </c>
      <c r="BO3818" s="8">
        <v>8171888.6764438227</v>
      </c>
      <c r="BP3818" s="8">
        <v>2278153.0971471951</v>
      </c>
      <c r="BQ3818" s="8">
        <v>-5893735.579296628</v>
      </c>
      <c r="BR3818" s="8" t="str">
        <v>Yes</v>
      </c>
    </row>
    <row r="3819" spans="54:70" x14ac:dyDescent="0.2">
      <c r="BB3819" s="94"/>
      <c r="BL3819" s="8">
        <v>3770</v>
      </c>
      <c r="BM3819" s="8">
        <v>2934929.0817327201</v>
      </c>
      <c r="BN3819" s="8">
        <v>0</v>
      </c>
      <c r="BO3819" s="8">
        <v>2934929.0817327201</v>
      </c>
      <c r="BP3819" s="8">
        <v>6160798.0467841802</v>
      </c>
      <c r="BQ3819" s="8">
        <v>3225868.9650514601</v>
      </c>
      <c r="BR3819" s="8" t="str">
        <v>No</v>
      </c>
    </row>
    <row r="3820" spans="54:70" x14ac:dyDescent="0.2">
      <c r="BB3820" s="94"/>
      <c r="BL3820" s="8">
        <v>3771</v>
      </c>
      <c r="BM3820" s="8">
        <v>5334257.4236323964</v>
      </c>
      <c r="BN3820" s="8">
        <v>0</v>
      </c>
      <c r="BO3820" s="8">
        <v>5334257.4236323964</v>
      </c>
      <c r="BP3820" s="8">
        <v>4686113.5620511211</v>
      </c>
      <c r="BQ3820" s="8">
        <v>-648143.86158127524</v>
      </c>
      <c r="BR3820" s="8" t="str">
        <v>Yes</v>
      </c>
    </row>
    <row r="3821" spans="54:70" x14ac:dyDescent="0.2">
      <c r="BB3821" s="94"/>
      <c r="BL3821" s="8">
        <v>3772</v>
      </c>
      <c r="BM3821" s="8">
        <v>2753114.2324127834</v>
      </c>
      <c r="BN3821" s="8">
        <v>0</v>
      </c>
      <c r="BO3821" s="8">
        <v>2753114.2324127834</v>
      </c>
      <c r="BP3821" s="8">
        <v>3201107.5958291879</v>
      </c>
      <c r="BQ3821" s="8">
        <v>447993.36341640446</v>
      </c>
      <c r="BR3821" s="8" t="str">
        <v>No</v>
      </c>
    </row>
    <row r="3822" spans="54:70" x14ac:dyDescent="0.2">
      <c r="BB3822" s="94"/>
      <c r="BL3822" s="8">
        <v>3773</v>
      </c>
      <c r="BM3822" s="8">
        <v>5591764.1326369531</v>
      </c>
      <c r="BN3822" s="8">
        <v>0</v>
      </c>
      <c r="BO3822" s="8">
        <v>5591764.1326369531</v>
      </c>
      <c r="BP3822" s="8">
        <v>6427436.6660960298</v>
      </c>
      <c r="BQ3822" s="8">
        <v>835672.53345907666</v>
      </c>
      <c r="BR3822" s="8" t="str">
        <v>No</v>
      </c>
    </row>
    <row r="3823" spans="54:70" x14ac:dyDescent="0.2">
      <c r="BB3823" s="94"/>
      <c r="BL3823" s="8">
        <v>3774</v>
      </c>
      <c r="BM3823" s="8">
        <v>2745803.1094933692</v>
      </c>
      <c r="BN3823" s="8">
        <v>0</v>
      </c>
      <c r="BO3823" s="8">
        <v>2745803.1094933692</v>
      </c>
      <c r="BP3823" s="8">
        <v>3603193.0597631764</v>
      </c>
      <c r="BQ3823" s="8">
        <v>857389.95026980713</v>
      </c>
      <c r="BR3823" s="8" t="str">
        <v>No</v>
      </c>
    </row>
    <row r="3824" spans="54:70" x14ac:dyDescent="0.2">
      <c r="BB3824" s="94"/>
      <c r="BL3824" s="8">
        <v>3775</v>
      </c>
      <c r="BM3824" s="8">
        <v>8602507.2446823493</v>
      </c>
      <c r="BN3824" s="8">
        <v>13828324.824062249</v>
      </c>
      <c r="BO3824" s="8">
        <v>22430832.0687446</v>
      </c>
      <c r="BP3824" s="8">
        <v>3446844.2286260612</v>
      </c>
      <c r="BQ3824" s="8">
        <v>-18983987.840118539</v>
      </c>
      <c r="BR3824" s="8" t="str">
        <v>Yes</v>
      </c>
    </row>
    <row r="3825" spans="54:70" x14ac:dyDescent="0.2">
      <c r="BB3825" s="94"/>
      <c r="BL3825" s="8">
        <v>3776</v>
      </c>
      <c r="BM3825" s="8">
        <v>2221503.0544892098</v>
      </c>
      <c r="BN3825" s="8">
        <v>0</v>
      </c>
      <c r="BO3825" s="8">
        <v>2221503.0544892098</v>
      </c>
      <c r="BP3825" s="8">
        <v>3342640.2214810667</v>
      </c>
      <c r="BQ3825" s="8">
        <v>1121137.1669918569</v>
      </c>
      <c r="BR3825" s="8" t="str">
        <v>No</v>
      </c>
    </row>
    <row r="3826" spans="54:70" x14ac:dyDescent="0.2">
      <c r="BB3826" s="94"/>
      <c r="BL3826" s="8">
        <v>3777</v>
      </c>
      <c r="BM3826" s="8">
        <v>2992018.1091645332</v>
      </c>
      <c r="BN3826" s="8">
        <v>590276.07323337253</v>
      </c>
      <c r="BO3826" s="8">
        <v>3582294.1823979057</v>
      </c>
      <c r="BP3826" s="8">
        <v>4123000.7872477956</v>
      </c>
      <c r="BQ3826" s="8">
        <v>540706.60484988987</v>
      </c>
      <c r="BR3826" s="8" t="str">
        <v>No</v>
      </c>
    </row>
    <row r="3827" spans="54:70" x14ac:dyDescent="0.2">
      <c r="BB3827" s="94"/>
      <c r="BL3827" s="8">
        <v>3778</v>
      </c>
      <c r="BM3827" s="8">
        <v>4774320.9385174448</v>
      </c>
      <c r="BN3827" s="8">
        <v>0</v>
      </c>
      <c r="BO3827" s="8">
        <v>4774320.9385174448</v>
      </c>
      <c r="BP3827" s="8">
        <v>2195499.2912465478</v>
      </c>
      <c r="BQ3827" s="8">
        <v>-2578821.6472708969</v>
      </c>
      <c r="BR3827" s="8" t="str">
        <v>Yes</v>
      </c>
    </row>
    <row r="3828" spans="54:70" x14ac:dyDescent="0.2">
      <c r="BB3828" s="94"/>
      <c r="BL3828" s="8">
        <v>3779</v>
      </c>
      <c r="BM3828" s="8">
        <v>6569819.084702759</v>
      </c>
      <c r="BN3828" s="8">
        <v>2702598.7471876144</v>
      </c>
      <c r="BO3828" s="8">
        <v>9272417.8318903744</v>
      </c>
      <c r="BP3828" s="8">
        <v>6401761.1621926669</v>
      </c>
      <c r="BQ3828" s="8">
        <v>-2870656.6696977075</v>
      </c>
      <c r="BR3828" s="8" t="str">
        <v>Yes</v>
      </c>
    </row>
    <row r="3829" spans="54:70" x14ac:dyDescent="0.2">
      <c r="BB3829" s="94"/>
      <c r="BL3829" s="8">
        <v>3780</v>
      </c>
      <c r="BM3829" s="8">
        <v>4892537.2444794904</v>
      </c>
      <c r="BN3829" s="8">
        <v>4587142.8873232314</v>
      </c>
      <c r="BO3829" s="8">
        <v>9479680.1318027228</v>
      </c>
      <c r="BP3829" s="8">
        <v>6053004.4920368381</v>
      </c>
      <c r="BQ3829" s="8">
        <v>-3426675.6397658847</v>
      </c>
      <c r="BR3829" s="8" t="str">
        <v>Yes</v>
      </c>
    </row>
    <row r="3830" spans="54:70" x14ac:dyDescent="0.2">
      <c r="BB3830" s="94"/>
      <c r="BL3830" s="8">
        <v>3781</v>
      </c>
      <c r="BM3830" s="8">
        <v>4183755.9668095633</v>
      </c>
      <c r="BN3830" s="8">
        <v>0</v>
      </c>
      <c r="BO3830" s="8">
        <v>4183755.9668095633</v>
      </c>
      <c r="BP3830" s="8">
        <v>5922621.0735570071</v>
      </c>
      <c r="BQ3830" s="8">
        <v>1738865.1067474438</v>
      </c>
      <c r="BR3830" s="8" t="str">
        <v>No</v>
      </c>
    </row>
    <row r="3831" spans="54:70" x14ac:dyDescent="0.2">
      <c r="BB3831" s="94"/>
      <c r="BL3831" s="8">
        <v>3782</v>
      </c>
      <c r="BM3831" s="8">
        <v>2832907.4080354786</v>
      </c>
      <c r="BN3831" s="8">
        <v>0</v>
      </c>
      <c r="BO3831" s="8">
        <v>2832907.4080354786</v>
      </c>
      <c r="BP3831" s="8">
        <v>6343253.606938188</v>
      </c>
      <c r="BQ3831" s="8">
        <v>3510346.1989027094</v>
      </c>
      <c r="BR3831" s="8" t="str">
        <v>No</v>
      </c>
    </row>
    <row r="3832" spans="54:70" x14ac:dyDescent="0.2">
      <c r="BB3832" s="94"/>
      <c r="BL3832" s="8">
        <v>3783</v>
      </c>
      <c r="BM3832" s="8">
        <v>3265163.1142016761</v>
      </c>
      <c r="BN3832" s="8">
        <v>0</v>
      </c>
      <c r="BO3832" s="8">
        <v>3265163.1142016761</v>
      </c>
      <c r="BP3832" s="8">
        <v>6146970.6264847023</v>
      </c>
      <c r="BQ3832" s="8">
        <v>2881807.5122830262</v>
      </c>
      <c r="BR3832" s="8" t="str">
        <v>No</v>
      </c>
    </row>
    <row r="3833" spans="54:70" x14ac:dyDescent="0.2">
      <c r="BB3833" s="94"/>
      <c r="BL3833" s="8">
        <v>3784</v>
      </c>
      <c r="BM3833" s="8">
        <v>3916495.0130006806</v>
      </c>
      <c r="BN3833" s="8">
        <v>1268892.8539368249</v>
      </c>
      <c r="BO3833" s="8">
        <v>5185387.8669375051</v>
      </c>
      <c r="BP3833" s="8">
        <v>6095045.2320210477</v>
      </c>
      <c r="BQ3833" s="8">
        <v>909657.36508354265</v>
      </c>
      <c r="BR3833" s="8" t="str">
        <v>No</v>
      </c>
    </row>
    <row r="3834" spans="54:70" x14ac:dyDescent="0.2">
      <c r="BB3834" s="94"/>
      <c r="BL3834" s="8">
        <v>3785</v>
      </c>
      <c r="BM3834" s="8">
        <v>4423272.4974773722</v>
      </c>
      <c r="BN3834" s="8">
        <v>7175012.23102111</v>
      </c>
      <c r="BO3834" s="8">
        <v>11598284.728498481</v>
      </c>
      <c r="BP3834" s="8">
        <v>4070075.4544634535</v>
      </c>
      <c r="BQ3834" s="8">
        <v>-7528209.2740350273</v>
      </c>
      <c r="BR3834" s="8" t="str">
        <v>Yes</v>
      </c>
    </row>
    <row r="3835" spans="54:70" x14ac:dyDescent="0.2">
      <c r="BB3835" s="94"/>
      <c r="BL3835" s="8">
        <v>3786</v>
      </c>
      <c r="BM3835" s="8">
        <v>5377345.1144642429</v>
      </c>
      <c r="BN3835" s="8">
        <v>6349525.7285334226</v>
      </c>
      <c r="BO3835" s="8">
        <v>11726870.842997666</v>
      </c>
      <c r="BP3835" s="8">
        <v>6128887.2988052284</v>
      </c>
      <c r="BQ3835" s="8">
        <v>-5597983.544192438</v>
      </c>
      <c r="BR3835" s="8" t="str">
        <v>Yes</v>
      </c>
    </row>
    <row r="3836" spans="54:70" x14ac:dyDescent="0.2">
      <c r="BB3836" s="94"/>
      <c r="BL3836" s="8">
        <v>3787</v>
      </c>
      <c r="BM3836" s="8">
        <v>3995614.6342575094</v>
      </c>
      <c r="BN3836" s="8">
        <v>0</v>
      </c>
      <c r="BO3836" s="8">
        <v>3995614.6342575094</v>
      </c>
      <c r="BP3836" s="8">
        <v>6612679.224318292</v>
      </c>
      <c r="BQ3836" s="8">
        <v>2617064.5900607826</v>
      </c>
      <c r="BR3836" s="8" t="str">
        <v>No</v>
      </c>
    </row>
    <row r="3837" spans="54:70" x14ac:dyDescent="0.2">
      <c r="BB3837" s="94"/>
      <c r="BL3837" s="8">
        <v>3788</v>
      </c>
      <c r="BM3837" s="8">
        <v>7527098.1333405674</v>
      </c>
      <c r="BN3837" s="8">
        <v>4973304.4809221728</v>
      </c>
      <c r="BO3837" s="8">
        <v>12500402.614262741</v>
      </c>
      <c r="BP3837" s="8">
        <v>4107321.4522592952</v>
      </c>
      <c r="BQ3837" s="8">
        <v>-8393081.1620034464</v>
      </c>
      <c r="BR3837" s="8" t="str">
        <v>Yes</v>
      </c>
    </row>
    <row r="3838" spans="54:70" x14ac:dyDescent="0.2">
      <c r="BB3838" s="94"/>
      <c r="BL3838" s="8">
        <v>3789</v>
      </c>
      <c r="BM3838" s="8">
        <v>4094328.9460642328</v>
      </c>
      <c r="BN3838" s="8">
        <v>0</v>
      </c>
      <c r="BO3838" s="8">
        <v>4094328.9460642328</v>
      </c>
      <c r="BP3838" s="8">
        <v>2148833.1359670502</v>
      </c>
      <c r="BQ3838" s="8">
        <v>-1945495.8100971826</v>
      </c>
      <c r="BR3838" s="8" t="str">
        <v>Yes</v>
      </c>
    </row>
    <row r="3839" spans="54:70" x14ac:dyDescent="0.2">
      <c r="BB3839" s="94"/>
      <c r="BL3839" s="8">
        <v>3790</v>
      </c>
      <c r="BM3839" s="8">
        <v>1868178.3459818629</v>
      </c>
      <c r="BN3839" s="8">
        <v>1725091.2735428901</v>
      </c>
      <c r="BO3839" s="8">
        <v>3593269.6195247527</v>
      </c>
      <c r="BP3839" s="8">
        <v>2391798.2083191844</v>
      </c>
      <c r="BQ3839" s="8">
        <v>-1201471.4112055684</v>
      </c>
      <c r="BR3839" s="8" t="str">
        <v>Yes</v>
      </c>
    </row>
    <row r="3840" spans="54:70" x14ac:dyDescent="0.2">
      <c r="BB3840" s="94"/>
      <c r="BL3840" s="8">
        <v>3791</v>
      </c>
      <c r="BM3840" s="8">
        <v>3683378.8046944002</v>
      </c>
      <c r="BN3840" s="8">
        <v>0</v>
      </c>
      <c r="BO3840" s="8">
        <v>3683378.8046944002</v>
      </c>
      <c r="BP3840" s="8">
        <v>6455578.2991753966</v>
      </c>
      <c r="BQ3840" s="8">
        <v>2772199.4944809964</v>
      </c>
      <c r="BR3840" s="8" t="str">
        <v>No</v>
      </c>
    </row>
    <row r="3841" spans="54:70" x14ac:dyDescent="0.2">
      <c r="BB3841" s="94"/>
      <c r="BL3841" s="8">
        <v>3792</v>
      </c>
      <c r="BM3841" s="8">
        <v>15733934.88278966</v>
      </c>
      <c r="BN3841" s="8">
        <v>14602745.804433551</v>
      </c>
      <c r="BO3841" s="8">
        <v>30336680.687223211</v>
      </c>
      <c r="BP3841" s="8">
        <v>3552255.7090518801</v>
      </c>
      <c r="BQ3841" s="8">
        <v>-26784424.97817133</v>
      </c>
      <c r="BR3841" s="8" t="str">
        <v>Yes</v>
      </c>
    </row>
    <row r="3842" spans="54:70" x14ac:dyDescent="0.2">
      <c r="BB3842" s="94"/>
      <c r="BL3842" s="8">
        <v>3793</v>
      </c>
      <c r="BM3842" s="8">
        <v>12312180.367280828</v>
      </c>
      <c r="BN3842" s="8">
        <v>0</v>
      </c>
      <c r="BO3842" s="8">
        <v>12312180.367280828</v>
      </c>
      <c r="BP3842" s="8">
        <v>3469818.3580283662</v>
      </c>
      <c r="BQ3842" s="8">
        <v>-8842362.0092524625</v>
      </c>
      <c r="BR3842" s="8" t="str">
        <v>Yes</v>
      </c>
    </row>
    <row r="3843" spans="54:70" x14ac:dyDescent="0.2">
      <c r="BB3843" s="94"/>
      <c r="BL3843" s="8">
        <v>3794</v>
      </c>
      <c r="BM3843" s="8">
        <v>6239777.5003131442</v>
      </c>
      <c r="BN3843" s="8">
        <v>4770884.9331885409</v>
      </c>
      <c r="BO3843" s="8">
        <v>11010662.433501685</v>
      </c>
      <c r="BP3843" s="8">
        <v>4434596.6507553998</v>
      </c>
      <c r="BQ3843" s="8">
        <v>-6576065.7827462852</v>
      </c>
      <c r="BR3843" s="8" t="str">
        <v>Yes</v>
      </c>
    </row>
    <row r="3844" spans="54:70" x14ac:dyDescent="0.2">
      <c r="BB3844" s="94"/>
      <c r="BL3844" s="8">
        <v>3795</v>
      </c>
      <c r="BM3844" s="8">
        <v>6369309.7051137127</v>
      </c>
      <c r="BN3844" s="8">
        <v>3802418.7305433392</v>
      </c>
      <c r="BO3844" s="8">
        <v>10171728.435657052</v>
      </c>
      <c r="BP3844" s="8">
        <v>2154587.4817009568</v>
      </c>
      <c r="BQ3844" s="8">
        <v>-8017140.9539560955</v>
      </c>
      <c r="BR3844" s="8" t="str">
        <v>Yes</v>
      </c>
    </row>
    <row r="3845" spans="54:70" x14ac:dyDescent="0.2">
      <c r="BB3845" s="94"/>
      <c r="BL3845" s="8">
        <v>3796</v>
      </c>
      <c r="BM3845" s="8">
        <v>9616780.7314956021</v>
      </c>
      <c r="BN3845" s="8">
        <v>10566671.797009828</v>
      </c>
      <c r="BO3845" s="8">
        <v>20183452.52850543</v>
      </c>
      <c r="BP3845" s="8">
        <v>6413380.5544463871</v>
      </c>
      <c r="BQ3845" s="8">
        <v>-13770071.974059042</v>
      </c>
      <c r="BR3845" s="8" t="str">
        <v>Yes</v>
      </c>
    </row>
    <row r="3846" spans="54:70" x14ac:dyDescent="0.2">
      <c r="BB3846" s="94"/>
      <c r="BL3846" s="8">
        <v>3797</v>
      </c>
      <c r="BM3846" s="8">
        <v>5431208.7074038852</v>
      </c>
      <c r="BN3846" s="8">
        <v>0</v>
      </c>
      <c r="BO3846" s="8">
        <v>5431208.7074038852</v>
      </c>
      <c r="BP3846" s="8">
        <v>4633024.6381517425</v>
      </c>
      <c r="BQ3846" s="8">
        <v>-798184.06925214268</v>
      </c>
      <c r="BR3846" s="8" t="str">
        <v>Yes</v>
      </c>
    </row>
    <row r="3847" spans="54:70" x14ac:dyDescent="0.2">
      <c r="BB3847" s="94"/>
      <c r="BL3847" s="8">
        <v>3798</v>
      </c>
      <c r="BM3847" s="8">
        <v>5559473.4085854236</v>
      </c>
      <c r="BN3847" s="8">
        <v>4420834.7872138079</v>
      </c>
      <c r="BO3847" s="8">
        <v>9980308.1957992315</v>
      </c>
      <c r="BP3847" s="8">
        <v>4371537.5449406039</v>
      </c>
      <c r="BQ3847" s="8">
        <v>-5608770.6508586276</v>
      </c>
      <c r="BR3847" s="8" t="str">
        <v>Yes</v>
      </c>
    </row>
    <row r="3848" spans="54:70" x14ac:dyDescent="0.2">
      <c r="BB3848" s="94"/>
      <c r="BL3848" s="8">
        <v>3799</v>
      </c>
      <c r="BM3848" s="8">
        <v>6848424.9873713572</v>
      </c>
      <c r="BN3848" s="8">
        <v>4772165.5720931338</v>
      </c>
      <c r="BO3848" s="8">
        <v>11620590.559464492</v>
      </c>
      <c r="BP3848" s="8">
        <v>6498463.0900085038</v>
      </c>
      <c r="BQ3848" s="8">
        <v>-5122127.4694559881</v>
      </c>
      <c r="BR3848" s="8" t="str">
        <v>Yes</v>
      </c>
    </row>
    <row r="3849" spans="54:70" x14ac:dyDescent="0.2">
      <c r="BB3849" s="94"/>
      <c r="BL3849" s="8">
        <v>3800</v>
      </c>
      <c r="BM3849" s="8">
        <v>3155575.0415685754</v>
      </c>
      <c r="BN3849" s="8">
        <v>0</v>
      </c>
      <c r="BO3849" s="8">
        <v>3155575.0415685754</v>
      </c>
      <c r="BP3849" s="8">
        <v>3632027.1979040233</v>
      </c>
      <c r="BQ3849" s="8">
        <v>476452.15633544791</v>
      </c>
      <c r="BR3849" s="8" t="str">
        <v>No</v>
      </c>
    </row>
    <row r="3850" spans="54:70" x14ac:dyDescent="0.2">
      <c r="BB3850" s="94"/>
      <c r="BL3850" s="8">
        <v>3801</v>
      </c>
      <c r="BM3850" s="8">
        <v>10952904.683725948</v>
      </c>
      <c r="BN3850" s="8">
        <v>20478726.539749645</v>
      </c>
      <c r="BO3850" s="8">
        <v>31431631.22347559</v>
      </c>
      <c r="BP3850" s="8">
        <v>6686469.5736948736</v>
      </c>
      <c r="BQ3850" s="8">
        <v>-24745161.649780717</v>
      </c>
      <c r="BR3850" s="8" t="str">
        <v>Yes</v>
      </c>
    </row>
    <row r="3851" spans="54:70" x14ac:dyDescent="0.2">
      <c r="BB3851" s="94"/>
      <c r="BL3851" s="8">
        <v>3802</v>
      </c>
      <c r="BM3851" s="8">
        <v>2671885.6645434927</v>
      </c>
      <c r="BN3851" s="8">
        <v>0</v>
      </c>
      <c r="BO3851" s="8">
        <v>2671885.6645434927</v>
      </c>
      <c r="BP3851" s="8">
        <v>3347433.2631660835</v>
      </c>
      <c r="BQ3851" s="8">
        <v>675547.59862259077</v>
      </c>
      <c r="BR3851" s="8" t="str">
        <v>No</v>
      </c>
    </row>
    <row r="3852" spans="54:70" x14ac:dyDescent="0.2">
      <c r="BB3852" s="94"/>
      <c r="BL3852" s="8">
        <v>3803</v>
      </c>
      <c r="BM3852" s="8">
        <v>2775635.9372661849</v>
      </c>
      <c r="BN3852" s="8">
        <v>0</v>
      </c>
      <c r="BO3852" s="8">
        <v>2775635.9372661849</v>
      </c>
      <c r="BP3852" s="8">
        <v>2186264.3404581174</v>
      </c>
      <c r="BQ3852" s="8">
        <v>-589371.59680806752</v>
      </c>
      <c r="BR3852" s="8" t="str">
        <v>Yes</v>
      </c>
    </row>
    <row r="3853" spans="54:70" x14ac:dyDescent="0.2">
      <c r="BB3853" s="94"/>
      <c r="BL3853" s="8">
        <v>3804</v>
      </c>
      <c r="BM3853" s="8">
        <v>8289713.8412928209</v>
      </c>
      <c r="BN3853" s="8">
        <v>10006993.597068721</v>
      </c>
      <c r="BO3853" s="8">
        <v>18296707.43836154</v>
      </c>
      <c r="BP3853" s="8">
        <v>3382657.0149938134</v>
      </c>
      <c r="BQ3853" s="8">
        <v>-14914050.423367728</v>
      </c>
      <c r="BR3853" s="8" t="str">
        <v>Yes</v>
      </c>
    </row>
    <row r="3854" spans="54:70" x14ac:dyDescent="0.2">
      <c r="BB3854" s="94"/>
      <c r="BL3854" s="8">
        <v>3805</v>
      </c>
      <c r="BM3854" s="8">
        <v>3921824.8532884438</v>
      </c>
      <c r="BN3854" s="8">
        <v>7272665.1909671687</v>
      </c>
      <c r="BO3854" s="8">
        <v>11194490.044255612</v>
      </c>
      <c r="BP3854" s="8">
        <v>4186680.4357093535</v>
      </c>
      <c r="BQ3854" s="8">
        <v>-7007809.6085462589</v>
      </c>
      <c r="BR3854" s="8" t="str">
        <v>Yes</v>
      </c>
    </row>
    <row r="3855" spans="54:70" x14ac:dyDescent="0.2">
      <c r="BB3855" s="94"/>
      <c r="BL3855" s="8">
        <v>3806</v>
      </c>
      <c r="BM3855" s="8">
        <v>2841819.8489615303</v>
      </c>
      <c r="BN3855" s="8">
        <v>0</v>
      </c>
      <c r="BO3855" s="8">
        <v>2841819.8489615303</v>
      </c>
      <c r="BP3855" s="8">
        <v>6390202.7599273492</v>
      </c>
      <c r="BQ3855" s="8">
        <v>3548382.9109658189</v>
      </c>
      <c r="BR3855" s="8" t="str">
        <v>No</v>
      </c>
    </row>
    <row r="3856" spans="54:70" x14ac:dyDescent="0.2">
      <c r="BB3856" s="94"/>
      <c r="BL3856" s="8">
        <v>3807</v>
      </c>
      <c r="BM3856" s="8">
        <v>7133599.5566485077</v>
      </c>
      <c r="BN3856" s="8">
        <v>0</v>
      </c>
      <c r="BO3856" s="8">
        <v>7133599.5566485077</v>
      </c>
      <c r="BP3856" s="8">
        <v>6136388.6373217581</v>
      </c>
      <c r="BQ3856" s="8">
        <v>-997210.91932674963</v>
      </c>
      <c r="BR3856" s="8" t="str">
        <v>Yes</v>
      </c>
    </row>
    <row r="3857" spans="54:70" x14ac:dyDescent="0.2">
      <c r="BB3857" s="94"/>
      <c r="BL3857" s="8">
        <v>3808</v>
      </c>
      <c r="BM3857" s="8">
        <v>4476251.6373825893</v>
      </c>
      <c r="BN3857" s="8">
        <v>4638227.4489881378</v>
      </c>
      <c r="BO3857" s="8">
        <v>9114479.086370727</v>
      </c>
      <c r="BP3857" s="8">
        <v>4499126.113737666</v>
      </c>
      <c r="BQ3857" s="8">
        <v>-4615352.972633061</v>
      </c>
      <c r="BR3857" s="8" t="str">
        <v>Yes</v>
      </c>
    </row>
    <row r="3858" spans="54:70" x14ac:dyDescent="0.2">
      <c r="BB3858" s="94"/>
      <c r="BL3858" s="8">
        <v>3809</v>
      </c>
      <c r="BM3858" s="8">
        <v>3733880.48694917</v>
      </c>
      <c r="BN3858" s="8">
        <v>6384218.6956288777</v>
      </c>
      <c r="BO3858" s="8">
        <v>10118099.182578048</v>
      </c>
      <c r="BP3858" s="8">
        <v>3346117.9429869577</v>
      </c>
      <c r="BQ3858" s="8">
        <v>-6771981.23959109</v>
      </c>
      <c r="BR3858" s="8" t="str">
        <v>Yes</v>
      </c>
    </row>
    <row r="3859" spans="54:70" x14ac:dyDescent="0.2">
      <c r="BB3859" s="94"/>
      <c r="BL3859" s="8">
        <v>3810</v>
      </c>
      <c r="BM3859" s="8">
        <v>2314388.387693285</v>
      </c>
      <c r="BN3859" s="8">
        <v>1369011.2651839003</v>
      </c>
      <c r="BO3859" s="8">
        <v>3683399.6528771855</v>
      </c>
      <c r="BP3859" s="8">
        <v>2998149.6383623155</v>
      </c>
      <c r="BQ3859" s="8">
        <v>-685250.01451487001</v>
      </c>
      <c r="BR3859" s="8" t="str">
        <v>Yes</v>
      </c>
    </row>
    <row r="3860" spans="54:70" x14ac:dyDescent="0.2">
      <c r="BB3860" s="94"/>
      <c r="BL3860" s="8">
        <v>3811</v>
      </c>
      <c r="BM3860" s="8">
        <v>4167149.4691136847</v>
      </c>
      <c r="BN3860" s="8">
        <v>0</v>
      </c>
      <c r="BO3860" s="8">
        <v>4167149.4691136847</v>
      </c>
      <c r="BP3860" s="8">
        <v>6233365.8721328154</v>
      </c>
      <c r="BQ3860" s="8">
        <v>2066216.4030191307</v>
      </c>
      <c r="BR3860" s="8" t="str">
        <v>No</v>
      </c>
    </row>
    <row r="3861" spans="54:70" x14ac:dyDescent="0.2">
      <c r="BB3861" s="94"/>
      <c r="BL3861" s="8">
        <v>3812</v>
      </c>
      <c r="BM3861" s="8">
        <v>2971291.7037138492</v>
      </c>
      <c r="BN3861" s="8">
        <v>1614189.1834840251</v>
      </c>
      <c r="BO3861" s="8">
        <v>4585480.8871978745</v>
      </c>
      <c r="BP3861" s="8">
        <v>3419373.6842766721</v>
      </c>
      <c r="BQ3861" s="8">
        <v>-1166107.2029212024</v>
      </c>
      <c r="BR3861" s="8" t="str">
        <v>Yes</v>
      </c>
    </row>
    <row r="3862" spans="54:70" x14ac:dyDescent="0.2">
      <c r="BB3862" s="94"/>
      <c r="BL3862" s="8">
        <v>3813</v>
      </c>
      <c r="BM3862" s="8">
        <v>5234325.84087638</v>
      </c>
      <c r="BN3862" s="8">
        <v>0</v>
      </c>
      <c r="BO3862" s="8">
        <v>5234325.84087638</v>
      </c>
      <c r="BP3862" s="8">
        <v>3193278.5921145612</v>
      </c>
      <c r="BQ3862" s="8">
        <v>-2041047.2487618187</v>
      </c>
      <c r="BR3862" s="8" t="str">
        <v>Yes</v>
      </c>
    </row>
    <row r="3863" spans="54:70" x14ac:dyDescent="0.2">
      <c r="BB3863" s="94"/>
      <c r="BL3863" s="8">
        <v>3814</v>
      </c>
      <c r="BM3863" s="8">
        <v>3379631.4085661825</v>
      </c>
      <c r="BN3863" s="8">
        <v>3304455.6280210419</v>
      </c>
      <c r="BO3863" s="8">
        <v>6684087.0365872243</v>
      </c>
      <c r="BP3863" s="8">
        <v>3964684.5828352915</v>
      </c>
      <c r="BQ3863" s="8">
        <v>-2719402.4537519328</v>
      </c>
      <c r="BR3863" s="8" t="str">
        <v>Yes</v>
      </c>
    </row>
    <row r="3864" spans="54:70" x14ac:dyDescent="0.2">
      <c r="BB3864" s="94"/>
      <c r="BL3864" s="8">
        <v>3815</v>
      </c>
      <c r="BM3864" s="8">
        <v>2853422.0860714288</v>
      </c>
      <c r="BN3864" s="8">
        <v>2358354.2716698134</v>
      </c>
      <c r="BO3864" s="8">
        <v>5211776.3577412423</v>
      </c>
      <c r="BP3864" s="8">
        <v>1993943.8069958983</v>
      </c>
      <c r="BQ3864" s="8">
        <v>-3217832.5507453438</v>
      </c>
      <c r="BR3864" s="8" t="str">
        <v>Yes</v>
      </c>
    </row>
    <row r="3865" spans="54:70" x14ac:dyDescent="0.2">
      <c r="BB3865" s="94"/>
      <c r="BL3865" s="8">
        <v>3816</v>
      </c>
      <c r="BM3865" s="8">
        <v>4236503.7282925975</v>
      </c>
      <c r="BN3865" s="8">
        <v>3142102.9946097066</v>
      </c>
      <c r="BO3865" s="8">
        <v>7378606.7229023036</v>
      </c>
      <c r="BP3865" s="8">
        <v>6877644.5190821085</v>
      </c>
      <c r="BQ3865" s="8">
        <v>-500962.20382019505</v>
      </c>
      <c r="BR3865" s="8" t="str">
        <v>Yes</v>
      </c>
    </row>
    <row r="3866" spans="54:70" x14ac:dyDescent="0.2">
      <c r="BB3866" s="94"/>
      <c r="BL3866" s="8">
        <v>3817</v>
      </c>
      <c r="BM3866" s="8">
        <v>7236884.3149755113</v>
      </c>
      <c r="BN3866" s="8">
        <v>6260317.644523764</v>
      </c>
      <c r="BO3866" s="8">
        <v>13497201.959499275</v>
      </c>
      <c r="BP3866" s="8">
        <v>4652130.6317075947</v>
      </c>
      <c r="BQ3866" s="8">
        <v>-8845071.3277916797</v>
      </c>
      <c r="BR3866" s="8" t="str">
        <v>Yes</v>
      </c>
    </row>
    <row r="3867" spans="54:70" x14ac:dyDescent="0.2">
      <c r="BB3867" s="94"/>
      <c r="BL3867" s="8">
        <v>3818</v>
      </c>
      <c r="BM3867" s="8">
        <v>3881506.7504108213</v>
      </c>
      <c r="BN3867" s="8">
        <v>0</v>
      </c>
      <c r="BO3867" s="8">
        <v>3881506.7504108213</v>
      </c>
      <c r="BP3867" s="8">
        <v>2233909.7846687697</v>
      </c>
      <c r="BQ3867" s="8">
        <v>-1647596.9657420516</v>
      </c>
      <c r="BR3867" s="8" t="str">
        <v>Yes</v>
      </c>
    </row>
    <row r="3868" spans="54:70" x14ac:dyDescent="0.2">
      <c r="BB3868" s="94"/>
      <c r="BL3868" s="8">
        <v>3819</v>
      </c>
      <c r="BM3868" s="8">
        <v>1462153.7119332608</v>
      </c>
      <c r="BN3868" s="8">
        <v>890955.28241332376</v>
      </c>
      <c r="BO3868" s="8">
        <v>2353108.9943465847</v>
      </c>
      <c r="BP3868" s="8">
        <v>3398273.8073099162</v>
      </c>
      <c r="BQ3868" s="8">
        <v>1045164.8129633316</v>
      </c>
      <c r="BR3868" s="8" t="str">
        <v>No</v>
      </c>
    </row>
    <row r="3869" spans="54:70" x14ac:dyDescent="0.2">
      <c r="BB3869" s="94"/>
      <c r="BL3869" s="8">
        <v>3820</v>
      </c>
      <c r="BM3869" s="8">
        <v>2544440.2920708982</v>
      </c>
      <c r="BN3869" s="8">
        <v>0</v>
      </c>
      <c r="BO3869" s="8">
        <v>2544440.2920708982</v>
      </c>
      <c r="BP3869" s="8">
        <v>2233798.7617535586</v>
      </c>
      <c r="BQ3869" s="8">
        <v>-310641.53031733958</v>
      </c>
      <c r="BR3869" s="8" t="str">
        <v>Yes</v>
      </c>
    </row>
    <row r="3870" spans="54:70" x14ac:dyDescent="0.2">
      <c r="BB3870" s="94"/>
      <c r="BL3870" s="8">
        <v>3821</v>
      </c>
      <c r="BM3870" s="8">
        <v>4101118.8503288417</v>
      </c>
      <c r="BN3870" s="8">
        <v>4647277.545086232</v>
      </c>
      <c r="BO3870" s="8">
        <v>8748396.3954150733</v>
      </c>
      <c r="BP3870" s="8">
        <v>3195076.7758000377</v>
      </c>
      <c r="BQ3870" s="8">
        <v>-5553319.6196150351</v>
      </c>
      <c r="BR3870" s="8" t="str">
        <v>Yes</v>
      </c>
    </row>
    <row r="3871" spans="54:70" x14ac:dyDescent="0.2">
      <c r="BB3871" s="94"/>
      <c r="BL3871" s="8">
        <v>3822</v>
      </c>
      <c r="BM3871" s="8">
        <v>6485496.4011879619</v>
      </c>
      <c r="BN3871" s="8">
        <v>5231547.2014507726</v>
      </c>
      <c r="BO3871" s="8">
        <v>11717043.602638735</v>
      </c>
      <c r="BP3871" s="8">
        <v>4592626.7402886581</v>
      </c>
      <c r="BQ3871" s="8">
        <v>-7124416.8623500764</v>
      </c>
      <c r="BR3871" s="8" t="str">
        <v>Yes</v>
      </c>
    </row>
    <row r="3872" spans="54:70" x14ac:dyDescent="0.2">
      <c r="BB3872" s="94"/>
      <c r="BL3872" s="8">
        <v>3823</v>
      </c>
      <c r="BM3872" s="8">
        <v>6344458.779247757</v>
      </c>
      <c r="BN3872" s="8">
        <v>0</v>
      </c>
      <c r="BO3872" s="8">
        <v>6344458.779247757</v>
      </c>
      <c r="BP3872" s="8">
        <v>6002841.610001415</v>
      </c>
      <c r="BQ3872" s="8">
        <v>-341617.16924634203</v>
      </c>
      <c r="BR3872" s="8" t="str">
        <v>Yes</v>
      </c>
    </row>
    <row r="3873" spans="54:70" x14ac:dyDescent="0.2">
      <c r="BB3873" s="94"/>
      <c r="BL3873" s="8">
        <v>3824</v>
      </c>
      <c r="BM3873" s="8">
        <v>7972478.8305915287</v>
      </c>
      <c r="BN3873" s="8">
        <v>0</v>
      </c>
      <c r="BO3873" s="8">
        <v>7972478.8305915287</v>
      </c>
      <c r="BP3873" s="8">
        <v>2288067.8839577725</v>
      </c>
      <c r="BQ3873" s="8">
        <v>-5684410.9466337562</v>
      </c>
      <c r="BR3873" s="8" t="str">
        <v>Yes</v>
      </c>
    </row>
    <row r="3874" spans="54:70" x14ac:dyDescent="0.2">
      <c r="BB3874" s="94"/>
      <c r="BL3874" s="8">
        <v>3825</v>
      </c>
      <c r="BM3874" s="8">
        <v>10004227.293948511</v>
      </c>
      <c r="BN3874" s="8">
        <v>0</v>
      </c>
      <c r="BO3874" s="8">
        <v>10004227.293948511</v>
      </c>
      <c r="BP3874" s="8">
        <v>4127276.5611639121</v>
      </c>
      <c r="BQ3874" s="8">
        <v>-5876950.7327845991</v>
      </c>
      <c r="BR3874" s="8" t="str">
        <v>Yes</v>
      </c>
    </row>
    <row r="3875" spans="54:70" x14ac:dyDescent="0.2">
      <c r="BB3875" s="94"/>
      <c r="BL3875" s="8">
        <v>3826</v>
      </c>
      <c r="BM3875" s="8">
        <v>1436278.8808640465</v>
      </c>
      <c r="BN3875" s="8">
        <v>0</v>
      </c>
      <c r="BO3875" s="8">
        <v>1436278.8808640465</v>
      </c>
      <c r="BP3875" s="8">
        <v>3489137.8020328446</v>
      </c>
      <c r="BQ3875" s="8">
        <v>2052858.9211687981</v>
      </c>
      <c r="BR3875" s="8" t="str">
        <v>No</v>
      </c>
    </row>
    <row r="3876" spans="54:70" x14ac:dyDescent="0.2">
      <c r="BB3876" s="94"/>
      <c r="BL3876" s="8">
        <v>3827</v>
      </c>
      <c r="BM3876" s="8">
        <v>2768266.1064268891</v>
      </c>
      <c r="BN3876" s="8">
        <v>0</v>
      </c>
      <c r="BO3876" s="8">
        <v>2768266.1064268891</v>
      </c>
      <c r="BP3876" s="8">
        <v>3215326.7173379161</v>
      </c>
      <c r="BQ3876" s="8">
        <v>447060.61091102706</v>
      </c>
      <c r="BR3876" s="8" t="str">
        <v>No</v>
      </c>
    </row>
    <row r="3877" spans="54:70" x14ac:dyDescent="0.2">
      <c r="BB3877" s="94"/>
      <c r="BL3877" s="8">
        <v>3828</v>
      </c>
      <c r="BM3877" s="8">
        <v>5759634.0275060143</v>
      </c>
      <c r="BN3877" s="8">
        <v>0</v>
      </c>
      <c r="BO3877" s="8">
        <v>5759634.0275060143</v>
      </c>
      <c r="BP3877" s="8">
        <v>4047028.2138799396</v>
      </c>
      <c r="BQ3877" s="8">
        <v>-1712605.8136260747</v>
      </c>
      <c r="BR3877" s="8" t="str">
        <v>Yes</v>
      </c>
    </row>
    <row r="3878" spans="54:70" x14ac:dyDescent="0.2">
      <c r="BB3878" s="94"/>
      <c r="BL3878" s="8">
        <v>3829</v>
      </c>
      <c r="BM3878" s="8">
        <v>3582716.656804367</v>
      </c>
      <c r="BN3878" s="8">
        <v>0</v>
      </c>
      <c r="BO3878" s="8">
        <v>3582716.656804367</v>
      </c>
      <c r="BP3878" s="8">
        <v>3129941.4530779766</v>
      </c>
      <c r="BQ3878" s="8">
        <v>-452775.20372639038</v>
      </c>
      <c r="BR3878" s="8" t="str">
        <v>Yes</v>
      </c>
    </row>
    <row r="3879" spans="54:70" x14ac:dyDescent="0.2">
      <c r="BB3879" s="94"/>
      <c r="BL3879" s="8">
        <v>3830</v>
      </c>
      <c r="BM3879" s="8">
        <v>5265418.4644678133</v>
      </c>
      <c r="BN3879" s="8">
        <v>0</v>
      </c>
      <c r="BO3879" s="8">
        <v>5265418.4644678133</v>
      </c>
      <c r="BP3879" s="8">
        <v>3408600.0226049363</v>
      </c>
      <c r="BQ3879" s="8">
        <v>-1856818.441862877</v>
      </c>
      <c r="BR3879" s="8" t="str">
        <v>Yes</v>
      </c>
    </row>
    <row r="3880" spans="54:70" x14ac:dyDescent="0.2">
      <c r="BB3880" s="94"/>
      <c r="BL3880" s="8">
        <v>3831</v>
      </c>
      <c r="BM3880" s="8">
        <v>6147529.2451098915</v>
      </c>
      <c r="BN3880" s="8">
        <v>2045508.593294773</v>
      </c>
      <c r="BO3880" s="8">
        <v>8193037.8384046648</v>
      </c>
      <c r="BP3880" s="8">
        <v>4502490.3556199521</v>
      </c>
      <c r="BQ3880" s="8">
        <v>-3690547.4827847127</v>
      </c>
      <c r="BR3880" s="8" t="str">
        <v>Yes</v>
      </c>
    </row>
    <row r="3881" spans="54:70" x14ac:dyDescent="0.2">
      <c r="BB3881" s="94"/>
      <c r="BL3881" s="8">
        <v>3832</v>
      </c>
      <c r="BM3881" s="8">
        <v>6633904.4706535228</v>
      </c>
      <c r="BN3881" s="8">
        <v>0</v>
      </c>
      <c r="BO3881" s="8">
        <v>6633904.4706535228</v>
      </c>
      <c r="BP3881" s="8">
        <v>3451450.0900501581</v>
      </c>
      <c r="BQ3881" s="8">
        <v>-3182454.3806033647</v>
      </c>
      <c r="BR3881" s="8" t="str">
        <v>Yes</v>
      </c>
    </row>
    <row r="3882" spans="54:70" x14ac:dyDescent="0.2">
      <c r="BB3882" s="94"/>
      <c r="BL3882" s="8">
        <v>3833</v>
      </c>
      <c r="BM3882" s="8">
        <v>4792992.8551599532</v>
      </c>
      <c r="BN3882" s="8">
        <v>0</v>
      </c>
      <c r="BO3882" s="8">
        <v>4792992.8551599532</v>
      </c>
      <c r="BP3882" s="8">
        <v>6372823.6156296805</v>
      </c>
      <c r="BQ3882" s="8">
        <v>1579830.7604697272</v>
      </c>
      <c r="BR3882" s="8" t="str">
        <v>No</v>
      </c>
    </row>
    <row r="3883" spans="54:70" x14ac:dyDescent="0.2">
      <c r="BB3883" s="94"/>
      <c r="BL3883" s="8">
        <v>3834</v>
      </c>
      <c r="BM3883" s="8">
        <v>5565785.9038446471</v>
      </c>
      <c r="BN3883" s="8">
        <v>0</v>
      </c>
      <c r="BO3883" s="8">
        <v>5565785.9038446471</v>
      </c>
      <c r="BP3883" s="8">
        <v>3728709.0413387646</v>
      </c>
      <c r="BQ3883" s="8">
        <v>-1837076.8625058825</v>
      </c>
      <c r="BR3883" s="8" t="str">
        <v>Yes</v>
      </c>
    </row>
    <row r="3884" spans="54:70" x14ac:dyDescent="0.2">
      <c r="BB3884" s="94"/>
      <c r="BL3884" s="8">
        <v>3835</v>
      </c>
      <c r="BM3884" s="8">
        <v>6114964.5293474719</v>
      </c>
      <c r="BN3884" s="8">
        <v>6778870.7527337028</v>
      </c>
      <c r="BO3884" s="8">
        <v>12893835.282081176</v>
      </c>
      <c r="BP3884" s="8">
        <v>4177542.7010948579</v>
      </c>
      <c r="BQ3884" s="8">
        <v>-8716292.5809863172</v>
      </c>
      <c r="BR3884" s="8" t="str">
        <v>Yes</v>
      </c>
    </row>
    <row r="3885" spans="54:70" x14ac:dyDescent="0.2">
      <c r="BB3885" s="94"/>
      <c r="BL3885" s="8">
        <v>3836</v>
      </c>
      <c r="BM3885" s="8">
        <v>1700603.6793390496</v>
      </c>
      <c r="BN3885" s="8">
        <v>265259.08048673533</v>
      </c>
      <c r="BO3885" s="8">
        <v>1965862.7598257849</v>
      </c>
      <c r="BP3885" s="8">
        <v>6369285.3455105973</v>
      </c>
      <c r="BQ3885" s="8">
        <v>4403422.5856848126</v>
      </c>
      <c r="BR3885" s="8" t="str">
        <v>No</v>
      </c>
    </row>
    <row r="3886" spans="54:70" x14ac:dyDescent="0.2">
      <c r="BB3886" s="94"/>
      <c r="BL3886" s="8">
        <v>3837</v>
      </c>
      <c r="BM3886" s="8">
        <v>9435303.5875547435</v>
      </c>
      <c r="BN3886" s="8">
        <v>6145355.426839062</v>
      </c>
      <c r="BO3886" s="8">
        <v>15580659.014393806</v>
      </c>
      <c r="BP3886" s="8">
        <v>6909646.2733967407</v>
      </c>
      <c r="BQ3886" s="8">
        <v>-8671012.7409970649</v>
      </c>
      <c r="BR3886" s="8" t="str">
        <v>Yes</v>
      </c>
    </row>
    <row r="3887" spans="54:70" x14ac:dyDescent="0.2">
      <c r="BB3887" s="94"/>
      <c r="BL3887" s="8">
        <v>3838</v>
      </c>
      <c r="BM3887" s="8">
        <v>1746663.8463772619</v>
      </c>
      <c r="BN3887" s="8">
        <v>0</v>
      </c>
      <c r="BO3887" s="8">
        <v>1746663.8463772619</v>
      </c>
      <c r="BP3887" s="8">
        <v>4065925.7441527573</v>
      </c>
      <c r="BQ3887" s="8">
        <v>2319261.8977754954</v>
      </c>
      <c r="BR3887" s="8" t="str">
        <v>No</v>
      </c>
    </row>
    <row r="3888" spans="54:70" x14ac:dyDescent="0.2">
      <c r="BB3888" s="94"/>
      <c r="BL3888" s="8">
        <v>3839</v>
      </c>
      <c r="BM3888" s="8">
        <v>9742018.3957529012</v>
      </c>
      <c r="BN3888" s="8">
        <v>20549481.765842061</v>
      </c>
      <c r="BO3888" s="8">
        <v>30291500.161594965</v>
      </c>
      <c r="BP3888" s="8">
        <v>2040448.4464575993</v>
      </c>
      <c r="BQ3888" s="8">
        <v>-28251051.715137366</v>
      </c>
      <c r="BR3888" s="8" t="str">
        <v>Yes</v>
      </c>
    </row>
    <row r="3889" spans="54:70" x14ac:dyDescent="0.2">
      <c r="BB3889" s="94"/>
      <c r="BL3889" s="8">
        <v>3840</v>
      </c>
      <c r="BM3889" s="8">
        <v>5992532.1440383689</v>
      </c>
      <c r="BN3889" s="8">
        <v>0</v>
      </c>
      <c r="BO3889" s="8">
        <v>5992532.1440383689</v>
      </c>
      <c r="BP3889" s="8">
        <v>2408533.9877580088</v>
      </c>
      <c r="BQ3889" s="8">
        <v>-3583998.1562803602</v>
      </c>
      <c r="BR3889" s="8" t="str">
        <v>Yes</v>
      </c>
    </row>
    <row r="3890" spans="54:70" x14ac:dyDescent="0.2">
      <c r="BB3890" s="94"/>
      <c r="BL3890" s="8">
        <v>3841</v>
      </c>
      <c r="BM3890" s="8">
        <v>3986368.9525414119</v>
      </c>
      <c r="BN3890" s="8">
        <v>5803435.6319314521</v>
      </c>
      <c r="BO3890" s="8">
        <v>9789804.5844728649</v>
      </c>
      <c r="BP3890" s="8">
        <v>3312884.358728386</v>
      </c>
      <c r="BQ3890" s="8">
        <v>-6476920.2257444784</v>
      </c>
      <c r="BR3890" s="8" t="str">
        <v>Yes</v>
      </c>
    </row>
    <row r="3891" spans="54:70" x14ac:dyDescent="0.2">
      <c r="BB3891" s="94"/>
      <c r="BL3891" s="8">
        <v>3842</v>
      </c>
      <c r="BM3891" s="8">
        <v>3249854.0784355327</v>
      </c>
      <c r="BN3891" s="8">
        <v>3616148.9756543785</v>
      </c>
      <c r="BO3891" s="8">
        <v>6866003.0540899113</v>
      </c>
      <c r="BP3891" s="8">
        <v>4202018.8749586781</v>
      </c>
      <c r="BQ3891" s="8">
        <v>-2663984.1791312331</v>
      </c>
      <c r="BR3891" s="8" t="str">
        <v>Yes</v>
      </c>
    </row>
    <row r="3892" spans="54:70" x14ac:dyDescent="0.2">
      <c r="BB3892" s="94"/>
      <c r="BL3892" s="8">
        <v>3843</v>
      </c>
      <c r="BM3892" s="8">
        <v>4751447.6839070981</v>
      </c>
      <c r="BN3892" s="8">
        <v>1672796.5291698719</v>
      </c>
      <c r="BO3892" s="8">
        <v>6424244.2130769696</v>
      </c>
      <c r="BP3892" s="8">
        <v>3425490.765571658</v>
      </c>
      <c r="BQ3892" s="8">
        <v>-2998753.4475053116</v>
      </c>
      <c r="BR3892" s="8" t="str">
        <v>Yes</v>
      </c>
    </row>
    <row r="3893" spans="54:70" x14ac:dyDescent="0.2">
      <c r="BB3893" s="94"/>
      <c r="BL3893" s="8">
        <v>3844</v>
      </c>
      <c r="BM3893" s="8">
        <v>3820046.9734469252</v>
      </c>
      <c r="BN3893" s="8">
        <v>0</v>
      </c>
      <c r="BO3893" s="8">
        <v>3820046.9734469252</v>
      </c>
      <c r="BP3893" s="8">
        <v>2206246.4406729853</v>
      </c>
      <c r="BQ3893" s="8">
        <v>-1613800.5327739399</v>
      </c>
      <c r="BR3893" s="8" t="str">
        <v>Yes</v>
      </c>
    </row>
    <row r="3894" spans="54:70" x14ac:dyDescent="0.2">
      <c r="BB3894" s="94"/>
      <c r="BL3894" s="8">
        <v>3845</v>
      </c>
      <c r="BM3894" s="8">
        <v>2632065.3133039521</v>
      </c>
      <c r="BN3894" s="8">
        <v>1417589.0839865853</v>
      </c>
      <c r="BO3894" s="8">
        <v>4049654.3972905371</v>
      </c>
      <c r="BP3894" s="8">
        <v>5817500.3869637391</v>
      </c>
      <c r="BQ3894" s="8">
        <v>1767845.9896732019</v>
      </c>
      <c r="BR3894" s="8" t="str">
        <v>No</v>
      </c>
    </row>
    <row r="3895" spans="54:70" x14ac:dyDescent="0.2">
      <c r="BB3895" s="94"/>
      <c r="BL3895" s="8">
        <v>3846</v>
      </c>
      <c r="BM3895" s="8">
        <v>3573020.1752908723</v>
      </c>
      <c r="BN3895" s="8">
        <v>522150.37300051411</v>
      </c>
      <c r="BO3895" s="8">
        <v>4095170.5482913866</v>
      </c>
      <c r="BP3895" s="8">
        <v>3578032.1679149354</v>
      </c>
      <c r="BQ3895" s="8">
        <v>-517138.38037645118</v>
      </c>
      <c r="BR3895" s="8" t="str">
        <v>Yes</v>
      </c>
    </row>
    <row r="3896" spans="54:70" x14ac:dyDescent="0.2">
      <c r="BB3896" s="94"/>
      <c r="BL3896" s="8">
        <v>3847</v>
      </c>
      <c r="BM3896" s="8">
        <v>7204723.9115788043</v>
      </c>
      <c r="BN3896" s="8">
        <v>5899248.3160479544</v>
      </c>
      <c r="BO3896" s="8">
        <v>13103972.22762676</v>
      </c>
      <c r="BP3896" s="8">
        <v>6085012.2856626762</v>
      </c>
      <c r="BQ3896" s="8">
        <v>-7018959.9419640834</v>
      </c>
      <c r="BR3896" s="8" t="str">
        <v>Yes</v>
      </c>
    </row>
    <row r="3897" spans="54:70" x14ac:dyDescent="0.2">
      <c r="BB3897" s="94"/>
      <c r="BL3897" s="8">
        <v>3848</v>
      </c>
      <c r="BM3897" s="8">
        <v>2521401.8622111944</v>
      </c>
      <c r="BN3897" s="8">
        <v>1474978.4702317466</v>
      </c>
      <c r="BO3897" s="8">
        <v>3996380.3324429411</v>
      </c>
      <c r="BP3897" s="8">
        <v>4516400.0084409146</v>
      </c>
      <c r="BQ3897" s="8">
        <v>520019.67599797342</v>
      </c>
      <c r="BR3897" s="8" t="str">
        <v>No</v>
      </c>
    </row>
    <row r="3898" spans="54:70" x14ac:dyDescent="0.2">
      <c r="BB3898" s="94"/>
      <c r="BL3898" s="8">
        <v>3849</v>
      </c>
      <c r="BM3898" s="8">
        <v>2754958.9767978219</v>
      </c>
      <c r="BN3898" s="8">
        <v>1871343.5065237011</v>
      </c>
      <c r="BO3898" s="8">
        <v>4626302.4833215233</v>
      </c>
      <c r="BP3898" s="8">
        <v>3227258.9535491848</v>
      </c>
      <c r="BQ3898" s="8">
        <v>-1399043.5297723385</v>
      </c>
      <c r="BR3898" s="8" t="str">
        <v>Yes</v>
      </c>
    </row>
    <row r="3899" spans="54:70" x14ac:dyDescent="0.2">
      <c r="BB3899" s="94"/>
      <c r="BL3899" s="8">
        <v>3850</v>
      </c>
      <c r="BM3899" s="8">
        <v>3683954.9816520647</v>
      </c>
      <c r="BN3899" s="8">
        <v>4674604.1968595739</v>
      </c>
      <c r="BO3899" s="8">
        <v>8358559.1785116382</v>
      </c>
      <c r="BP3899" s="8">
        <v>3179831.0069465232</v>
      </c>
      <c r="BQ3899" s="8">
        <v>-5178728.1715651155</v>
      </c>
      <c r="BR3899" s="8" t="str">
        <v>Yes</v>
      </c>
    </row>
    <row r="3900" spans="54:70" x14ac:dyDescent="0.2">
      <c r="BB3900" s="94"/>
      <c r="BL3900" s="8">
        <v>3851</v>
      </c>
      <c r="BM3900" s="8">
        <v>3763144.8365745451</v>
      </c>
      <c r="BN3900" s="8">
        <v>2118910.9029794382</v>
      </c>
      <c r="BO3900" s="8">
        <v>5882055.7395539833</v>
      </c>
      <c r="BP3900" s="8">
        <v>4255265.1769131413</v>
      </c>
      <c r="BQ3900" s="8">
        <v>-1626790.5626408421</v>
      </c>
      <c r="BR3900" s="8" t="str">
        <v>Yes</v>
      </c>
    </row>
    <row r="3901" spans="54:70" x14ac:dyDescent="0.2">
      <c r="BB3901" s="94"/>
      <c r="BL3901" s="8">
        <v>3852</v>
      </c>
      <c r="BM3901" s="8">
        <v>5521626.0585609432</v>
      </c>
      <c r="BN3901" s="8">
        <v>0</v>
      </c>
      <c r="BO3901" s="8">
        <v>5521626.0585609432</v>
      </c>
      <c r="BP3901" s="8">
        <v>2405325.519986839</v>
      </c>
      <c r="BQ3901" s="8">
        <v>-3116300.5385741042</v>
      </c>
      <c r="BR3901" s="8" t="str">
        <v>Yes</v>
      </c>
    </row>
    <row r="3902" spans="54:70" x14ac:dyDescent="0.2">
      <c r="BB3902" s="94"/>
      <c r="BL3902" s="8">
        <v>3853</v>
      </c>
      <c r="BM3902" s="8">
        <v>2353024.1382991089</v>
      </c>
      <c r="BN3902" s="8">
        <v>2672707.9679359961</v>
      </c>
      <c r="BO3902" s="8">
        <v>5025732.1062351055</v>
      </c>
      <c r="BP3902" s="8">
        <v>2092588.8821064753</v>
      </c>
      <c r="BQ3902" s="8">
        <v>-2933143.22412863</v>
      </c>
      <c r="BR3902" s="8" t="str">
        <v>Yes</v>
      </c>
    </row>
    <row r="3903" spans="54:70" x14ac:dyDescent="0.2">
      <c r="BB3903" s="94"/>
      <c r="BL3903" s="8">
        <v>3854</v>
      </c>
      <c r="BM3903" s="8">
        <v>2556347.844160988</v>
      </c>
      <c r="BN3903" s="8">
        <v>2339551.8646261282</v>
      </c>
      <c r="BO3903" s="8">
        <v>4895899.7087871162</v>
      </c>
      <c r="BP3903" s="8">
        <v>3483346.9183082194</v>
      </c>
      <c r="BQ3903" s="8">
        <v>-1412552.7904788968</v>
      </c>
      <c r="BR3903" s="8" t="str">
        <v>Yes</v>
      </c>
    </row>
    <row r="3904" spans="54:70" x14ac:dyDescent="0.2">
      <c r="BB3904" s="94"/>
      <c r="BL3904" s="8">
        <v>3855</v>
      </c>
      <c r="BM3904" s="8">
        <v>3248188.8600061173</v>
      </c>
      <c r="BN3904" s="8">
        <v>0</v>
      </c>
      <c r="BO3904" s="8">
        <v>3248188.8600061173</v>
      </c>
      <c r="BP3904" s="8">
        <v>2436784.1309183412</v>
      </c>
      <c r="BQ3904" s="8">
        <v>-811404.72908777604</v>
      </c>
      <c r="BR3904" s="8" t="str">
        <v>Yes</v>
      </c>
    </row>
    <row r="3905" spans="54:70" x14ac:dyDescent="0.2">
      <c r="BB3905" s="94"/>
      <c r="BL3905" s="8">
        <v>3856</v>
      </c>
      <c r="BM3905" s="8">
        <v>4300229.4558676351</v>
      </c>
      <c r="BN3905" s="8">
        <v>0</v>
      </c>
      <c r="BO3905" s="8">
        <v>4300229.4558676351</v>
      </c>
      <c r="BP3905" s="8">
        <v>2379870.7205550633</v>
      </c>
      <c r="BQ3905" s="8">
        <v>-1920358.7353125717</v>
      </c>
      <c r="BR3905" s="8" t="str">
        <v>Yes</v>
      </c>
    </row>
    <row r="3906" spans="54:70" x14ac:dyDescent="0.2">
      <c r="BB3906" s="94"/>
      <c r="BL3906" s="8">
        <v>3857</v>
      </c>
      <c r="BM3906" s="8">
        <v>4492536.4636958446</v>
      </c>
      <c r="BN3906" s="8">
        <v>0</v>
      </c>
      <c r="BO3906" s="8">
        <v>4492536.4636958446</v>
      </c>
      <c r="BP3906" s="8">
        <v>4486590.7362628868</v>
      </c>
      <c r="BQ3906" s="8">
        <v>-5945.7274329578504</v>
      </c>
      <c r="BR3906" s="8" t="str">
        <v>Yes</v>
      </c>
    </row>
    <row r="3907" spans="54:70" x14ac:dyDescent="0.2">
      <c r="BB3907" s="94"/>
      <c r="BL3907" s="8">
        <v>3858</v>
      </c>
      <c r="BM3907" s="8">
        <v>5560045.6233225651</v>
      </c>
      <c r="BN3907" s="8">
        <v>0</v>
      </c>
      <c r="BO3907" s="8">
        <v>5560045.6233225651</v>
      </c>
      <c r="BP3907" s="8">
        <v>4397640.7668523677</v>
      </c>
      <c r="BQ3907" s="8">
        <v>-1162404.8564701974</v>
      </c>
      <c r="BR3907" s="8" t="str">
        <v>Yes</v>
      </c>
    </row>
    <row r="3908" spans="54:70" x14ac:dyDescent="0.2">
      <c r="BB3908" s="94"/>
      <c r="BL3908" s="8">
        <v>3859</v>
      </c>
      <c r="BM3908" s="8">
        <v>7992357.7443936383</v>
      </c>
      <c r="BN3908" s="8">
        <v>0</v>
      </c>
      <c r="BO3908" s="8">
        <v>7992357.7443936383</v>
      </c>
      <c r="BP3908" s="8">
        <v>6268220.2044700291</v>
      </c>
      <c r="BQ3908" s="8">
        <v>-1724137.5399236092</v>
      </c>
      <c r="BR3908" s="8" t="str">
        <v>Yes</v>
      </c>
    </row>
    <row r="3909" spans="54:70" x14ac:dyDescent="0.2">
      <c r="BB3909" s="94"/>
      <c r="BL3909" s="8">
        <v>3860</v>
      </c>
      <c r="BM3909" s="8">
        <v>2921951.0410318123</v>
      </c>
      <c r="BN3909" s="8">
        <v>2966828.7102486449</v>
      </c>
      <c r="BO3909" s="8">
        <v>5888779.7512804568</v>
      </c>
      <c r="BP3909" s="8">
        <v>3295620.6081096875</v>
      </c>
      <c r="BQ3909" s="8">
        <v>-2593159.1431707693</v>
      </c>
      <c r="BR3909" s="8" t="str">
        <v>Yes</v>
      </c>
    </row>
    <row r="3910" spans="54:70" x14ac:dyDescent="0.2">
      <c r="BB3910" s="94"/>
      <c r="BL3910" s="8">
        <v>3861</v>
      </c>
      <c r="BM3910" s="8">
        <v>2648028.3059009598</v>
      </c>
      <c r="BN3910" s="8">
        <v>2837129.3760838006</v>
      </c>
      <c r="BO3910" s="8">
        <v>5485157.6819847599</v>
      </c>
      <c r="BP3910" s="8">
        <v>3564699.9705873956</v>
      </c>
      <c r="BQ3910" s="8">
        <v>-1920457.7113973643</v>
      </c>
      <c r="BR3910" s="8" t="str">
        <v>Yes</v>
      </c>
    </row>
    <row r="3911" spans="54:70" x14ac:dyDescent="0.2">
      <c r="BB3911" s="94"/>
      <c r="BL3911" s="8">
        <v>3862</v>
      </c>
      <c r="BM3911" s="8">
        <v>6667312.4098364543</v>
      </c>
      <c r="BN3911" s="8">
        <v>0</v>
      </c>
      <c r="BO3911" s="8">
        <v>6667312.4098364543</v>
      </c>
      <c r="BP3911" s="8">
        <v>4301487.3284042571</v>
      </c>
      <c r="BQ3911" s="8">
        <v>-2365825.0814321972</v>
      </c>
      <c r="BR3911" s="8" t="str">
        <v>Yes</v>
      </c>
    </row>
    <row r="3912" spans="54:70" x14ac:dyDescent="0.2">
      <c r="BB3912" s="94"/>
      <c r="BL3912" s="8">
        <v>3863</v>
      </c>
      <c r="BM3912" s="8">
        <v>3814687.7893234668</v>
      </c>
      <c r="BN3912" s="8">
        <v>0</v>
      </c>
      <c r="BO3912" s="8">
        <v>3814687.7893234668</v>
      </c>
      <c r="BP3912" s="8">
        <v>3320186.8764397404</v>
      </c>
      <c r="BQ3912" s="8">
        <v>-494500.91288372641</v>
      </c>
      <c r="BR3912" s="8" t="str">
        <v>Yes</v>
      </c>
    </row>
    <row r="3913" spans="54:70" x14ac:dyDescent="0.2">
      <c r="BB3913" s="94"/>
      <c r="BL3913" s="8">
        <v>3864</v>
      </c>
      <c r="BM3913" s="8">
        <v>3070879.3895835136</v>
      </c>
      <c r="BN3913" s="8">
        <v>4275978.3612672258</v>
      </c>
      <c r="BO3913" s="8">
        <v>7346857.750850739</v>
      </c>
      <c r="BP3913" s="8">
        <v>2279732.8712624814</v>
      </c>
      <c r="BQ3913" s="8">
        <v>-5067124.8795882575</v>
      </c>
      <c r="BR3913" s="8" t="str">
        <v>Yes</v>
      </c>
    </row>
    <row r="3914" spans="54:70" x14ac:dyDescent="0.2">
      <c r="BB3914" s="94"/>
      <c r="BL3914" s="8">
        <v>3865</v>
      </c>
      <c r="BM3914" s="8">
        <v>4546182.8093987536</v>
      </c>
      <c r="BN3914" s="8">
        <v>7173482.503208763</v>
      </c>
      <c r="BO3914" s="8">
        <v>11719665.312607516</v>
      </c>
      <c r="BP3914" s="8">
        <v>2399969.6954551837</v>
      </c>
      <c r="BQ3914" s="8">
        <v>-9319695.6171523314</v>
      </c>
      <c r="BR3914" s="8" t="str">
        <v>Yes</v>
      </c>
    </row>
    <row r="3915" spans="54:70" x14ac:dyDescent="0.2">
      <c r="BB3915" s="94"/>
      <c r="BL3915" s="8">
        <v>3866</v>
      </c>
      <c r="BM3915" s="8">
        <v>2316118.2463930091</v>
      </c>
      <c r="BN3915" s="8">
        <v>0</v>
      </c>
      <c r="BO3915" s="8">
        <v>2316118.2463930091</v>
      </c>
      <c r="BP3915" s="8">
        <v>3329840.1560253417</v>
      </c>
      <c r="BQ3915" s="8">
        <v>1013721.9096323326</v>
      </c>
      <c r="BR3915" s="8" t="str">
        <v>No</v>
      </c>
    </row>
    <row r="3916" spans="54:70" x14ac:dyDescent="0.2">
      <c r="BB3916" s="94"/>
      <c r="BL3916" s="8">
        <v>3867</v>
      </c>
      <c r="BM3916" s="8">
        <v>4758443.1189629631</v>
      </c>
      <c r="BN3916" s="8">
        <v>3145673.7826995328</v>
      </c>
      <c r="BO3916" s="8">
        <v>7904116.9016624959</v>
      </c>
      <c r="BP3916" s="8">
        <v>4211796.7835436538</v>
      </c>
      <c r="BQ3916" s="8">
        <v>-3692320.1181188421</v>
      </c>
      <c r="BR3916" s="8" t="str">
        <v>Yes</v>
      </c>
    </row>
    <row r="3917" spans="54:70" x14ac:dyDescent="0.2">
      <c r="BB3917" s="94"/>
      <c r="BL3917" s="8">
        <v>3868</v>
      </c>
      <c r="BM3917" s="8">
        <v>4926755.4062410556</v>
      </c>
      <c r="BN3917" s="8">
        <v>1996141.834085671</v>
      </c>
      <c r="BO3917" s="8">
        <v>6922897.2403267268</v>
      </c>
      <c r="BP3917" s="8">
        <v>6739166.6421513837</v>
      </c>
      <c r="BQ3917" s="8">
        <v>-183730.59817534313</v>
      </c>
      <c r="BR3917" s="8" t="str">
        <v>Yes</v>
      </c>
    </row>
    <row r="3918" spans="54:70" x14ac:dyDescent="0.2">
      <c r="BB3918" s="94"/>
      <c r="BL3918" s="8">
        <v>3869</v>
      </c>
      <c r="BM3918" s="8">
        <v>7879299.8826187551</v>
      </c>
      <c r="BN3918" s="8">
        <v>0</v>
      </c>
      <c r="BO3918" s="8">
        <v>7879299.8826187551</v>
      </c>
      <c r="BP3918" s="8">
        <v>6193976.1366610909</v>
      </c>
      <c r="BQ3918" s="8">
        <v>-1685323.7459576642</v>
      </c>
      <c r="BR3918" s="8" t="str">
        <v>Yes</v>
      </c>
    </row>
    <row r="3919" spans="54:70" x14ac:dyDescent="0.2">
      <c r="BB3919" s="94"/>
      <c r="BL3919" s="8">
        <v>3870</v>
      </c>
      <c r="BM3919" s="8">
        <v>3368679.0234242519</v>
      </c>
      <c r="BN3919" s="8">
        <v>1226286.3938030552</v>
      </c>
      <c r="BO3919" s="8">
        <v>4594965.4172273073</v>
      </c>
      <c r="BP3919" s="8">
        <v>5940134.6544267032</v>
      </c>
      <c r="BQ3919" s="8">
        <v>1345169.2371993959</v>
      </c>
      <c r="BR3919" s="8" t="str">
        <v>No</v>
      </c>
    </row>
    <row r="3920" spans="54:70" x14ac:dyDescent="0.2">
      <c r="BB3920" s="94"/>
      <c r="BL3920" s="8">
        <v>3871</v>
      </c>
      <c r="BM3920" s="8">
        <v>4010321.7218892975</v>
      </c>
      <c r="BN3920" s="8">
        <v>0</v>
      </c>
      <c r="BO3920" s="8">
        <v>4010321.7218892975</v>
      </c>
      <c r="BP3920" s="8">
        <v>5371977.2848501373</v>
      </c>
      <c r="BQ3920" s="8">
        <v>1361655.5629608398</v>
      </c>
      <c r="BR3920" s="8" t="str">
        <v>No</v>
      </c>
    </row>
    <row r="3921" spans="54:70" x14ac:dyDescent="0.2">
      <c r="BB3921" s="94"/>
      <c r="BL3921" s="8">
        <v>3872</v>
      </c>
      <c r="BM3921" s="8">
        <v>4006207.1510724407</v>
      </c>
      <c r="BN3921" s="8">
        <v>516905.42613278603</v>
      </c>
      <c r="BO3921" s="8">
        <v>4523112.5772052268</v>
      </c>
      <c r="BP3921" s="8">
        <v>4371877.2052799584</v>
      </c>
      <c r="BQ3921" s="8">
        <v>-151235.37192526832</v>
      </c>
      <c r="BR3921" s="8" t="str">
        <v>Yes</v>
      </c>
    </row>
    <row r="3922" spans="54:70" x14ac:dyDescent="0.2">
      <c r="BB3922" s="94"/>
      <c r="BL3922" s="8">
        <v>3873</v>
      </c>
      <c r="BM3922" s="8">
        <v>4919573.6886757575</v>
      </c>
      <c r="BN3922" s="8">
        <v>1402588.900049773</v>
      </c>
      <c r="BO3922" s="8">
        <v>6322162.5887255305</v>
      </c>
      <c r="BP3922" s="8">
        <v>6211479.4463034784</v>
      </c>
      <c r="BQ3922" s="8">
        <v>-110683.1424220521</v>
      </c>
      <c r="BR3922" s="8" t="str">
        <v>Yes</v>
      </c>
    </row>
    <row r="3923" spans="54:70" x14ac:dyDescent="0.2">
      <c r="BB3923" s="94"/>
      <c r="BL3923" s="8">
        <v>3874</v>
      </c>
      <c r="BM3923" s="8">
        <v>1478511.184063561</v>
      </c>
      <c r="BN3923" s="8">
        <v>-52187.734971870144</v>
      </c>
      <c r="BO3923" s="8">
        <v>1426323.4490916908</v>
      </c>
      <c r="BP3923" s="8">
        <v>6123909.3448559977</v>
      </c>
      <c r="BQ3923" s="8">
        <v>4697585.8957643071</v>
      </c>
      <c r="BR3923" s="8" t="str">
        <v>No</v>
      </c>
    </row>
    <row r="3924" spans="54:70" x14ac:dyDescent="0.2">
      <c r="BB3924" s="94"/>
      <c r="BL3924" s="8">
        <v>3875</v>
      </c>
      <c r="BM3924" s="8">
        <v>7927398.2065735608</v>
      </c>
      <c r="BN3924" s="8">
        <v>0</v>
      </c>
      <c r="BO3924" s="8">
        <v>7927398.2065735608</v>
      </c>
      <c r="BP3924" s="8">
        <v>2225007.7374919094</v>
      </c>
      <c r="BQ3924" s="8">
        <v>-5702390.4690816514</v>
      </c>
      <c r="BR3924" s="8" t="str">
        <v>Yes</v>
      </c>
    </row>
    <row r="3925" spans="54:70" x14ac:dyDescent="0.2">
      <c r="BB3925" s="94"/>
      <c r="BL3925" s="8">
        <v>3876</v>
      </c>
      <c r="BM3925" s="8">
        <v>16004305.163000412</v>
      </c>
      <c r="BN3925" s="8">
        <v>0</v>
      </c>
      <c r="BO3925" s="8">
        <v>16004305.163000412</v>
      </c>
      <c r="BP3925" s="8">
        <v>6493522.807893049</v>
      </c>
      <c r="BQ3925" s="8">
        <v>-9510782.3551073633</v>
      </c>
      <c r="BR3925" s="8" t="str">
        <v>Yes</v>
      </c>
    </row>
    <row r="3926" spans="54:70" x14ac:dyDescent="0.2">
      <c r="BB3926" s="94"/>
      <c r="BL3926" s="8">
        <v>3877</v>
      </c>
      <c r="BM3926" s="8">
        <v>3537771.6110862913</v>
      </c>
      <c r="BN3926" s="8">
        <v>0</v>
      </c>
      <c r="BO3926" s="8">
        <v>3537771.6110862913</v>
      </c>
      <c r="BP3926" s="8">
        <v>6319121.3964195298</v>
      </c>
      <c r="BQ3926" s="8">
        <v>2781349.7853332385</v>
      </c>
      <c r="BR3926" s="8" t="str">
        <v>No</v>
      </c>
    </row>
    <row r="3927" spans="54:70" x14ac:dyDescent="0.2">
      <c r="BB3927" s="94"/>
      <c r="BL3927" s="8">
        <v>3878</v>
      </c>
      <c r="BM3927" s="8">
        <v>3308224.9040530715</v>
      </c>
      <c r="BN3927" s="8">
        <v>1736507.4486746634</v>
      </c>
      <c r="BO3927" s="8">
        <v>5044732.3527277354</v>
      </c>
      <c r="BP3927" s="8">
        <v>2374245.3345825379</v>
      </c>
      <c r="BQ3927" s="8">
        <v>-2670487.0181451975</v>
      </c>
      <c r="BR3927" s="8" t="str">
        <v>Yes</v>
      </c>
    </row>
    <row r="3928" spans="54:70" x14ac:dyDescent="0.2">
      <c r="BB3928" s="94"/>
      <c r="BL3928" s="8">
        <v>3879</v>
      </c>
      <c r="BM3928" s="8">
        <v>6485985.6305779386</v>
      </c>
      <c r="BN3928" s="8">
        <v>6816379.022452483</v>
      </c>
      <c r="BO3928" s="8">
        <v>13302364.653030422</v>
      </c>
      <c r="BP3928" s="8">
        <v>3944395.0441566734</v>
      </c>
      <c r="BQ3928" s="8">
        <v>-9357969.6088737473</v>
      </c>
      <c r="BR3928" s="8" t="str">
        <v>Yes</v>
      </c>
    </row>
    <row r="3929" spans="54:70" x14ac:dyDescent="0.2">
      <c r="BB3929" s="94"/>
      <c r="BL3929" s="8">
        <v>3880</v>
      </c>
      <c r="BM3929" s="8">
        <v>7915506.570082156</v>
      </c>
      <c r="BN3929" s="8">
        <v>5765071.1176005658</v>
      </c>
      <c r="BO3929" s="8">
        <v>13680577.687682722</v>
      </c>
      <c r="BP3929" s="8">
        <v>3401944.7632298358</v>
      </c>
      <c r="BQ3929" s="8">
        <v>-10278632.924452886</v>
      </c>
      <c r="BR3929" s="8" t="str">
        <v>Yes</v>
      </c>
    </row>
    <row r="3930" spans="54:70" x14ac:dyDescent="0.2">
      <c r="BB3930" s="94"/>
      <c r="BL3930" s="8">
        <v>3881</v>
      </c>
      <c r="BM3930" s="8">
        <v>3514448.8355967188</v>
      </c>
      <c r="BN3930" s="8">
        <v>2945121.1463127732</v>
      </c>
      <c r="BO3930" s="8">
        <v>6459569.9819094921</v>
      </c>
      <c r="BP3930" s="8">
        <v>3776583.5592348576</v>
      </c>
      <c r="BQ3930" s="8">
        <v>-2682986.4226746345</v>
      </c>
      <c r="BR3930" s="8" t="str">
        <v>Yes</v>
      </c>
    </row>
    <row r="3931" spans="54:70" x14ac:dyDescent="0.2">
      <c r="BB3931" s="94"/>
      <c r="BL3931" s="8">
        <v>3882</v>
      </c>
      <c r="BM3931" s="8">
        <v>3843597.3572452422</v>
      </c>
      <c r="BN3931" s="8">
        <v>0</v>
      </c>
      <c r="BO3931" s="8">
        <v>3843597.3572452422</v>
      </c>
      <c r="BP3931" s="8">
        <v>4244933.5930177011</v>
      </c>
      <c r="BQ3931" s="8">
        <v>401336.23577245884</v>
      </c>
      <c r="BR3931" s="8" t="str">
        <v>No</v>
      </c>
    </row>
    <row r="3932" spans="54:70" x14ac:dyDescent="0.2">
      <c r="BB3932" s="94"/>
      <c r="BL3932" s="8">
        <v>3883</v>
      </c>
      <c r="BM3932" s="8">
        <v>3623832.0354329692</v>
      </c>
      <c r="BN3932" s="8">
        <v>0</v>
      </c>
      <c r="BO3932" s="8">
        <v>3623832.0354329692</v>
      </c>
      <c r="BP3932" s="8">
        <v>6686787.9880375806</v>
      </c>
      <c r="BQ3932" s="8">
        <v>3062955.9526046114</v>
      </c>
      <c r="BR3932" s="8" t="str">
        <v>No</v>
      </c>
    </row>
    <row r="3933" spans="54:70" x14ac:dyDescent="0.2">
      <c r="BB3933" s="94"/>
      <c r="BL3933" s="8">
        <v>3884</v>
      </c>
      <c r="BM3933" s="8">
        <v>5973496.4378888821</v>
      </c>
      <c r="BN3933" s="8">
        <v>12792413.824707128</v>
      </c>
      <c r="BO3933" s="8">
        <v>18765910.262596011</v>
      </c>
      <c r="BP3933" s="8">
        <v>4186537.0490102</v>
      </c>
      <c r="BQ3933" s="8">
        <v>-14579373.213585811</v>
      </c>
      <c r="BR3933" s="8" t="str">
        <v>Yes</v>
      </c>
    </row>
    <row r="3934" spans="54:70" x14ac:dyDescent="0.2">
      <c r="BB3934" s="94"/>
      <c r="BL3934" s="8">
        <v>3885</v>
      </c>
      <c r="BM3934" s="8">
        <v>6285001.1053447295</v>
      </c>
      <c r="BN3934" s="8">
        <v>4358583.2347127665</v>
      </c>
      <c r="BO3934" s="8">
        <v>10643584.340057496</v>
      </c>
      <c r="BP3934" s="8">
        <v>6445426.7183035752</v>
      </c>
      <c r="BQ3934" s="8">
        <v>-4198157.6217539208</v>
      </c>
      <c r="BR3934" s="8" t="str">
        <v>Yes</v>
      </c>
    </row>
    <row r="3935" spans="54:70" x14ac:dyDescent="0.2">
      <c r="BB3935" s="94"/>
      <c r="BL3935" s="8">
        <v>3886</v>
      </c>
      <c r="BM3935" s="8">
        <v>3388210.0607689261</v>
      </c>
      <c r="BN3935" s="8">
        <v>0</v>
      </c>
      <c r="BO3935" s="8">
        <v>3388210.0607689261</v>
      </c>
      <c r="BP3935" s="8">
        <v>3238848.8414689661</v>
      </c>
      <c r="BQ3935" s="8">
        <v>-149361.21929995995</v>
      </c>
      <c r="BR3935" s="8" t="str">
        <v>Yes</v>
      </c>
    </row>
    <row r="3936" spans="54:70" x14ac:dyDescent="0.2">
      <c r="BB3936" s="94"/>
      <c r="BL3936" s="8">
        <v>3887</v>
      </c>
      <c r="BM3936" s="8">
        <v>4733730.0538703129</v>
      </c>
      <c r="BN3936" s="8">
        <v>6819790.7715122746</v>
      </c>
      <c r="BO3936" s="8">
        <v>11553520.825382587</v>
      </c>
      <c r="BP3936" s="8">
        <v>3414940.0529665113</v>
      </c>
      <c r="BQ3936" s="8">
        <v>-8138580.7724160757</v>
      </c>
      <c r="BR3936" s="8" t="str">
        <v>Yes</v>
      </c>
    </row>
    <row r="3937" spans="54:70" x14ac:dyDescent="0.2">
      <c r="BB3937" s="94"/>
      <c r="BL3937" s="8">
        <v>3888</v>
      </c>
      <c r="BM3937" s="8">
        <v>1510039.9846492494</v>
      </c>
      <c r="BN3937" s="8">
        <v>0</v>
      </c>
      <c r="BO3937" s="8">
        <v>1510039.9846492494</v>
      </c>
      <c r="BP3937" s="8">
        <v>3830905.258048811</v>
      </c>
      <c r="BQ3937" s="8">
        <v>2320865.2733995616</v>
      </c>
      <c r="BR3937" s="8" t="str">
        <v>No</v>
      </c>
    </row>
    <row r="3938" spans="54:70" x14ac:dyDescent="0.2">
      <c r="BB3938" s="94"/>
      <c r="BL3938" s="8">
        <v>3889</v>
      </c>
      <c r="BM3938" s="8">
        <v>2522719.4102938911</v>
      </c>
      <c r="BN3938" s="8">
        <v>0</v>
      </c>
      <c r="BO3938" s="8">
        <v>2522719.4102938911</v>
      </c>
      <c r="BP3938" s="8">
        <v>2212249.3222093885</v>
      </c>
      <c r="BQ3938" s="8">
        <v>-310470.08808450261</v>
      </c>
      <c r="BR3938" s="8" t="str">
        <v>Yes</v>
      </c>
    </row>
    <row r="3939" spans="54:70" x14ac:dyDescent="0.2">
      <c r="BB3939" s="94"/>
      <c r="BL3939" s="8">
        <v>3890</v>
      </c>
      <c r="BM3939" s="8">
        <v>7055550.2575874273</v>
      </c>
      <c r="BN3939" s="8">
        <v>5603687.5386503618</v>
      </c>
      <c r="BO3939" s="8">
        <v>12659237.796237789</v>
      </c>
      <c r="BP3939" s="8">
        <v>6417236.6039516041</v>
      </c>
      <c r="BQ3939" s="8">
        <v>-6242001.192286185</v>
      </c>
      <c r="BR3939" s="8" t="str">
        <v>Yes</v>
      </c>
    </row>
    <row r="3940" spans="54:70" x14ac:dyDescent="0.2">
      <c r="BB3940" s="94"/>
      <c r="BL3940" s="8">
        <v>3891</v>
      </c>
      <c r="BM3940" s="8">
        <v>7416843.7139409734</v>
      </c>
      <c r="BN3940" s="8">
        <v>5838142.8337832745</v>
      </c>
      <c r="BO3940" s="8">
        <v>13254986.547724247</v>
      </c>
      <c r="BP3940" s="8">
        <v>3977659.311812399</v>
      </c>
      <c r="BQ3940" s="8">
        <v>-9277327.235911848</v>
      </c>
      <c r="BR3940" s="8" t="str">
        <v>Yes</v>
      </c>
    </row>
    <row r="3941" spans="54:70" x14ac:dyDescent="0.2">
      <c r="BB3941" s="94"/>
      <c r="BL3941" s="8">
        <v>3892</v>
      </c>
      <c r="BM3941" s="8">
        <v>3506659.7429428534</v>
      </c>
      <c r="BN3941" s="8">
        <v>4452154.515818445</v>
      </c>
      <c r="BO3941" s="8">
        <v>7958814.2587612979</v>
      </c>
      <c r="BP3941" s="8">
        <v>2183461.9838264147</v>
      </c>
      <c r="BQ3941" s="8">
        <v>-5775352.2749348832</v>
      </c>
      <c r="BR3941" s="8" t="str">
        <v>Yes</v>
      </c>
    </row>
    <row r="3942" spans="54:70" x14ac:dyDescent="0.2">
      <c r="BB3942" s="94"/>
      <c r="BL3942" s="8">
        <v>3893</v>
      </c>
      <c r="BM3942" s="8">
        <v>4571040.1378418272</v>
      </c>
      <c r="BN3942" s="8">
        <v>5193123.995890866</v>
      </c>
      <c r="BO3942" s="8">
        <v>9764164.1337326933</v>
      </c>
      <c r="BP3942" s="8">
        <v>1969481.7073427336</v>
      </c>
      <c r="BQ3942" s="8">
        <v>-7794682.4263899596</v>
      </c>
      <c r="BR3942" s="8" t="str">
        <v>Yes</v>
      </c>
    </row>
    <row r="3943" spans="54:70" x14ac:dyDescent="0.2">
      <c r="BB3943" s="94"/>
      <c r="BL3943" s="8">
        <v>3894</v>
      </c>
      <c r="BM3943" s="8">
        <v>3516202.1896237643</v>
      </c>
      <c r="BN3943" s="8">
        <v>3404948.0984849823</v>
      </c>
      <c r="BO3943" s="8">
        <v>6921150.2881087465</v>
      </c>
      <c r="BP3943" s="8">
        <v>1963967.8780019614</v>
      </c>
      <c r="BQ3943" s="8">
        <v>-4957182.4101067856</v>
      </c>
      <c r="BR3943" s="8" t="str">
        <v>Yes</v>
      </c>
    </row>
    <row r="3944" spans="54:70" x14ac:dyDescent="0.2">
      <c r="BB3944" s="94"/>
      <c r="BL3944" s="8">
        <v>3895</v>
      </c>
      <c r="BM3944" s="8">
        <v>1874811.4765100197</v>
      </c>
      <c r="BN3944" s="8">
        <v>0</v>
      </c>
      <c r="BO3944" s="8">
        <v>1874811.4765100197</v>
      </c>
      <c r="BP3944" s="8">
        <v>3310875.9671634589</v>
      </c>
      <c r="BQ3944" s="8">
        <v>1436064.4906534392</v>
      </c>
      <c r="BR3944" s="8" t="str">
        <v>No</v>
      </c>
    </row>
    <row r="3945" spans="54:70" x14ac:dyDescent="0.2">
      <c r="BB3945" s="94"/>
      <c r="BL3945" s="8">
        <v>3896</v>
      </c>
      <c r="BM3945" s="8">
        <v>4987241.6784927724</v>
      </c>
      <c r="BN3945" s="8">
        <v>0</v>
      </c>
      <c r="BO3945" s="8">
        <v>4987241.6784927724</v>
      </c>
      <c r="BP3945" s="8">
        <v>4084399.4797006231</v>
      </c>
      <c r="BQ3945" s="8">
        <v>-902842.19879214931</v>
      </c>
      <c r="BR3945" s="8" t="str">
        <v>Yes</v>
      </c>
    </row>
    <row r="3946" spans="54:70" x14ac:dyDescent="0.2">
      <c r="BB3946" s="94"/>
      <c r="BL3946" s="8">
        <v>3897</v>
      </c>
      <c r="BM3946" s="8">
        <v>6617369.5466371495</v>
      </c>
      <c r="BN3946" s="8">
        <v>0</v>
      </c>
      <c r="BO3946" s="8">
        <v>6617369.5466371495</v>
      </c>
      <c r="BP3946" s="8">
        <v>4499326.7871598294</v>
      </c>
      <c r="BQ3946" s="8">
        <v>-2118042.7594773201</v>
      </c>
      <c r="BR3946" s="8" t="str">
        <v>Yes</v>
      </c>
    </row>
    <row r="3947" spans="54:70" x14ac:dyDescent="0.2">
      <c r="BB3947" s="94"/>
      <c r="BL3947" s="8">
        <v>3898</v>
      </c>
      <c r="BM3947" s="8">
        <v>2971900.6267273417</v>
      </c>
      <c r="BN3947" s="8">
        <v>0</v>
      </c>
      <c r="BO3947" s="8">
        <v>2971900.6267273417</v>
      </c>
      <c r="BP3947" s="8">
        <v>2306291.8122599428</v>
      </c>
      <c r="BQ3947" s="8">
        <v>-665608.81446739892</v>
      </c>
      <c r="BR3947" s="8" t="str">
        <v>Yes</v>
      </c>
    </row>
    <row r="3948" spans="54:70" x14ac:dyDescent="0.2">
      <c r="BB3948" s="94"/>
      <c r="BL3948" s="8">
        <v>3899</v>
      </c>
      <c r="BM3948" s="8">
        <v>3362164.5141158011</v>
      </c>
      <c r="BN3948" s="8">
        <v>1996839.6433892583</v>
      </c>
      <c r="BO3948" s="8">
        <v>5359004.1575050596</v>
      </c>
      <c r="BP3948" s="8">
        <v>6173036.466571725</v>
      </c>
      <c r="BQ3948" s="8">
        <v>814032.30906666536</v>
      </c>
      <c r="BR3948" s="8" t="str">
        <v>No</v>
      </c>
    </row>
    <row r="3949" spans="54:70" x14ac:dyDescent="0.2">
      <c r="BB3949" s="94"/>
      <c r="BL3949" s="8">
        <v>3900</v>
      </c>
      <c r="BM3949" s="8">
        <v>2391300.3269930803</v>
      </c>
      <c r="BN3949" s="8">
        <v>0</v>
      </c>
      <c r="BO3949" s="8">
        <v>2391300.3269930803</v>
      </c>
      <c r="BP3949" s="8">
        <v>4099706.9184755608</v>
      </c>
      <c r="BQ3949" s="8">
        <v>1708406.5914824805</v>
      </c>
      <c r="BR3949" s="8" t="str">
        <v>No</v>
      </c>
    </row>
    <row r="3950" spans="54:70" x14ac:dyDescent="0.2">
      <c r="BB3950" s="94"/>
      <c r="BL3950" s="8">
        <v>3901</v>
      </c>
      <c r="BM3950" s="8">
        <v>2820241.5893094921</v>
      </c>
      <c r="BN3950" s="8">
        <v>0</v>
      </c>
      <c r="BO3950" s="8">
        <v>2820241.5893094921</v>
      </c>
      <c r="BP3950" s="8">
        <v>3142978.3506900785</v>
      </c>
      <c r="BQ3950" s="8">
        <v>322736.76138058631</v>
      </c>
      <c r="BR3950" s="8" t="str">
        <v>No</v>
      </c>
    </row>
    <row r="3951" spans="54:70" x14ac:dyDescent="0.2">
      <c r="BB3951" s="94"/>
      <c r="BL3951" s="8">
        <v>3902</v>
      </c>
      <c r="BM3951" s="8">
        <v>2800285.1459621824</v>
      </c>
      <c r="BN3951" s="8">
        <v>0</v>
      </c>
      <c r="BO3951" s="8">
        <v>2800285.1459621824</v>
      </c>
      <c r="BP3951" s="8">
        <v>4068052.7872676589</v>
      </c>
      <c r="BQ3951" s="8">
        <v>1267767.6413054764</v>
      </c>
      <c r="BR3951" s="8" t="str">
        <v>No</v>
      </c>
    </row>
    <row r="3952" spans="54:70" x14ac:dyDescent="0.2">
      <c r="BB3952" s="94"/>
      <c r="BL3952" s="8">
        <v>3903</v>
      </c>
      <c r="BM3952" s="8">
        <v>4011330.8294880888</v>
      </c>
      <c r="BN3952" s="8">
        <v>0</v>
      </c>
      <c r="BO3952" s="8">
        <v>4011330.8294880888</v>
      </c>
      <c r="BP3952" s="8">
        <v>6349660.599233848</v>
      </c>
      <c r="BQ3952" s="8">
        <v>2338329.7697457592</v>
      </c>
      <c r="BR3952" s="8" t="str">
        <v>No</v>
      </c>
    </row>
    <row r="3953" spans="54:70" x14ac:dyDescent="0.2">
      <c r="BB3953" s="94"/>
      <c r="BL3953" s="8">
        <v>3904</v>
      </c>
      <c r="BM3953" s="8">
        <v>1664361.2336159574</v>
      </c>
      <c r="BN3953" s="8">
        <v>1299117.0461546015</v>
      </c>
      <c r="BO3953" s="8">
        <v>2963478.2797705587</v>
      </c>
      <c r="BP3953" s="8">
        <v>2304392.2502355287</v>
      </c>
      <c r="BQ3953" s="8">
        <v>-659086.02953503001</v>
      </c>
      <c r="BR3953" s="8" t="str">
        <v>Yes</v>
      </c>
    </row>
    <row r="3954" spans="54:70" x14ac:dyDescent="0.2">
      <c r="BB3954" s="94"/>
      <c r="BL3954" s="8">
        <v>3905</v>
      </c>
      <c r="BM3954" s="8">
        <v>9384483.1586343441</v>
      </c>
      <c r="BN3954" s="8">
        <v>4677862.5723896222</v>
      </c>
      <c r="BO3954" s="8">
        <v>14062345.731023967</v>
      </c>
      <c r="BP3954" s="8">
        <v>4194247.6763636163</v>
      </c>
      <c r="BQ3954" s="8">
        <v>-9868098.0546603501</v>
      </c>
      <c r="BR3954" s="8" t="str">
        <v>Yes</v>
      </c>
    </row>
    <row r="3955" spans="54:70" x14ac:dyDescent="0.2">
      <c r="BB3955" s="94"/>
      <c r="BL3955" s="8">
        <v>3906</v>
      </c>
      <c r="BM3955" s="8">
        <v>6587142.5028634779</v>
      </c>
      <c r="BN3955" s="8">
        <v>0</v>
      </c>
      <c r="BO3955" s="8">
        <v>6587142.5028634779</v>
      </c>
      <c r="BP3955" s="8">
        <v>2059512.8361531661</v>
      </c>
      <c r="BQ3955" s="8">
        <v>-4527629.6667103115</v>
      </c>
      <c r="BR3955" s="8" t="str">
        <v>Yes</v>
      </c>
    </row>
    <row r="3956" spans="54:70" x14ac:dyDescent="0.2">
      <c r="BB3956" s="94"/>
      <c r="BL3956" s="8">
        <v>3907</v>
      </c>
      <c r="BM3956" s="8">
        <v>3884537.6189036202</v>
      </c>
      <c r="BN3956" s="8">
        <v>0</v>
      </c>
      <c r="BO3956" s="8">
        <v>3884537.6189036202</v>
      </c>
      <c r="BP3956" s="8">
        <v>6410571.2172516631</v>
      </c>
      <c r="BQ3956" s="8">
        <v>2526033.5983480429</v>
      </c>
      <c r="BR3956" s="8" t="str">
        <v>No</v>
      </c>
    </row>
    <row r="3957" spans="54:70" x14ac:dyDescent="0.2">
      <c r="BB3957" s="94"/>
      <c r="BL3957" s="8">
        <v>3908</v>
      </c>
      <c r="BM3957" s="8">
        <v>2652417.0535930404</v>
      </c>
      <c r="BN3957" s="8">
        <v>4199091.7411355404</v>
      </c>
      <c r="BO3957" s="8">
        <v>6851508.7947285809</v>
      </c>
      <c r="BP3957" s="8">
        <v>2303014.8695637016</v>
      </c>
      <c r="BQ3957" s="8">
        <v>-4548493.9251648793</v>
      </c>
      <c r="BR3957" s="8" t="str">
        <v>Yes</v>
      </c>
    </row>
    <row r="3958" spans="54:70" x14ac:dyDescent="0.2">
      <c r="BB3958" s="94"/>
      <c r="BL3958" s="8">
        <v>3909</v>
      </c>
      <c r="BM3958" s="8">
        <v>1857937.5092445584</v>
      </c>
      <c r="BN3958" s="8">
        <v>2085920.7316495059</v>
      </c>
      <c r="BO3958" s="8">
        <v>3943858.2408940643</v>
      </c>
      <c r="BP3958" s="8">
        <v>2279620.4554265877</v>
      </c>
      <c r="BQ3958" s="8">
        <v>-1664237.7854674766</v>
      </c>
      <c r="BR3958" s="8" t="str">
        <v>Yes</v>
      </c>
    </row>
    <row r="3959" spans="54:70" x14ac:dyDescent="0.2">
      <c r="BB3959" s="94"/>
      <c r="BL3959" s="8">
        <v>3910</v>
      </c>
      <c r="BM3959" s="8">
        <v>3652975.8126249439</v>
      </c>
      <c r="BN3959" s="8">
        <v>3010151.0444972245</v>
      </c>
      <c r="BO3959" s="8">
        <v>6663126.8571221679</v>
      </c>
      <c r="BP3959" s="8">
        <v>3302615.9848042405</v>
      </c>
      <c r="BQ3959" s="8">
        <v>-3360510.8723179274</v>
      </c>
      <c r="BR3959" s="8" t="str">
        <v>Yes</v>
      </c>
    </row>
    <row r="3960" spans="54:70" x14ac:dyDescent="0.2">
      <c r="BB3960" s="94"/>
      <c r="BL3960" s="8">
        <v>3911</v>
      </c>
      <c r="BM3960" s="8">
        <v>5924576.4353303704</v>
      </c>
      <c r="BN3960" s="8">
        <v>4216636.6785332141</v>
      </c>
      <c r="BO3960" s="8">
        <v>10141213.113863584</v>
      </c>
      <c r="BP3960" s="8">
        <v>2253054.4244163213</v>
      </c>
      <c r="BQ3960" s="8">
        <v>-7888158.6894472623</v>
      </c>
      <c r="BR3960" s="8" t="str">
        <v>Yes</v>
      </c>
    </row>
    <row r="3961" spans="54:70" x14ac:dyDescent="0.2">
      <c r="BB3961" s="94"/>
      <c r="BL3961" s="8">
        <v>3912</v>
      </c>
      <c r="BM3961" s="8">
        <v>5051026.8648185059</v>
      </c>
      <c r="BN3961" s="8">
        <v>4313002.0398733094</v>
      </c>
      <c r="BO3961" s="8">
        <v>9364028.9046918154</v>
      </c>
      <c r="BP3961" s="8">
        <v>2443238.1548252953</v>
      </c>
      <c r="BQ3961" s="8">
        <v>-6920790.7498665201</v>
      </c>
      <c r="BR3961" s="8" t="str">
        <v>Yes</v>
      </c>
    </row>
    <row r="3962" spans="54:70" x14ac:dyDescent="0.2">
      <c r="BB3962" s="94"/>
      <c r="BL3962" s="8">
        <v>3913</v>
      </c>
      <c r="BM3962" s="8">
        <v>4385308.6968766851</v>
      </c>
      <c r="BN3962" s="8">
        <v>2379671.6362882685</v>
      </c>
      <c r="BO3962" s="8">
        <v>6764980.3331649536</v>
      </c>
      <c r="BP3962" s="8">
        <v>2365818.2856193837</v>
      </c>
      <c r="BQ3962" s="8">
        <v>-4399162.0475455699</v>
      </c>
      <c r="BR3962" s="8" t="str">
        <v>Yes</v>
      </c>
    </row>
    <row r="3963" spans="54:70" x14ac:dyDescent="0.2">
      <c r="BB3963" s="94"/>
      <c r="BL3963" s="8">
        <v>3914</v>
      </c>
      <c r="BM3963" s="8">
        <v>5060717.6103235288</v>
      </c>
      <c r="BN3963" s="8">
        <v>0</v>
      </c>
      <c r="BO3963" s="8">
        <v>5060717.6103235288</v>
      </c>
      <c r="BP3963" s="8">
        <v>3952611.2329288991</v>
      </c>
      <c r="BQ3963" s="8">
        <v>-1108106.3773946296</v>
      </c>
      <c r="BR3963" s="8" t="str">
        <v>Yes</v>
      </c>
    </row>
    <row r="3964" spans="54:70" x14ac:dyDescent="0.2">
      <c r="BB3964" s="94"/>
      <c r="BL3964" s="8">
        <v>3915</v>
      </c>
      <c r="BM3964" s="8">
        <v>1428248.9174409602</v>
      </c>
      <c r="BN3964" s="8">
        <v>0</v>
      </c>
      <c r="BO3964" s="8">
        <v>1428248.9174409602</v>
      </c>
      <c r="BP3964" s="8">
        <v>2515920.1191438674</v>
      </c>
      <c r="BQ3964" s="8">
        <v>1087671.2017029072</v>
      </c>
      <c r="BR3964" s="8" t="str">
        <v>No</v>
      </c>
    </row>
    <row r="3965" spans="54:70" x14ac:dyDescent="0.2">
      <c r="BB3965" s="94"/>
      <c r="BL3965" s="8">
        <v>3916</v>
      </c>
      <c r="BM3965" s="8">
        <v>4354128.0938660959</v>
      </c>
      <c r="BN3965" s="8">
        <v>0</v>
      </c>
      <c r="BO3965" s="8">
        <v>4354128.0938660959</v>
      </c>
      <c r="BP3965" s="8">
        <v>4258889.3098350903</v>
      </c>
      <c r="BQ3965" s="8">
        <v>-95238.784031005576</v>
      </c>
      <c r="BR3965" s="8" t="str">
        <v>Yes</v>
      </c>
    </row>
    <row r="3966" spans="54:70" x14ac:dyDescent="0.2">
      <c r="BB3966" s="94"/>
      <c r="BL3966" s="8">
        <v>3917</v>
      </c>
      <c r="BM3966" s="8">
        <v>9631578.4727561697</v>
      </c>
      <c r="BN3966" s="8">
        <v>0</v>
      </c>
      <c r="BO3966" s="8">
        <v>9631578.4727561697</v>
      </c>
      <c r="BP3966" s="8">
        <v>3479939.657077013</v>
      </c>
      <c r="BQ3966" s="8">
        <v>-6151638.8156791572</v>
      </c>
      <c r="BR3966" s="8" t="str">
        <v>Yes</v>
      </c>
    </row>
    <row r="3967" spans="54:70" x14ac:dyDescent="0.2">
      <c r="BB3967" s="94"/>
      <c r="BL3967" s="8">
        <v>3918</v>
      </c>
      <c r="BM3967" s="8">
        <v>12963852.402944122</v>
      </c>
      <c r="BN3967" s="8">
        <v>12465389.413315959</v>
      </c>
      <c r="BO3967" s="8">
        <v>25429241.816260081</v>
      </c>
      <c r="BP3967" s="8">
        <v>4320024.3190589631</v>
      </c>
      <c r="BQ3967" s="8">
        <v>-21109217.497201119</v>
      </c>
      <c r="BR3967" s="8" t="str">
        <v>Yes</v>
      </c>
    </row>
    <row r="3968" spans="54:70" x14ac:dyDescent="0.2">
      <c r="BB3968" s="94"/>
      <c r="BL3968" s="8">
        <v>3919</v>
      </c>
      <c r="BM3968" s="8">
        <v>6140308.8662979137</v>
      </c>
      <c r="BN3968" s="8">
        <v>0</v>
      </c>
      <c r="BO3968" s="8">
        <v>6140308.8662979137</v>
      </c>
      <c r="BP3968" s="8">
        <v>6167448.4615146434</v>
      </c>
      <c r="BQ3968" s="8">
        <v>27139.595216729678</v>
      </c>
      <c r="BR3968" s="8" t="str">
        <v>No</v>
      </c>
    </row>
    <row r="3969" spans="54:70" x14ac:dyDescent="0.2">
      <c r="BB3969" s="94"/>
      <c r="BL3969" s="8">
        <v>3920</v>
      </c>
      <c r="BM3969" s="8">
        <v>3358734.3732659579</v>
      </c>
      <c r="BN3969" s="8">
        <v>0</v>
      </c>
      <c r="BO3969" s="8">
        <v>3358734.3732659579</v>
      </c>
      <c r="BP3969" s="8">
        <v>5994804.9356495412</v>
      </c>
      <c r="BQ3969" s="8">
        <v>2636070.5623835833</v>
      </c>
      <c r="BR3969" s="8" t="str">
        <v>No</v>
      </c>
    </row>
    <row r="3970" spans="54:70" x14ac:dyDescent="0.2">
      <c r="BB3970" s="94"/>
      <c r="BL3970" s="8">
        <v>3921</v>
      </c>
      <c r="BM3970" s="8">
        <v>19144736.895157132</v>
      </c>
      <c r="BN3970" s="8">
        <v>17057603.58898937</v>
      </c>
      <c r="BO3970" s="8">
        <v>36202340.484146506</v>
      </c>
      <c r="BP3970" s="8">
        <v>4023924.0857172366</v>
      </c>
      <c r="BQ3970" s="8">
        <v>-32178416.398429267</v>
      </c>
      <c r="BR3970" s="8" t="str">
        <v>Yes</v>
      </c>
    </row>
    <row r="3971" spans="54:70" x14ac:dyDescent="0.2">
      <c r="BB3971" s="94"/>
      <c r="BL3971" s="8">
        <v>3922</v>
      </c>
      <c r="BM3971" s="8">
        <v>2817636.4553938224</v>
      </c>
      <c r="BN3971" s="8">
        <v>2250656.478619724</v>
      </c>
      <c r="BO3971" s="8">
        <v>5068292.9340135464</v>
      </c>
      <c r="BP3971" s="8">
        <v>2436327.6562127857</v>
      </c>
      <c r="BQ3971" s="8">
        <v>-2631965.2778007607</v>
      </c>
      <c r="BR3971" s="8" t="str">
        <v>Yes</v>
      </c>
    </row>
    <row r="3972" spans="54:70" x14ac:dyDescent="0.2">
      <c r="BB3972" s="94"/>
      <c r="BL3972" s="8">
        <v>3923</v>
      </c>
      <c r="BM3972" s="8">
        <v>5510536.0754220225</v>
      </c>
      <c r="BN3972" s="8">
        <v>0</v>
      </c>
      <c r="BO3972" s="8">
        <v>5510536.0754220225</v>
      </c>
      <c r="BP3972" s="8">
        <v>4314499.6146644587</v>
      </c>
      <c r="BQ3972" s="8">
        <v>-1196036.4607575638</v>
      </c>
      <c r="BR3972" s="8" t="str">
        <v>Yes</v>
      </c>
    </row>
    <row r="3973" spans="54:70" x14ac:dyDescent="0.2">
      <c r="BB3973" s="94"/>
      <c r="BL3973" s="8">
        <v>3924</v>
      </c>
      <c r="BM3973" s="8">
        <v>2057789.5187526629</v>
      </c>
      <c r="BN3973" s="8">
        <v>0</v>
      </c>
      <c r="BO3973" s="8">
        <v>2057789.5187526629</v>
      </c>
      <c r="BP3973" s="8">
        <v>2132821.0895066303</v>
      </c>
      <c r="BQ3973" s="8">
        <v>75031.570753967389</v>
      </c>
      <c r="BR3973" s="8" t="str">
        <v>No</v>
      </c>
    </row>
    <row r="3974" spans="54:70" x14ac:dyDescent="0.2">
      <c r="BB3974" s="94"/>
      <c r="BL3974" s="8">
        <v>3925</v>
      </c>
      <c r="BM3974" s="8">
        <v>7026507.9146001963</v>
      </c>
      <c r="BN3974" s="8">
        <v>7540298.1855516843</v>
      </c>
      <c r="BO3974" s="8">
        <v>14566806.100151882</v>
      </c>
      <c r="BP3974" s="8">
        <v>4076949.2843130855</v>
      </c>
      <c r="BQ3974" s="8">
        <v>-10489856.815838795</v>
      </c>
      <c r="BR3974" s="8" t="str">
        <v>Yes</v>
      </c>
    </row>
    <row r="3975" spans="54:70" x14ac:dyDescent="0.2">
      <c r="BB3975" s="94"/>
      <c r="BL3975" s="8">
        <v>3926</v>
      </c>
      <c r="BM3975" s="8">
        <v>3872506.3847926101</v>
      </c>
      <c r="BN3975" s="8">
        <v>0</v>
      </c>
      <c r="BO3975" s="8">
        <v>3872506.3847926101</v>
      </c>
      <c r="BP3975" s="8">
        <v>6135998.2448795419</v>
      </c>
      <c r="BQ3975" s="8">
        <v>2263491.8600869318</v>
      </c>
      <c r="BR3975" s="8" t="str">
        <v>No</v>
      </c>
    </row>
    <row r="3976" spans="54:70" x14ac:dyDescent="0.2">
      <c r="BB3976" s="94"/>
      <c r="BL3976" s="8">
        <v>3927</v>
      </c>
      <c r="BM3976" s="8">
        <v>7446717.9325650409</v>
      </c>
      <c r="BN3976" s="8">
        <v>0</v>
      </c>
      <c r="BO3976" s="8">
        <v>7446717.9325650409</v>
      </c>
      <c r="BP3976" s="8">
        <v>4192139.9063793626</v>
      </c>
      <c r="BQ3976" s="8">
        <v>-3254578.0261856783</v>
      </c>
      <c r="BR3976" s="8" t="str">
        <v>Yes</v>
      </c>
    </row>
    <row r="3977" spans="54:70" x14ac:dyDescent="0.2">
      <c r="BB3977" s="94"/>
      <c r="BL3977" s="8">
        <v>3928</v>
      </c>
      <c r="BM3977" s="8">
        <v>2932157.3856016221</v>
      </c>
      <c r="BN3977" s="8">
        <v>2259557.6336536589</v>
      </c>
      <c r="BO3977" s="8">
        <v>5191715.0192552805</v>
      </c>
      <c r="BP3977" s="8">
        <v>2340600.8692499651</v>
      </c>
      <c r="BQ3977" s="8">
        <v>-2851114.1500053154</v>
      </c>
      <c r="BR3977" s="8" t="str">
        <v>Yes</v>
      </c>
    </row>
    <row r="3978" spans="54:70" x14ac:dyDescent="0.2">
      <c r="BB3978" s="94"/>
      <c r="BL3978" s="8">
        <v>3929</v>
      </c>
      <c r="BM3978" s="8">
        <v>5060093.381110522</v>
      </c>
      <c r="BN3978" s="8">
        <v>3456488.2290533655</v>
      </c>
      <c r="BO3978" s="8">
        <v>8516581.610163888</v>
      </c>
      <c r="BP3978" s="8">
        <v>2218683.5349732982</v>
      </c>
      <c r="BQ3978" s="8">
        <v>-6297898.0751905898</v>
      </c>
      <c r="BR3978" s="8" t="str">
        <v>Yes</v>
      </c>
    </row>
    <row r="3979" spans="54:70" x14ac:dyDescent="0.2">
      <c r="BB3979" s="94"/>
      <c r="BL3979" s="8">
        <v>3930</v>
      </c>
      <c r="BM3979" s="8">
        <v>4361358.9965081709</v>
      </c>
      <c r="BN3979" s="8">
        <v>0</v>
      </c>
      <c r="BO3979" s="8">
        <v>4361358.9965081709</v>
      </c>
      <c r="BP3979" s="8">
        <v>3232683.2083895043</v>
      </c>
      <c r="BQ3979" s="8">
        <v>-1128675.7881186665</v>
      </c>
      <c r="BR3979" s="8" t="str">
        <v>Yes</v>
      </c>
    </row>
    <row r="3980" spans="54:70" x14ac:dyDescent="0.2">
      <c r="BB3980" s="94"/>
      <c r="BL3980" s="8">
        <v>3931</v>
      </c>
      <c r="BM3980" s="8">
        <v>5929529.8265930349</v>
      </c>
      <c r="BN3980" s="8">
        <v>0</v>
      </c>
      <c r="BO3980" s="8">
        <v>5929529.8265930349</v>
      </c>
      <c r="BP3980" s="8">
        <v>4243807.3579458203</v>
      </c>
      <c r="BQ3980" s="8">
        <v>-1685722.4686472146</v>
      </c>
      <c r="BR3980" s="8" t="str">
        <v>Yes</v>
      </c>
    </row>
    <row r="3981" spans="54:70" x14ac:dyDescent="0.2">
      <c r="BB3981" s="94"/>
      <c r="BL3981" s="8">
        <v>3932</v>
      </c>
      <c r="BM3981" s="8">
        <v>8183884.3652216904</v>
      </c>
      <c r="BN3981" s="8">
        <v>0</v>
      </c>
      <c r="BO3981" s="8">
        <v>8183884.3652216904</v>
      </c>
      <c r="BP3981" s="8">
        <v>3392368.8613805585</v>
      </c>
      <c r="BQ3981" s="8">
        <v>-4791515.5038411319</v>
      </c>
      <c r="BR3981" s="8" t="str">
        <v>Yes</v>
      </c>
    </row>
    <row r="3982" spans="54:70" x14ac:dyDescent="0.2">
      <c r="BB3982" s="94"/>
      <c r="BL3982" s="8">
        <v>3933</v>
      </c>
      <c r="BM3982" s="8">
        <v>2549128.5531943496</v>
      </c>
      <c r="BN3982" s="8">
        <v>0</v>
      </c>
      <c r="BO3982" s="8">
        <v>2549128.5531943496</v>
      </c>
      <c r="BP3982" s="8">
        <v>2278325.2412253465</v>
      </c>
      <c r="BQ3982" s="8">
        <v>-270803.31196900317</v>
      </c>
      <c r="BR3982" s="8" t="str">
        <v>Yes</v>
      </c>
    </row>
    <row r="3983" spans="54:70" x14ac:dyDescent="0.2">
      <c r="BB3983" s="94"/>
      <c r="BL3983" s="8">
        <v>3934</v>
      </c>
      <c r="BM3983" s="8">
        <v>1515894.2122859203</v>
      </c>
      <c r="BN3983" s="8">
        <v>0</v>
      </c>
      <c r="BO3983" s="8">
        <v>1515894.2122859203</v>
      </c>
      <c r="BP3983" s="8">
        <v>3484589.654731933</v>
      </c>
      <c r="BQ3983" s="8">
        <v>1968695.4424460127</v>
      </c>
      <c r="BR3983" s="8" t="str">
        <v>No</v>
      </c>
    </row>
    <row r="3984" spans="54:70" x14ac:dyDescent="0.2">
      <c r="BB3984" s="94"/>
      <c r="BL3984" s="8">
        <v>3935</v>
      </c>
      <c r="BM3984" s="8">
        <v>3411312.9935391797</v>
      </c>
      <c r="BN3984" s="8">
        <v>3150080.0117866304</v>
      </c>
      <c r="BO3984" s="8">
        <v>6561393.0053258101</v>
      </c>
      <c r="BP3984" s="8">
        <v>3014643.132182234</v>
      </c>
      <c r="BQ3984" s="8">
        <v>-3546749.8731435761</v>
      </c>
      <c r="BR3984" s="8" t="str">
        <v>Yes</v>
      </c>
    </row>
    <row r="3985" spans="54:70" x14ac:dyDescent="0.2">
      <c r="BB3985" s="94"/>
      <c r="BL3985" s="8">
        <v>3936</v>
      </c>
      <c r="BM3985" s="8">
        <v>4142322.6260078289</v>
      </c>
      <c r="BN3985" s="8">
        <v>0</v>
      </c>
      <c r="BO3985" s="8">
        <v>4142322.6260078289</v>
      </c>
      <c r="BP3985" s="8">
        <v>5732763.8758785166</v>
      </c>
      <c r="BQ3985" s="8">
        <v>1590441.2498706877</v>
      </c>
      <c r="BR3985" s="8" t="str">
        <v>No</v>
      </c>
    </row>
    <row r="3986" spans="54:70" x14ac:dyDescent="0.2">
      <c r="BB3986" s="94"/>
      <c r="BL3986" s="8">
        <v>3937</v>
      </c>
      <c r="BM3986" s="8">
        <v>8770429.105298264</v>
      </c>
      <c r="BN3986" s="8">
        <v>0</v>
      </c>
      <c r="BO3986" s="8">
        <v>8770429.105298264</v>
      </c>
      <c r="BP3986" s="8">
        <v>6401754.0862087654</v>
      </c>
      <c r="BQ3986" s="8">
        <v>-2368675.0190894986</v>
      </c>
      <c r="BR3986" s="8" t="str">
        <v>Yes</v>
      </c>
    </row>
    <row r="3987" spans="54:70" x14ac:dyDescent="0.2">
      <c r="BB3987" s="94"/>
      <c r="BL3987" s="8">
        <v>3938</v>
      </c>
      <c r="BM3987" s="8">
        <v>2928156.6512975227</v>
      </c>
      <c r="BN3987" s="8">
        <v>1818975.6800764522</v>
      </c>
      <c r="BO3987" s="8">
        <v>4747132.3313739747</v>
      </c>
      <c r="BP3987" s="8">
        <v>4453709.6726044938</v>
      </c>
      <c r="BQ3987" s="8">
        <v>-293422.65876948088</v>
      </c>
      <c r="BR3987" s="8" t="str">
        <v>Yes</v>
      </c>
    </row>
    <row r="3988" spans="54:70" x14ac:dyDescent="0.2">
      <c r="BB3988" s="94"/>
      <c r="BL3988" s="8">
        <v>3939</v>
      </c>
      <c r="BM3988" s="8">
        <v>5439813.8634166755</v>
      </c>
      <c r="BN3988" s="8">
        <v>0</v>
      </c>
      <c r="BO3988" s="8">
        <v>5439813.8634166755</v>
      </c>
      <c r="BP3988" s="8">
        <v>6346672.4805748826</v>
      </c>
      <c r="BQ3988" s="8">
        <v>906858.61715820711</v>
      </c>
      <c r="BR3988" s="8" t="str">
        <v>No</v>
      </c>
    </row>
    <row r="3989" spans="54:70" x14ac:dyDescent="0.2">
      <c r="BB3989" s="94"/>
      <c r="BL3989" s="8">
        <v>3940</v>
      </c>
      <c r="BM3989" s="8">
        <v>3094543.0633479175</v>
      </c>
      <c r="BN3989" s="8">
        <v>2283453.8948375015</v>
      </c>
      <c r="BO3989" s="8">
        <v>5377996.9581854194</v>
      </c>
      <c r="BP3989" s="8">
        <v>3459564.0925588193</v>
      </c>
      <c r="BQ3989" s="8">
        <v>-1918432.8656266001</v>
      </c>
      <c r="BR3989" s="8" t="str">
        <v>Yes</v>
      </c>
    </row>
    <row r="3990" spans="54:70" x14ac:dyDescent="0.2">
      <c r="BB3990" s="94"/>
      <c r="BL3990" s="8">
        <v>3941</v>
      </c>
      <c r="BM3990" s="8">
        <v>3750530.244811506</v>
      </c>
      <c r="BN3990" s="8">
        <v>0</v>
      </c>
      <c r="BO3990" s="8">
        <v>3750530.244811506</v>
      </c>
      <c r="BP3990" s="8">
        <v>3341946.1432298063</v>
      </c>
      <c r="BQ3990" s="8">
        <v>-408584.10158169968</v>
      </c>
      <c r="BR3990" s="8" t="str">
        <v>Yes</v>
      </c>
    </row>
    <row r="3991" spans="54:70" x14ac:dyDescent="0.2">
      <c r="BB3991" s="94"/>
      <c r="BL3991" s="8">
        <v>3942</v>
      </c>
      <c r="BM3991" s="8">
        <v>10713284.52159518</v>
      </c>
      <c r="BN3991" s="8">
        <v>0</v>
      </c>
      <c r="BO3991" s="8">
        <v>10713284.52159518</v>
      </c>
      <c r="BP3991" s="8">
        <v>2266069.3688384532</v>
      </c>
      <c r="BQ3991" s="8">
        <v>-8447215.1527567264</v>
      </c>
      <c r="BR3991" s="8" t="str">
        <v>Yes</v>
      </c>
    </row>
    <row r="3992" spans="54:70" x14ac:dyDescent="0.2">
      <c r="BB3992" s="94"/>
      <c r="BL3992" s="8">
        <v>3943</v>
      </c>
      <c r="BM3992" s="8">
        <v>4271661.3813276459</v>
      </c>
      <c r="BN3992" s="8">
        <v>3805536.9490177147</v>
      </c>
      <c r="BO3992" s="8">
        <v>8077198.3303453606</v>
      </c>
      <c r="BP3992" s="8">
        <v>4312546.1092176614</v>
      </c>
      <c r="BQ3992" s="8">
        <v>-3764652.2211276991</v>
      </c>
      <c r="BR3992" s="8" t="str">
        <v>Yes</v>
      </c>
    </row>
    <row r="3993" spans="54:70" x14ac:dyDescent="0.2">
      <c r="BB3993" s="94"/>
      <c r="BL3993" s="8">
        <v>3944</v>
      </c>
      <c r="BM3993" s="8">
        <v>4245317.5409176201</v>
      </c>
      <c r="BN3993" s="8">
        <v>1726174.8087697537</v>
      </c>
      <c r="BO3993" s="8">
        <v>5971492.3496873733</v>
      </c>
      <c r="BP3993" s="8">
        <v>3544106.4042463996</v>
      </c>
      <c r="BQ3993" s="8">
        <v>-2427385.9454409736</v>
      </c>
      <c r="BR3993" s="8" t="str">
        <v>Yes</v>
      </c>
    </row>
    <row r="3994" spans="54:70" x14ac:dyDescent="0.2">
      <c r="BB3994" s="94"/>
      <c r="BL3994" s="8">
        <v>3945</v>
      </c>
      <c r="BM3994" s="8">
        <v>2803432.7781228959</v>
      </c>
      <c r="BN3994" s="8">
        <v>0</v>
      </c>
      <c r="BO3994" s="8">
        <v>2803432.7781228959</v>
      </c>
      <c r="BP3994" s="8">
        <v>2424297.5447342955</v>
      </c>
      <c r="BQ3994" s="8">
        <v>-379135.23338860041</v>
      </c>
      <c r="BR3994" s="8" t="str">
        <v>Yes</v>
      </c>
    </row>
    <row r="3995" spans="54:70" x14ac:dyDescent="0.2">
      <c r="BB3995" s="94"/>
      <c r="BL3995" s="8">
        <v>3946</v>
      </c>
      <c r="BM3995" s="8">
        <v>4119453.7613289231</v>
      </c>
      <c r="BN3995" s="8">
        <v>7683603.0341529613</v>
      </c>
      <c r="BO3995" s="8">
        <v>11803056.795481885</v>
      </c>
      <c r="BP3995" s="8">
        <v>4566674.8301321967</v>
      </c>
      <c r="BQ3995" s="8">
        <v>-7236381.9653496882</v>
      </c>
      <c r="BR3995" s="8" t="str">
        <v>Yes</v>
      </c>
    </row>
    <row r="3996" spans="54:70" x14ac:dyDescent="0.2">
      <c r="BB3996" s="94"/>
      <c r="BL3996" s="8">
        <v>3947</v>
      </c>
      <c r="BM3996" s="8">
        <v>4636216.3844615482</v>
      </c>
      <c r="BN3996" s="8">
        <v>0</v>
      </c>
      <c r="BO3996" s="8">
        <v>4636216.3844615482</v>
      </c>
      <c r="BP3996" s="8">
        <v>6260454.2535766372</v>
      </c>
      <c r="BQ3996" s="8">
        <v>1624237.8691150891</v>
      </c>
      <c r="BR3996" s="8" t="str">
        <v>No</v>
      </c>
    </row>
    <row r="3997" spans="54:70" x14ac:dyDescent="0.2">
      <c r="BB3997" s="94"/>
      <c r="BL3997" s="8">
        <v>3948</v>
      </c>
      <c r="BM3997" s="8">
        <v>2550057.9817870427</v>
      </c>
      <c r="BN3997" s="8">
        <v>0</v>
      </c>
      <c r="BO3997" s="8">
        <v>2550057.9817870427</v>
      </c>
      <c r="BP3997" s="8">
        <v>6203623.4942758474</v>
      </c>
      <c r="BQ3997" s="8">
        <v>3653565.5124888048</v>
      </c>
      <c r="BR3997" s="8" t="str">
        <v>No</v>
      </c>
    </row>
    <row r="3998" spans="54:70" x14ac:dyDescent="0.2">
      <c r="BB3998" s="94"/>
      <c r="BL3998" s="8">
        <v>3949</v>
      </c>
      <c r="BM3998" s="8">
        <v>2872800.9179468811</v>
      </c>
      <c r="BN3998" s="8">
        <v>0</v>
      </c>
      <c r="BO3998" s="8">
        <v>2872800.9179468811</v>
      </c>
      <c r="BP3998" s="8">
        <v>6196421.0924856775</v>
      </c>
      <c r="BQ3998" s="8">
        <v>3323620.1745387963</v>
      </c>
      <c r="BR3998" s="8" t="str">
        <v>No</v>
      </c>
    </row>
    <row r="3999" spans="54:70" x14ac:dyDescent="0.2">
      <c r="BB3999" s="94"/>
      <c r="BL3999" s="8">
        <v>3950</v>
      </c>
      <c r="BM3999" s="8">
        <v>8107006.4094716124</v>
      </c>
      <c r="BN3999" s="8">
        <v>0</v>
      </c>
      <c r="BO3999" s="8">
        <v>8107006.4094716124</v>
      </c>
      <c r="BP3999" s="8">
        <v>3698151.2568834904</v>
      </c>
      <c r="BQ3999" s="8">
        <v>-4408855.1525881216</v>
      </c>
      <c r="BR3999" s="8" t="str">
        <v>Yes</v>
      </c>
    </row>
    <row r="4000" spans="54:70" x14ac:dyDescent="0.2">
      <c r="BB4000" s="94"/>
      <c r="BL4000" s="8">
        <v>3951</v>
      </c>
      <c r="BM4000" s="8">
        <v>2238522.2713867864</v>
      </c>
      <c r="BN4000" s="8">
        <v>0</v>
      </c>
      <c r="BO4000" s="8">
        <v>2238522.2713867864</v>
      </c>
      <c r="BP4000" s="8">
        <v>4281648.9811195116</v>
      </c>
      <c r="BQ4000" s="8">
        <v>2043126.7097327253</v>
      </c>
      <c r="BR4000" s="8" t="str">
        <v>No</v>
      </c>
    </row>
    <row r="4001" spans="54:70" x14ac:dyDescent="0.2">
      <c r="BB4001" s="94"/>
      <c r="BL4001" s="8">
        <v>3952</v>
      </c>
      <c r="BM4001" s="8">
        <v>8358915.1688125804</v>
      </c>
      <c r="BN4001" s="8">
        <v>0</v>
      </c>
      <c r="BO4001" s="8">
        <v>8358915.1688125804</v>
      </c>
      <c r="BP4001" s="8">
        <v>6785315.3171414863</v>
      </c>
      <c r="BQ4001" s="8">
        <v>-1573599.8516710941</v>
      </c>
      <c r="BR4001" s="8" t="str">
        <v>Yes</v>
      </c>
    </row>
    <row r="4002" spans="54:70" x14ac:dyDescent="0.2">
      <c r="BB4002" s="94"/>
      <c r="BL4002" s="8">
        <v>3953</v>
      </c>
      <c r="BM4002" s="8">
        <v>1991228.8735161657</v>
      </c>
      <c r="BN4002" s="8">
        <v>0</v>
      </c>
      <c r="BO4002" s="8">
        <v>1991228.8735161657</v>
      </c>
      <c r="BP4002" s="8">
        <v>6429039.348376031</v>
      </c>
      <c r="BQ4002" s="8">
        <v>4437810.4748598654</v>
      </c>
      <c r="BR4002" s="8" t="str">
        <v>No</v>
      </c>
    </row>
    <row r="4003" spans="54:70" x14ac:dyDescent="0.2">
      <c r="BB4003" s="94"/>
      <c r="BL4003" s="8">
        <v>3954</v>
      </c>
      <c r="BM4003" s="8">
        <v>3485624.4717847374</v>
      </c>
      <c r="BN4003" s="8">
        <v>0</v>
      </c>
      <c r="BO4003" s="8">
        <v>3485624.4717847374</v>
      </c>
      <c r="BP4003" s="8">
        <v>2329133.7368711396</v>
      </c>
      <c r="BQ4003" s="8">
        <v>-1156490.7349135978</v>
      </c>
      <c r="BR4003" s="8" t="str">
        <v>Yes</v>
      </c>
    </row>
    <row r="4004" spans="54:70" x14ac:dyDescent="0.2">
      <c r="BB4004" s="94"/>
      <c r="BL4004" s="8">
        <v>3955</v>
      </c>
      <c r="BM4004" s="8">
        <v>3859125.4327451815</v>
      </c>
      <c r="BN4004" s="8">
        <v>0</v>
      </c>
      <c r="BO4004" s="8">
        <v>3859125.4327451815</v>
      </c>
      <c r="BP4004" s="8">
        <v>6830950.1230557263</v>
      </c>
      <c r="BQ4004" s="8">
        <v>2971824.6903105448</v>
      </c>
      <c r="BR4004" s="8" t="str">
        <v>No</v>
      </c>
    </row>
    <row r="4005" spans="54:70" x14ac:dyDescent="0.2">
      <c r="BB4005" s="94"/>
      <c r="BL4005" s="8">
        <v>3956</v>
      </c>
      <c r="BM4005" s="8">
        <v>2738750.326541774</v>
      </c>
      <c r="BN4005" s="8">
        <v>0</v>
      </c>
      <c r="BO4005" s="8">
        <v>2738750.326541774</v>
      </c>
      <c r="BP4005" s="8">
        <v>3305930.6271773139</v>
      </c>
      <c r="BQ4005" s="8">
        <v>567180.30063553993</v>
      </c>
      <c r="BR4005" s="8" t="str">
        <v>No</v>
      </c>
    </row>
    <row r="4006" spans="54:70" x14ac:dyDescent="0.2">
      <c r="BB4006" s="94"/>
      <c r="BL4006" s="8">
        <v>3957</v>
      </c>
      <c r="BM4006" s="8">
        <v>2363531.9063509717</v>
      </c>
      <c r="BN4006" s="8">
        <v>0</v>
      </c>
      <c r="BO4006" s="8">
        <v>2363531.9063509717</v>
      </c>
      <c r="BP4006" s="8">
        <v>3301744.2981194546</v>
      </c>
      <c r="BQ4006" s="8">
        <v>938212.39176848298</v>
      </c>
      <c r="BR4006" s="8" t="str">
        <v>No</v>
      </c>
    </row>
    <row r="4007" spans="54:70" x14ac:dyDescent="0.2">
      <c r="BB4007" s="94"/>
      <c r="BL4007" s="8">
        <v>3958</v>
      </c>
      <c r="BM4007" s="8">
        <v>2754598.3463843786</v>
      </c>
      <c r="BN4007" s="8">
        <v>0</v>
      </c>
      <c r="BO4007" s="8">
        <v>2754598.3463843786</v>
      </c>
      <c r="BP4007" s="8">
        <v>3715428.1176863527</v>
      </c>
      <c r="BQ4007" s="8">
        <v>960829.77130197408</v>
      </c>
      <c r="BR4007" s="8" t="str">
        <v>No</v>
      </c>
    </row>
    <row r="4008" spans="54:70" x14ac:dyDescent="0.2">
      <c r="BB4008" s="94"/>
      <c r="BL4008" s="8">
        <v>3959</v>
      </c>
      <c r="BM4008" s="8">
        <v>2872598.099515764</v>
      </c>
      <c r="BN4008" s="8">
        <v>3595154.2950386605</v>
      </c>
      <c r="BO4008" s="8">
        <v>6467752.394554425</v>
      </c>
      <c r="BP4008" s="8">
        <v>3934074.3668177677</v>
      </c>
      <c r="BQ4008" s="8">
        <v>-2533678.0277366573</v>
      </c>
      <c r="BR4008" s="8" t="str">
        <v>Yes</v>
      </c>
    </row>
    <row r="4009" spans="54:70" x14ac:dyDescent="0.2">
      <c r="BB4009" s="94"/>
      <c r="BL4009" s="8">
        <v>3960</v>
      </c>
      <c r="BM4009" s="8">
        <v>5396202.6064026998</v>
      </c>
      <c r="BN4009" s="8">
        <v>0</v>
      </c>
      <c r="BO4009" s="8">
        <v>5396202.6064026998</v>
      </c>
      <c r="BP4009" s="8">
        <v>6478757.3810323179</v>
      </c>
      <c r="BQ4009" s="8">
        <v>1082554.774629618</v>
      </c>
      <c r="BR4009" s="8" t="str">
        <v>No</v>
      </c>
    </row>
    <row r="4010" spans="54:70" x14ac:dyDescent="0.2">
      <c r="BB4010" s="94"/>
      <c r="BL4010" s="8">
        <v>3961</v>
      </c>
      <c r="BM4010" s="8">
        <v>5715176.4849366564</v>
      </c>
      <c r="BN4010" s="8">
        <v>3624572.8406045381</v>
      </c>
      <c r="BO4010" s="8">
        <v>9339749.3255411945</v>
      </c>
      <c r="BP4010" s="8">
        <v>3509586.9704136234</v>
      </c>
      <c r="BQ4010" s="8">
        <v>-5830162.3551275712</v>
      </c>
      <c r="BR4010" s="8" t="str">
        <v>Yes</v>
      </c>
    </row>
    <row r="4011" spans="54:70" x14ac:dyDescent="0.2">
      <c r="BB4011" s="94"/>
      <c r="BL4011" s="8">
        <v>3962</v>
      </c>
      <c r="BM4011" s="8">
        <v>5131521.6693762746</v>
      </c>
      <c r="BN4011" s="8">
        <v>0</v>
      </c>
      <c r="BO4011" s="8">
        <v>5131521.6693762746</v>
      </c>
      <c r="BP4011" s="8">
        <v>6364478.4526815042</v>
      </c>
      <c r="BQ4011" s="8">
        <v>1232956.7833052296</v>
      </c>
      <c r="BR4011" s="8" t="str">
        <v>No</v>
      </c>
    </row>
    <row r="4012" spans="54:70" x14ac:dyDescent="0.2">
      <c r="BB4012" s="94"/>
      <c r="BL4012" s="8">
        <v>3963</v>
      </c>
      <c r="BM4012" s="8">
        <v>4796032.4662627345</v>
      </c>
      <c r="BN4012" s="8">
        <v>6817912.3889232241</v>
      </c>
      <c r="BO4012" s="8">
        <v>11613944.855185959</v>
      </c>
      <c r="BP4012" s="8">
        <v>2279054.5911955405</v>
      </c>
      <c r="BQ4012" s="8">
        <v>-9334890.263990419</v>
      </c>
      <c r="BR4012" s="8" t="str">
        <v>Yes</v>
      </c>
    </row>
    <row r="4013" spans="54:70" x14ac:dyDescent="0.2">
      <c r="BB4013" s="94"/>
      <c r="BL4013" s="8">
        <v>3964</v>
      </c>
      <c r="BM4013" s="8">
        <v>3440702.8557814476</v>
      </c>
      <c r="BN4013" s="8">
        <v>0</v>
      </c>
      <c r="BO4013" s="8">
        <v>3440702.8557814476</v>
      </c>
      <c r="BP4013" s="8">
        <v>2370083.8222760516</v>
      </c>
      <c r="BQ4013" s="8">
        <v>-1070619.033505396</v>
      </c>
      <c r="BR4013" s="8" t="str">
        <v>Yes</v>
      </c>
    </row>
    <row r="4014" spans="54:70" x14ac:dyDescent="0.2">
      <c r="BB4014" s="94"/>
      <c r="BL4014" s="8">
        <v>3965</v>
      </c>
      <c r="BM4014" s="8">
        <v>5773355.0464105606</v>
      </c>
      <c r="BN4014" s="8">
        <v>6783750.1449050838</v>
      </c>
      <c r="BO4014" s="8">
        <v>12557105.191315643</v>
      </c>
      <c r="BP4014" s="8">
        <v>6528094.3526452398</v>
      </c>
      <c r="BQ4014" s="8">
        <v>-6029010.8386704037</v>
      </c>
      <c r="BR4014" s="8" t="str">
        <v>Yes</v>
      </c>
    </row>
    <row r="4015" spans="54:70" x14ac:dyDescent="0.2">
      <c r="BB4015" s="94"/>
      <c r="BL4015" s="8">
        <v>3966</v>
      </c>
      <c r="BM4015" s="8">
        <v>10796817.874981318</v>
      </c>
      <c r="BN4015" s="8">
        <v>0</v>
      </c>
      <c r="BO4015" s="8">
        <v>10796817.874981318</v>
      </c>
      <c r="BP4015" s="8">
        <v>4210698.1736408211</v>
      </c>
      <c r="BQ4015" s="8">
        <v>-6586119.7013404965</v>
      </c>
      <c r="BR4015" s="8" t="str">
        <v>Yes</v>
      </c>
    </row>
    <row r="4016" spans="54:70" x14ac:dyDescent="0.2">
      <c r="BB4016" s="94"/>
      <c r="BL4016" s="8">
        <v>3967</v>
      </c>
      <c r="BM4016" s="8">
        <v>5106662.4036629023</v>
      </c>
      <c r="BN4016" s="8">
        <v>6105115.8697383208</v>
      </c>
      <c r="BO4016" s="8">
        <v>11211778.273401223</v>
      </c>
      <c r="BP4016" s="8">
        <v>2078002.0715551001</v>
      </c>
      <c r="BQ4016" s="8">
        <v>-9133776.2018461227</v>
      </c>
      <c r="BR4016" s="8" t="str">
        <v>Yes</v>
      </c>
    </row>
    <row r="4017" spans="54:70" x14ac:dyDescent="0.2">
      <c r="BB4017" s="94"/>
      <c r="BL4017" s="8">
        <v>3968</v>
      </c>
      <c r="BM4017" s="8">
        <v>4535954.1919782264</v>
      </c>
      <c r="BN4017" s="8">
        <v>0</v>
      </c>
      <c r="BO4017" s="8">
        <v>4535954.1919782264</v>
      </c>
      <c r="BP4017" s="8">
        <v>3237891.3963277917</v>
      </c>
      <c r="BQ4017" s="8">
        <v>-1298062.7956504347</v>
      </c>
      <c r="BR4017" s="8" t="str">
        <v>Yes</v>
      </c>
    </row>
    <row r="4018" spans="54:70" x14ac:dyDescent="0.2">
      <c r="BB4018" s="94"/>
      <c r="BL4018" s="8">
        <v>3969</v>
      </c>
      <c r="BM4018" s="8">
        <v>10390333.282466091</v>
      </c>
      <c r="BN4018" s="8">
        <v>9700180.1923539601</v>
      </c>
      <c r="BO4018" s="8">
        <v>20090513.474820051</v>
      </c>
      <c r="BP4018" s="8">
        <v>4170212.9994424451</v>
      </c>
      <c r="BQ4018" s="8">
        <v>-15920300.475377606</v>
      </c>
      <c r="BR4018" s="8" t="str">
        <v>Yes</v>
      </c>
    </row>
    <row r="4019" spans="54:70" x14ac:dyDescent="0.2">
      <c r="BB4019" s="94"/>
      <c r="BL4019" s="8">
        <v>3970</v>
      </c>
      <c r="BM4019" s="8">
        <v>3200642.6645600181</v>
      </c>
      <c r="BN4019" s="8">
        <v>0</v>
      </c>
      <c r="BO4019" s="8">
        <v>3200642.6645600181</v>
      </c>
      <c r="BP4019" s="8">
        <v>2404035.7280072896</v>
      </c>
      <c r="BQ4019" s="8">
        <v>-796606.93655272853</v>
      </c>
      <c r="BR4019" s="8" t="str">
        <v>Yes</v>
      </c>
    </row>
    <row r="4020" spans="54:70" x14ac:dyDescent="0.2">
      <c r="BB4020" s="94"/>
      <c r="BL4020" s="8">
        <v>3971</v>
      </c>
      <c r="BM4020" s="8">
        <v>3358702.8769187233</v>
      </c>
      <c r="BN4020" s="8">
        <v>0</v>
      </c>
      <c r="BO4020" s="8">
        <v>3358702.8769187233</v>
      </c>
      <c r="BP4020" s="8">
        <v>3434176.3086251179</v>
      </c>
      <c r="BQ4020" s="8">
        <v>75473.431706394535</v>
      </c>
      <c r="BR4020" s="8" t="str">
        <v>No</v>
      </c>
    </row>
    <row r="4021" spans="54:70" x14ac:dyDescent="0.2">
      <c r="BB4021" s="94"/>
      <c r="BL4021" s="8">
        <v>3972</v>
      </c>
      <c r="BM4021" s="8">
        <v>8034153.4561919896</v>
      </c>
      <c r="BN4021" s="8">
        <v>0</v>
      </c>
      <c r="BO4021" s="8">
        <v>8034153.4561919896</v>
      </c>
      <c r="BP4021" s="8">
        <v>3461217.2717091269</v>
      </c>
      <c r="BQ4021" s="8">
        <v>-4572936.1844828632</v>
      </c>
      <c r="BR4021" s="8" t="str">
        <v>Yes</v>
      </c>
    </row>
    <row r="4022" spans="54:70" x14ac:dyDescent="0.2">
      <c r="BB4022" s="94"/>
      <c r="BL4022" s="8">
        <v>3973</v>
      </c>
      <c r="BM4022" s="8">
        <v>4532086.9271828458</v>
      </c>
      <c r="BN4022" s="8">
        <v>0</v>
      </c>
      <c r="BO4022" s="8">
        <v>4532086.9271828458</v>
      </c>
      <c r="BP4022" s="8">
        <v>4531890.0120800668</v>
      </c>
      <c r="BQ4022" s="8">
        <v>-196.91510277893394</v>
      </c>
      <c r="BR4022" s="8" t="str">
        <v>Yes</v>
      </c>
    </row>
    <row r="4023" spans="54:70" x14ac:dyDescent="0.2">
      <c r="BB4023" s="94"/>
      <c r="BL4023" s="8">
        <v>3974</v>
      </c>
      <c r="BM4023" s="8">
        <v>3172203.6132147331</v>
      </c>
      <c r="BN4023" s="8">
        <v>0</v>
      </c>
      <c r="BO4023" s="8">
        <v>3172203.6132147331</v>
      </c>
      <c r="BP4023" s="8">
        <v>5966445.4783957116</v>
      </c>
      <c r="BQ4023" s="8">
        <v>2794241.8651809786</v>
      </c>
      <c r="BR4023" s="8" t="str">
        <v>No</v>
      </c>
    </row>
    <row r="4024" spans="54:70" x14ac:dyDescent="0.2">
      <c r="BB4024" s="94"/>
      <c r="BL4024" s="8">
        <v>3975</v>
      </c>
      <c r="BM4024" s="8">
        <v>2048886.8236777629</v>
      </c>
      <c r="BN4024" s="8">
        <v>1673882.4054751529</v>
      </c>
      <c r="BO4024" s="8">
        <v>3722769.229152916</v>
      </c>
      <c r="BP4024" s="8">
        <v>3045251.8522452628</v>
      </c>
      <c r="BQ4024" s="8">
        <v>-677517.37690765318</v>
      </c>
      <c r="BR4024" s="8" t="str">
        <v>Yes</v>
      </c>
    </row>
    <row r="4025" spans="54:70" x14ac:dyDescent="0.2">
      <c r="BB4025" s="94"/>
      <c r="BL4025" s="8">
        <v>3976</v>
      </c>
      <c r="BM4025" s="8">
        <v>3952200.5389651563</v>
      </c>
      <c r="BN4025" s="8">
        <v>0</v>
      </c>
      <c r="BO4025" s="8">
        <v>3952200.5389651563</v>
      </c>
      <c r="BP4025" s="8">
        <v>3405106.7619307889</v>
      </c>
      <c r="BQ4025" s="8">
        <v>-547093.77703436743</v>
      </c>
      <c r="BR4025" s="8" t="str">
        <v>Yes</v>
      </c>
    </row>
    <row r="4026" spans="54:70" x14ac:dyDescent="0.2">
      <c r="BB4026" s="94"/>
      <c r="BL4026" s="8">
        <v>3977</v>
      </c>
      <c r="BM4026" s="8">
        <v>3991761.9496556227</v>
      </c>
      <c r="BN4026" s="8">
        <v>0</v>
      </c>
      <c r="BO4026" s="8">
        <v>3991761.9496556227</v>
      </c>
      <c r="BP4026" s="8">
        <v>3283718.5115308105</v>
      </c>
      <c r="BQ4026" s="8">
        <v>-708043.43812481221</v>
      </c>
      <c r="BR4026" s="8" t="str">
        <v>Yes</v>
      </c>
    </row>
    <row r="4027" spans="54:70" x14ac:dyDescent="0.2">
      <c r="BB4027" s="94"/>
      <c r="BL4027" s="8">
        <v>3978</v>
      </c>
      <c r="BM4027" s="8">
        <v>2692764.343483177</v>
      </c>
      <c r="BN4027" s="8">
        <v>0</v>
      </c>
      <c r="BO4027" s="8">
        <v>2692764.343483177</v>
      </c>
      <c r="BP4027" s="8">
        <v>5837612.3753544502</v>
      </c>
      <c r="BQ4027" s="8">
        <v>3144848.0318712732</v>
      </c>
      <c r="BR4027" s="8" t="str">
        <v>No</v>
      </c>
    </row>
    <row r="4028" spans="54:70" x14ac:dyDescent="0.2">
      <c r="BB4028" s="94"/>
      <c r="BL4028" s="8">
        <v>3979</v>
      </c>
      <c r="BM4028" s="8">
        <v>7710675.5032099215</v>
      </c>
      <c r="BN4028" s="8">
        <v>0</v>
      </c>
      <c r="BO4028" s="8">
        <v>7710675.5032099215</v>
      </c>
      <c r="BP4028" s="8">
        <v>4212220.2455074964</v>
      </c>
      <c r="BQ4028" s="8">
        <v>-3498455.2577024251</v>
      </c>
      <c r="BR4028" s="8" t="str">
        <v>Yes</v>
      </c>
    </row>
    <row r="4029" spans="54:70" x14ac:dyDescent="0.2">
      <c r="BB4029" s="94"/>
      <c r="BL4029" s="8">
        <v>3980</v>
      </c>
      <c r="BM4029" s="8">
        <v>1137565.3861463717</v>
      </c>
      <c r="BN4029" s="8">
        <v>415508.35695967346</v>
      </c>
      <c r="BO4029" s="8">
        <v>1553073.7431060453</v>
      </c>
      <c r="BP4029" s="8">
        <v>4398107.8059932571</v>
      </c>
      <c r="BQ4029" s="8">
        <v>2845034.0628872118</v>
      </c>
      <c r="BR4029" s="8" t="str">
        <v>No</v>
      </c>
    </row>
    <row r="4030" spans="54:70" x14ac:dyDescent="0.2">
      <c r="BB4030" s="94"/>
      <c r="BL4030" s="8">
        <v>3981</v>
      </c>
      <c r="BM4030" s="8">
        <v>3600649.5251159184</v>
      </c>
      <c r="BN4030" s="8">
        <v>0</v>
      </c>
      <c r="BO4030" s="8">
        <v>3600649.5251159184</v>
      </c>
      <c r="BP4030" s="8">
        <v>6075299.5751835899</v>
      </c>
      <c r="BQ4030" s="8">
        <v>2474650.0500676716</v>
      </c>
      <c r="BR4030" s="8" t="str">
        <v>No</v>
      </c>
    </row>
    <row r="4031" spans="54:70" x14ac:dyDescent="0.2">
      <c r="BB4031" s="94"/>
      <c r="BL4031" s="8">
        <v>3982</v>
      </c>
      <c r="BM4031" s="8">
        <v>6304004.9550874606</v>
      </c>
      <c r="BN4031" s="8">
        <v>0</v>
      </c>
      <c r="BO4031" s="8">
        <v>6304004.9550874606</v>
      </c>
      <c r="BP4031" s="8">
        <v>6004778.6770897182</v>
      </c>
      <c r="BQ4031" s="8">
        <v>-299226.27799774241</v>
      </c>
      <c r="BR4031" s="8" t="str">
        <v>Yes</v>
      </c>
    </row>
    <row r="4032" spans="54:70" x14ac:dyDescent="0.2">
      <c r="BB4032" s="94"/>
      <c r="BL4032" s="8">
        <v>3983</v>
      </c>
      <c r="BM4032" s="8">
        <v>4535240.4616742143</v>
      </c>
      <c r="BN4032" s="8">
        <v>0</v>
      </c>
      <c r="BO4032" s="8">
        <v>4535240.4616742143</v>
      </c>
      <c r="BP4032" s="8">
        <v>6373884.2476703906</v>
      </c>
      <c r="BQ4032" s="8">
        <v>1838643.7859961763</v>
      </c>
      <c r="BR4032" s="8" t="str">
        <v>No</v>
      </c>
    </row>
    <row r="4033" spans="54:70" x14ac:dyDescent="0.2">
      <c r="BB4033" s="94"/>
      <c r="BL4033" s="8">
        <v>3984</v>
      </c>
      <c r="BM4033" s="8">
        <v>7089307.4548872076</v>
      </c>
      <c r="BN4033" s="8">
        <v>0</v>
      </c>
      <c r="BO4033" s="8">
        <v>7089307.4548872076</v>
      </c>
      <c r="BP4033" s="8">
        <v>4301532.2330964031</v>
      </c>
      <c r="BQ4033" s="8">
        <v>-2787775.2217908045</v>
      </c>
      <c r="BR4033" s="8" t="str">
        <v>Yes</v>
      </c>
    </row>
    <row r="4034" spans="54:70" x14ac:dyDescent="0.2">
      <c r="BB4034" s="94"/>
      <c r="BL4034" s="8">
        <v>3985</v>
      </c>
      <c r="BM4034" s="8">
        <v>3706947.7268621242</v>
      </c>
      <c r="BN4034" s="8">
        <v>0</v>
      </c>
      <c r="BO4034" s="8">
        <v>3706947.7268621242</v>
      </c>
      <c r="BP4034" s="8">
        <v>6611415.0928012086</v>
      </c>
      <c r="BQ4034" s="8">
        <v>2904467.3659390844</v>
      </c>
      <c r="BR4034" s="8" t="str">
        <v>No</v>
      </c>
    </row>
    <row r="4035" spans="54:70" x14ac:dyDescent="0.2">
      <c r="BB4035" s="94"/>
      <c r="BL4035" s="8">
        <v>3986</v>
      </c>
      <c r="BM4035" s="8">
        <v>3066625.4693281818</v>
      </c>
      <c r="BN4035" s="8">
        <v>2217906.8076786269</v>
      </c>
      <c r="BO4035" s="8">
        <v>5284532.2770068087</v>
      </c>
      <c r="BP4035" s="8">
        <v>5987567.9513909239</v>
      </c>
      <c r="BQ4035" s="8">
        <v>703035.67438411526</v>
      </c>
      <c r="BR4035" s="8" t="str">
        <v>No</v>
      </c>
    </row>
    <row r="4036" spans="54:70" x14ac:dyDescent="0.2">
      <c r="BB4036" s="94"/>
      <c r="BL4036" s="8">
        <v>3987</v>
      </c>
      <c r="BM4036" s="8">
        <v>5185586.3958608378</v>
      </c>
      <c r="BN4036" s="8">
        <v>0</v>
      </c>
      <c r="BO4036" s="8">
        <v>5185586.3958608378</v>
      </c>
      <c r="BP4036" s="8">
        <v>3614019.1161141442</v>
      </c>
      <c r="BQ4036" s="8">
        <v>-1571567.2797466936</v>
      </c>
      <c r="BR4036" s="8" t="str">
        <v>Yes</v>
      </c>
    </row>
    <row r="4037" spans="54:70" x14ac:dyDescent="0.2">
      <c r="BB4037" s="94"/>
      <c r="BL4037" s="8">
        <v>3988</v>
      </c>
      <c r="BM4037" s="8">
        <v>4927456.0899920678</v>
      </c>
      <c r="BN4037" s="8">
        <v>2753296.0713634682</v>
      </c>
      <c r="BO4037" s="8">
        <v>7680752.1613555364</v>
      </c>
      <c r="BP4037" s="8">
        <v>4181368.4621778219</v>
      </c>
      <c r="BQ4037" s="8">
        <v>-3499383.6991777145</v>
      </c>
      <c r="BR4037" s="8" t="str">
        <v>Yes</v>
      </c>
    </row>
    <row r="4038" spans="54:70" x14ac:dyDescent="0.2">
      <c r="BB4038" s="94"/>
      <c r="BL4038" s="8">
        <v>3989</v>
      </c>
      <c r="BM4038" s="8">
        <v>6068357.7931711245</v>
      </c>
      <c r="BN4038" s="8">
        <v>3656515.9524991079</v>
      </c>
      <c r="BO4038" s="8">
        <v>9724873.7456702329</v>
      </c>
      <c r="BP4038" s="8">
        <v>3657039.841202233</v>
      </c>
      <c r="BQ4038" s="8">
        <v>-6067833.9044679999</v>
      </c>
      <c r="BR4038" s="8" t="str">
        <v>Yes</v>
      </c>
    </row>
    <row r="4039" spans="54:70" x14ac:dyDescent="0.2">
      <c r="BB4039" s="94"/>
      <c r="BL4039" s="8">
        <v>3990</v>
      </c>
      <c r="BM4039" s="8">
        <v>4183483.7022743635</v>
      </c>
      <c r="BN4039" s="8">
        <v>0</v>
      </c>
      <c r="BO4039" s="8">
        <v>4183483.7022743635</v>
      </c>
      <c r="BP4039" s="8">
        <v>2056713.8880309316</v>
      </c>
      <c r="BQ4039" s="8">
        <v>-2126769.8142434321</v>
      </c>
      <c r="BR4039" s="8" t="str">
        <v>Yes</v>
      </c>
    </row>
    <row r="4040" spans="54:70" x14ac:dyDescent="0.2">
      <c r="BB4040" s="94"/>
      <c r="BL4040" s="8">
        <v>3991</v>
      </c>
      <c r="BM4040" s="8">
        <v>2199739.0001290706</v>
      </c>
      <c r="BN4040" s="8">
        <v>1291530.7074673953</v>
      </c>
      <c r="BO4040" s="8">
        <v>3491269.7075964659</v>
      </c>
      <c r="BP4040" s="8">
        <v>4231436.0256295362</v>
      </c>
      <c r="BQ4040" s="8">
        <v>740166.3180330703</v>
      </c>
      <c r="BR4040" s="8" t="str">
        <v>No</v>
      </c>
    </row>
    <row r="4041" spans="54:70" x14ac:dyDescent="0.2">
      <c r="BB4041" s="94"/>
      <c r="BL4041" s="8">
        <v>3992</v>
      </c>
      <c r="BM4041" s="8">
        <v>3424211.3047188362</v>
      </c>
      <c r="BN4041" s="8">
        <v>1397685.7712876603</v>
      </c>
      <c r="BO4041" s="8">
        <v>4821897.0760064963</v>
      </c>
      <c r="BP4041" s="8">
        <v>3089670.2355386708</v>
      </c>
      <c r="BQ4041" s="8">
        <v>-1732226.8404678255</v>
      </c>
      <c r="BR4041" s="8" t="str">
        <v>Yes</v>
      </c>
    </row>
    <row r="4042" spans="54:70" x14ac:dyDescent="0.2">
      <c r="BB4042" s="94"/>
      <c r="BL4042" s="8">
        <v>3993</v>
      </c>
      <c r="BM4042" s="8">
        <v>2526677.6275965655</v>
      </c>
      <c r="BN4042" s="8">
        <v>0</v>
      </c>
      <c r="BO4042" s="8">
        <v>2526677.6275965655</v>
      </c>
      <c r="BP4042" s="8">
        <v>2231850.5530002192</v>
      </c>
      <c r="BQ4042" s="8">
        <v>-294827.07459634636</v>
      </c>
      <c r="BR4042" s="8" t="str">
        <v>Yes</v>
      </c>
    </row>
    <row r="4043" spans="54:70" x14ac:dyDescent="0.2">
      <c r="BB4043" s="94"/>
      <c r="BL4043" s="8">
        <v>3994</v>
      </c>
      <c r="BM4043" s="8">
        <v>2708644.3349023811</v>
      </c>
      <c r="BN4043" s="8">
        <v>0</v>
      </c>
      <c r="BO4043" s="8">
        <v>2708644.3349023811</v>
      </c>
      <c r="BP4043" s="8">
        <v>5960164.7701988472</v>
      </c>
      <c r="BQ4043" s="8">
        <v>3251520.4352964661</v>
      </c>
      <c r="BR4043" s="8" t="str">
        <v>No</v>
      </c>
    </row>
    <row r="4044" spans="54:70" x14ac:dyDescent="0.2">
      <c r="BB4044" s="94"/>
      <c r="BL4044" s="8">
        <v>3995</v>
      </c>
      <c r="BM4044" s="8">
        <v>6699132.2466346072</v>
      </c>
      <c r="BN4044" s="8">
        <v>8768431.148556944</v>
      </c>
      <c r="BO4044" s="8">
        <v>15467563.39519155</v>
      </c>
      <c r="BP4044" s="8">
        <v>3895371.8185350969</v>
      </c>
      <c r="BQ4044" s="8">
        <v>-11572191.576656453</v>
      </c>
      <c r="BR4044" s="8" t="str">
        <v>Yes</v>
      </c>
    </row>
    <row r="4045" spans="54:70" x14ac:dyDescent="0.2">
      <c r="BB4045" s="94"/>
      <c r="BL4045" s="8">
        <v>3996</v>
      </c>
      <c r="BM4045" s="8">
        <v>3042126.5102818422</v>
      </c>
      <c r="BN4045" s="8">
        <v>1425484.6599055475</v>
      </c>
      <c r="BO4045" s="8">
        <v>4467611.1701873895</v>
      </c>
      <c r="BP4045" s="8">
        <v>2425500.0928108464</v>
      </c>
      <c r="BQ4045" s="8">
        <v>-2042111.0773765431</v>
      </c>
      <c r="BR4045" s="8" t="str">
        <v>Yes</v>
      </c>
    </row>
    <row r="4046" spans="54:70" x14ac:dyDescent="0.2">
      <c r="BB4046" s="94"/>
      <c r="BL4046" s="8">
        <v>3997</v>
      </c>
      <c r="BM4046" s="8">
        <v>2575334.8972939556</v>
      </c>
      <c r="BN4046" s="8">
        <v>0</v>
      </c>
      <c r="BO4046" s="8">
        <v>2575334.8972939556</v>
      </c>
      <c r="BP4046" s="8">
        <v>2210016.0535874884</v>
      </c>
      <c r="BQ4046" s="8">
        <v>-365318.84370646719</v>
      </c>
      <c r="BR4046" s="8" t="str">
        <v>Yes</v>
      </c>
    </row>
    <row r="4047" spans="54:70" x14ac:dyDescent="0.2">
      <c r="BB4047" s="94"/>
      <c r="BL4047" s="8">
        <v>3998</v>
      </c>
      <c r="BM4047" s="8">
        <v>6943579.2534720851</v>
      </c>
      <c r="BN4047" s="8">
        <v>0</v>
      </c>
      <c r="BO4047" s="8">
        <v>6943579.2534720851</v>
      </c>
      <c r="BP4047" s="8">
        <v>3308210.1268085097</v>
      </c>
      <c r="BQ4047" s="8">
        <v>-3635369.1266635754</v>
      </c>
      <c r="BR4047" s="8" t="str">
        <v>Yes</v>
      </c>
    </row>
    <row r="4048" spans="54:70" x14ac:dyDescent="0.2">
      <c r="BB4048" s="94"/>
      <c r="BL4048" s="8">
        <v>3999</v>
      </c>
      <c r="BM4048" s="8">
        <v>7001372.1346897315</v>
      </c>
      <c r="BN4048" s="8">
        <v>4104873.7802081071</v>
      </c>
      <c r="BO4048" s="8">
        <v>11106245.914897839</v>
      </c>
      <c r="BP4048" s="8">
        <v>2352229.4703573016</v>
      </c>
      <c r="BQ4048" s="8">
        <v>-8754016.4445405379</v>
      </c>
      <c r="BR4048" s="8" t="str">
        <v>Yes</v>
      </c>
    </row>
    <row r="4049" spans="54:70" x14ac:dyDescent="0.2">
      <c r="BB4049" s="94"/>
      <c r="BL4049" s="8">
        <v>4000</v>
      </c>
      <c r="BM4049" s="8">
        <v>3421816.5125172706</v>
      </c>
      <c r="BN4049" s="8">
        <v>0</v>
      </c>
      <c r="BO4049" s="8">
        <v>3421816.5125172706</v>
      </c>
      <c r="BP4049" s="8">
        <v>6000475.754545657</v>
      </c>
      <c r="BQ4049" s="8">
        <v>2578659.2420283863</v>
      </c>
      <c r="BR4049" s="8" t="str">
        <v>No</v>
      </c>
    </row>
    <row r="4050" spans="54:70" x14ac:dyDescent="0.2">
      <c r="BB4050" s="94"/>
      <c r="BL4050" s="8">
        <v>4001</v>
      </c>
      <c r="BM4050" s="8">
        <v>4749900.8562590461</v>
      </c>
      <c r="BN4050" s="8">
        <v>4796685.321348832</v>
      </c>
      <c r="BO4050" s="8">
        <v>9546586.177607879</v>
      </c>
      <c r="BP4050" s="8">
        <v>2465953.9318460552</v>
      </c>
      <c r="BQ4050" s="8">
        <v>-7080632.2457618238</v>
      </c>
      <c r="BR4050" s="8" t="str">
        <v>Yes</v>
      </c>
    </row>
    <row r="4051" spans="54:70" x14ac:dyDescent="0.2">
      <c r="BB4051" s="94"/>
      <c r="BL4051" s="8">
        <v>4002</v>
      </c>
      <c r="BM4051" s="8">
        <v>9304525.7519761473</v>
      </c>
      <c r="BN4051" s="8">
        <v>16218346.818296131</v>
      </c>
      <c r="BO4051" s="8">
        <v>25522872.570272278</v>
      </c>
      <c r="BP4051" s="8">
        <v>2137622.5757699283</v>
      </c>
      <c r="BQ4051" s="8">
        <v>-23385249.994502351</v>
      </c>
      <c r="BR4051" s="8" t="str">
        <v>Yes</v>
      </c>
    </row>
    <row r="4052" spans="54:70" x14ac:dyDescent="0.2">
      <c r="BB4052" s="94"/>
      <c r="BL4052" s="8">
        <v>4003</v>
      </c>
      <c r="BM4052" s="8">
        <v>4088894.4263256006</v>
      </c>
      <c r="BN4052" s="8">
        <v>695964.90475376986</v>
      </c>
      <c r="BO4052" s="8">
        <v>4784859.3310793703</v>
      </c>
      <c r="BP4052" s="8">
        <v>6464792.1368381614</v>
      </c>
      <c r="BQ4052" s="8">
        <v>1679932.805758791</v>
      </c>
      <c r="BR4052" s="8" t="str">
        <v>No</v>
      </c>
    </row>
    <row r="4053" spans="54:70" x14ac:dyDescent="0.2">
      <c r="BB4053" s="94"/>
      <c r="BL4053" s="8">
        <v>4004</v>
      </c>
      <c r="BM4053" s="8">
        <v>3680555.1412599105</v>
      </c>
      <c r="BN4053" s="8">
        <v>2826193.441865427</v>
      </c>
      <c r="BO4053" s="8">
        <v>6506748.583125338</v>
      </c>
      <c r="BP4053" s="8">
        <v>2192576.6792087825</v>
      </c>
      <c r="BQ4053" s="8">
        <v>-4314171.9039165555</v>
      </c>
      <c r="BR4053" s="8" t="str">
        <v>Yes</v>
      </c>
    </row>
    <row r="4054" spans="54:70" x14ac:dyDescent="0.2">
      <c r="BB4054" s="94"/>
      <c r="BL4054" s="8">
        <v>4005</v>
      </c>
      <c r="BM4054" s="8">
        <v>2562132.5741964336</v>
      </c>
      <c r="BN4054" s="8">
        <v>0</v>
      </c>
      <c r="BO4054" s="8">
        <v>2562132.5741964336</v>
      </c>
      <c r="BP4054" s="8">
        <v>2384751.3881161255</v>
      </c>
      <c r="BQ4054" s="8">
        <v>-177381.18608030817</v>
      </c>
      <c r="BR4054" s="8" t="str">
        <v>Yes</v>
      </c>
    </row>
    <row r="4055" spans="54:70" x14ac:dyDescent="0.2">
      <c r="BB4055" s="94"/>
      <c r="BL4055" s="8">
        <v>4006</v>
      </c>
      <c r="BM4055" s="8">
        <v>2030613.2619860792</v>
      </c>
      <c r="BN4055" s="8">
        <v>0</v>
      </c>
      <c r="BO4055" s="8">
        <v>2030613.2619860792</v>
      </c>
      <c r="BP4055" s="8">
        <v>4327090.4842777988</v>
      </c>
      <c r="BQ4055" s="8">
        <v>2296477.2222917196</v>
      </c>
      <c r="BR4055" s="8" t="str">
        <v>No</v>
      </c>
    </row>
    <row r="4056" spans="54:70" x14ac:dyDescent="0.2">
      <c r="BB4056" s="94"/>
      <c r="BL4056" s="8">
        <v>4007</v>
      </c>
      <c r="BM4056" s="8">
        <v>10491582.902233256</v>
      </c>
      <c r="BN4056" s="8">
        <v>16169156.21277817</v>
      </c>
      <c r="BO4056" s="8">
        <v>26660739.115011424</v>
      </c>
      <c r="BP4056" s="8">
        <v>2985510.6322594956</v>
      </c>
      <c r="BQ4056" s="8">
        <v>-23675228.482751928</v>
      </c>
      <c r="BR4056" s="8" t="str">
        <v>Yes</v>
      </c>
    </row>
    <row r="4057" spans="54:70" x14ac:dyDescent="0.2">
      <c r="BB4057" s="94"/>
      <c r="BL4057" s="8">
        <v>4008</v>
      </c>
      <c r="BM4057" s="8">
        <v>6476903.1453737235</v>
      </c>
      <c r="BN4057" s="8">
        <v>8370840.2562347511</v>
      </c>
      <c r="BO4057" s="8">
        <v>14847743.401608475</v>
      </c>
      <c r="BP4057" s="8">
        <v>3339049.822941341</v>
      </c>
      <c r="BQ4057" s="8">
        <v>-11508693.578667134</v>
      </c>
      <c r="BR4057" s="8" t="str">
        <v>Yes</v>
      </c>
    </row>
    <row r="4058" spans="54:70" x14ac:dyDescent="0.2">
      <c r="BB4058" s="94"/>
      <c r="BL4058" s="8">
        <v>4009</v>
      </c>
      <c r="BM4058" s="8">
        <v>3485766.4405027125</v>
      </c>
      <c r="BN4058" s="8">
        <v>968591.42204809585</v>
      </c>
      <c r="BO4058" s="8">
        <v>4454357.8625508081</v>
      </c>
      <c r="BP4058" s="8">
        <v>2403910.5232032826</v>
      </c>
      <c r="BQ4058" s="8">
        <v>-2050447.3393475255</v>
      </c>
      <c r="BR4058" s="8" t="str">
        <v>Yes</v>
      </c>
    </row>
    <row r="4059" spans="54:70" x14ac:dyDescent="0.2">
      <c r="BB4059" s="94"/>
      <c r="BL4059" s="8">
        <v>4010</v>
      </c>
      <c r="BM4059" s="8">
        <v>13411697.90208433</v>
      </c>
      <c r="BN4059" s="8">
        <v>13195878.054011872</v>
      </c>
      <c r="BO4059" s="8">
        <v>26607575.956096202</v>
      </c>
      <c r="BP4059" s="8">
        <v>5886766.5377690801</v>
      </c>
      <c r="BQ4059" s="8">
        <v>-20720809.418327123</v>
      </c>
      <c r="BR4059" s="8" t="str">
        <v>Yes</v>
      </c>
    </row>
    <row r="4060" spans="54:70" x14ac:dyDescent="0.2">
      <c r="BB4060" s="94"/>
      <c r="BL4060" s="8">
        <v>4011</v>
      </c>
      <c r="BM4060" s="8">
        <v>3010756.9542954597</v>
      </c>
      <c r="BN4060" s="8">
        <v>4402053.6660952307</v>
      </c>
      <c r="BO4060" s="8">
        <v>7412810.6203906909</v>
      </c>
      <c r="BP4060" s="8">
        <v>2072799.2149209692</v>
      </c>
      <c r="BQ4060" s="8">
        <v>-5340011.4054697212</v>
      </c>
      <c r="BR4060" s="8" t="str">
        <v>Yes</v>
      </c>
    </row>
    <row r="4061" spans="54:70" x14ac:dyDescent="0.2">
      <c r="BB4061" s="94"/>
      <c r="BL4061" s="8">
        <v>4012</v>
      </c>
      <c r="BM4061" s="8">
        <v>5429325.9902092544</v>
      </c>
      <c r="BN4061" s="8">
        <v>0</v>
      </c>
      <c r="BO4061" s="8">
        <v>5429325.9902092544</v>
      </c>
      <c r="BP4061" s="8">
        <v>3438096.425463296</v>
      </c>
      <c r="BQ4061" s="8">
        <v>-1991229.5647459584</v>
      </c>
      <c r="BR4061" s="8" t="str">
        <v>Yes</v>
      </c>
    </row>
    <row r="4062" spans="54:70" x14ac:dyDescent="0.2">
      <c r="BB4062" s="94"/>
      <c r="BL4062" s="8">
        <v>4013</v>
      </c>
      <c r="BM4062" s="8">
        <v>4640639.5096965935</v>
      </c>
      <c r="BN4062" s="8">
        <v>0</v>
      </c>
      <c r="BO4062" s="8">
        <v>4640639.5096965935</v>
      </c>
      <c r="BP4062" s="8">
        <v>6535779.1328730835</v>
      </c>
      <c r="BQ4062" s="8">
        <v>1895139.62317649</v>
      </c>
      <c r="BR4062" s="8" t="str">
        <v>No</v>
      </c>
    </row>
    <row r="4063" spans="54:70" x14ac:dyDescent="0.2">
      <c r="BB4063" s="94"/>
      <c r="BL4063" s="8">
        <v>4014</v>
      </c>
      <c r="BM4063" s="8">
        <v>6835429.3172829766</v>
      </c>
      <c r="BN4063" s="8">
        <v>7537881.9708869727</v>
      </c>
      <c r="BO4063" s="8">
        <v>14373311.28816995</v>
      </c>
      <c r="BP4063" s="8">
        <v>2288527.0128661813</v>
      </c>
      <c r="BQ4063" s="8">
        <v>-12084784.27530377</v>
      </c>
      <c r="BR4063" s="8" t="str">
        <v>Yes</v>
      </c>
    </row>
    <row r="4064" spans="54:70" x14ac:dyDescent="0.2">
      <c r="BB4064" s="94"/>
      <c r="BL4064" s="8">
        <v>4015</v>
      </c>
      <c r="BM4064" s="8">
        <v>2703321.3346474832</v>
      </c>
      <c r="BN4064" s="8">
        <v>0</v>
      </c>
      <c r="BO4064" s="8">
        <v>2703321.3346474832</v>
      </c>
      <c r="BP4064" s="8">
        <v>4240423.2547410149</v>
      </c>
      <c r="BQ4064" s="8">
        <v>1537101.9200935317</v>
      </c>
      <c r="BR4064" s="8" t="str">
        <v>No</v>
      </c>
    </row>
    <row r="4065" spans="54:70" x14ac:dyDescent="0.2">
      <c r="BB4065" s="94"/>
      <c r="BL4065" s="8">
        <v>4016</v>
      </c>
      <c r="BM4065" s="8">
        <v>3768008.4923291826</v>
      </c>
      <c r="BN4065" s="8">
        <v>0</v>
      </c>
      <c r="BO4065" s="8">
        <v>3768008.4923291826</v>
      </c>
      <c r="BP4065" s="8">
        <v>3498426.62421809</v>
      </c>
      <c r="BQ4065" s="8">
        <v>-269581.8681110926</v>
      </c>
      <c r="BR4065" s="8" t="str">
        <v>Yes</v>
      </c>
    </row>
    <row r="4066" spans="54:70" x14ac:dyDescent="0.2">
      <c r="BB4066" s="94"/>
      <c r="BL4066" s="8">
        <v>4017</v>
      </c>
      <c r="BM4066" s="8">
        <v>5248274.2280176496</v>
      </c>
      <c r="BN4066" s="8">
        <v>0</v>
      </c>
      <c r="BO4066" s="8">
        <v>5248274.2280176496</v>
      </c>
      <c r="BP4066" s="8">
        <v>3168811.2205391414</v>
      </c>
      <c r="BQ4066" s="8">
        <v>-2079463.0074785082</v>
      </c>
      <c r="BR4066" s="8" t="str">
        <v>Yes</v>
      </c>
    </row>
    <row r="4067" spans="54:70" x14ac:dyDescent="0.2">
      <c r="BB4067" s="94"/>
      <c r="BL4067" s="8">
        <v>4018</v>
      </c>
      <c r="BM4067" s="8">
        <v>2780960.3930529533</v>
      </c>
      <c r="BN4067" s="8">
        <v>0</v>
      </c>
      <c r="BO4067" s="8">
        <v>2780960.3930529533</v>
      </c>
      <c r="BP4067" s="8">
        <v>4419692.9681259952</v>
      </c>
      <c r="BQ4067" s="8">
        <v>1638732.575073042</v>
      </c>
      <c r="BR4067" s="8" t="str">
        <v>No</v>
      </c>
    </row>
    <row r="4068" spans="54:70" x14ac:dyDescent="0.2">
      <c r="BB4068" s="94"/>
      <c r="BL4068" s="8">
        <v>4019</v>
      </c>
      <c r="BM4068" s="8">
        <v>2701343.2716205693</v>
      </c>
      <c r="BN4068" s="8">
        <v>1762852.7893180873</v>
      </c>
      <c r="BO4068" s="8">
        <v>4464196.0609386563</v>
      </c>
      <c r="BP4068" s="8">
        <v>5872883.5057271272</v>
      </c>
      <c r="BQ4068" s="8">
        <v>1408687.4447884709</v>
      </c>
      <c r="BR4068" s="8" t="str">
        <v>No</v>
      </c>
    </row>
    <row r="4069" spans="54:70" x14ac:dyDescent="0.2">
      <c r="BB4069" s="94"/>
      <c r="BL4069" s="8">
        <v>4020</v>
      </c>
      <c r="BM4069" s="8">
        <v>4992123.5719865486</v>
      </c>
      <c r="BN4069" s="8">
        <v>0</v>
      </c>
      <c r="BO4069" s="8">
        <v>4992123.5719865486</v>
      </c>
      <c r="BP4069" s="8">
        <v>2230573.7548985686</v>
      </c>
      <c r="BQ4069" s="8">
        <v>-2761549.81708798</v>
      </c>
      <c r="BR4069" s="8" t="str">
        <v>Yes</v>
      </c>
    </row>
    <row r="4070" spans="54:70" x14ac:dyDescent="0.2">
      <c r="BB4070" s="94"/>
      <c r="BL4070" s="8">
        <v>4021</v>
      </c>
      <c r="BM4070" s="8">
        <v>7030818.9796225112</v>
      </c>
      <c r="BN4070" s="8">
        <v>4894336.5617964994</v>
      </c>
      <c r="BO4070" s="8">
        <v>11925155.541419011</v>
      </c>
      <c r="BP4070" s="8">
        <v>4701186.6852417327</v>
      </c>
      <c r="BQ4070" s="8">
        <v>-7223968.8561772779</v>
      </c>
      <c r="BR4070" s="8" t="str">
        <v>Yes</v>
      </c>
    </row>
    <row r="4071" spans="54:70" x14ac:dyDescent="0.2">
      <c r="BB4071" s="94"/>
      <c r="BL4071" s="8">
        <v>4022</v>
      </c>
      <c r="BM4071" s="8">
        <v>4455835.105231788</v>
      </c>
      <c r="BN4071" s="8">
        <v>7009074.1046304107</v>
      </c>
      <c r="BO4071" s="8">
        <v>11464909.209862199</v>
      </c>
      <c r="BP4071" s="8">
        <v>2224208.5066762264</v>
      </c>
      <c r="BQ4071" s="8">
        <v>-9240700.7031859718</v>
      </c>
      <c r="BR4071" s="8" t="str">
        <v>Yes</v>
      </c>
    </row>
    <row r="4072" spans="54:70" x14ac:dyDescent="0.2">
      <c r="BB4072" s="94"/>
      <c r="BL4072" s="8">
        <v>4023</v>
      </c>
      <c r="BM4072" s="8">
        <v>7405529.7173984069</v>
      </c>
      <c r="BN4072" s="8">
        <v>0</v>
      </c>
      <c r="BO4072" s="8">
        <v>7405529.7173984069</v>
      </c>
      <c r="BP4072" s="8">
        <v>6194796.9909179211</v>
      </c>
      <c r="BQ4072" s="8">
        <v>-1210732.7264804859</v>
      </c>
      <c r="BR4072" s="8" t="str">
        <v>Yes</v>
      </c>
    </row>
    <row r="4073" spans="54:70" x14ac:dyDescent="0.2">
      <c r="BB4073" s="94"/>
      <c r="BL4073" s="8">
        <v>4024</v>
      </c>
      <c r="BM4073" s="8">
        <v>6161685.641861639</v>
      </c>
      <c r="BN4073" s="8">
        <v>16131304.486197263</v>
      </c>
      <c r="BO4073" s="8">
        <v>22292990.128058903</v>
      </c>
      <c r="BP4073" s="8">
        <v>4557833.4005908286</v>
      </c>
      <c r="BQ4073" s="8">
        <v>-17735156.727468073</v>
      </c>
      <c r="BR4073" s="8" t="str">
        <v>Yes</v>
      </c>
    </row>
    <row r="4074" spans="54:70" x14ac:dyDescent="0.2">
      <c r="BB4074" s="94"/>
      <c r="BL4074" s="8">
        <v>4025</v>
      </c>
      <c r="BM4074" s="8">
        <v>5268055.0900630634</v>
      </c>
      <c r="BN4074" s="8">
        <v>0</v>
      </c>
      <c r="BO4074" s="8">
        <v>5268055.0900630634</v>
      </c>
      <c r="BP4074" s="8">
        <v>6101456.8801848693</v>
      </c>
      <c r="BQ4074" s="8">
        <v>833401.79012180585</v>
      </c>
      <c r="BR4074" s="8" t="str">
        <v>No</v>
      </c>
    </row>
    <row r="4075" spans="54:70" x14ac:dyDescent="0.2">
      <c r="BB4075" s="94"/>
      <c r="BL4075" s="8">
        <v>4026</v>
      </c>
      <c r="BM4075" s="8">
        <v>5541455.0394094782</v>
      </c>
      <c r="BN4075" s="8">
        <v>4571441.1679295069</v>
      </c>
      <c r="BO4075" s="8">
        <v>10112896.207338985</v>
      </c>
      <c r="BP4075" s="8">
        <v>3497980.5087069841</v>
      </c>
      <c r="BQ4075" s="8">
        <v>-6614915.6986320009</v>
      </c>
      <c r="BR4075" s="8" t="str">
        <v>Yes</v>
      </c>
    </row>
    <row r="4076" spans="54:70" x14ac:dyDescent="0.2">
      <c r="BB4076" s="94"/>
      <c r="BL4076" s="8">
        <v>4027</v>
      </c>
      <c r="BM4076" s="8">
        <v>8092296.0406952957</v>
      </c>
      <c r="BN4076" s="8">
        <v>0</v>
      </c>
      <c r="BO4076" s="8">
        <v>8092296.0406952957</v>
      </c>
      <c r="BP4076" s="8">
        <v>2417680.4114730121</v>
      </c>
      <c r="BQ4076" s="8">
        <v>-5674615.6292222831</v>
      </c>
      <c r="BR4076" s="8" t="str">
        <v>Yes</v>
      </c>
    </row>
    <row r="4077" spans="54:70" x14ac:dyDescent="0.2">
      <c r="BB4077" s="94"/>
      <c r="BL4077" s="8">
        <v>4028</v>
      </c>
      <c r="BM4077" s="8">
        <v>7210784.706522001</v>
      </c>
      <c r="BN4077" s="8">
        <v>0</v>
      </c>
      <c r="BO4077" s="8">
        <v>7210784.706522001</v>
      </c>
      <c r="BP4077" s="8">
        <v>6607162.4231017167</v>
      </c>
      <c r="BQ4077" s="8">
        <v>-603622.28342028428</v>
      </c>
      <c r="BR4077" s="8" t="str">
        <v>Yes</v>
      </c>
    </row>
    <row r="4078" spans="54:70" x14ac:dyDescent="0.2">
      <c r="BB4078" s="94"/>
      <c r="BL4078" s="8">
        <v>4029</v>
      </c>
      <c r="BM4078" s="8">
        <v>4786727.4695699709</v>
      </c>
      <c r="BN4078" s="8">
        <v>3969129.9314787099</v>
      </c>
      <c r="BO4078" s="8">
        <v>8755857.4010486808</v>
      </c>
      <c r="BP4078" s="8">
        <v>5822845.6352162538</v>
      </c>
      <c r="BQ4078" s="8">
        <v>-2933011.765832427</v>
      </c>
      <c r="BR4078" s="8" t="str">
        <v>Yes</v>
      </c>
    </row>
    <row r="4079" spans="54:70" x14ac:dyDescent="0.2">
      <c r="BB4079" s="94"/>
      <c r="BL4079" s="8">
        <v>4030</v>
      </c>
      <c r="BM4079" s="8">
        <v>3415516.1786238197</v>
      </c>
      <c r="BN4079" s="8">
        <v>2454492.5953106168</v>
      </c>
      <c r="BO4079" s="8">
        <v>5870008.773934437</v>
      </c>
      <c r="BP4079" s="8">
        <v>3240842.8422461706</v>
      </c>
      <c r="BQ4079" s="8">
        <v>-2629165.9316882663</v>
      </c>
      <c r="BR4079" s="8" t="str">
        <v>Yes</v>
      </c>
    </row>
    <row r="4080" spans="54:70" x14ac:dyDescent="0.2">
      <c r="BB4080" s="94"/>
      <c r="BL4080" s="8">
        <v>4031</v>
      </c>
      <c r="BM4080" s="8">
        <v>13145416.798101649</v>
      </c>
      <c r="BN4080" s="8">
        <v>0</v>
      </c>
      <c r="BO4080" s="8">
        <v>13145416.798101649</v>
      </c>
      <c r="BP4080" s="8">
        <v>6095060.9669370856</v>
      </c>
      <c r="BQ4080" s="8">
        <v>-7050355.8311645631</v>
      </c>
      <c r="BR4080" s="8" t="str">
        <v>Yes</v>
      </c>
    </row>
    <row r="4081" spans="54:70" x14ac:dyDescent="0.2">
      <c r="BB4081" s="94"/>
      <c r="BL4081" s="8">
        <v>4032</v>
      </c>
      <c r="BM4081" s="8">
        <v>4326260.02557866</v>
      </c>
      <c r="BN4081" s="8">
        <v>0</v>
      </c>
      <c r="BO4081" s="8">
        <v>4326260.02557866</v>
      </c>
      <c r="BP4081" s="8">
        <v>4028255.7872805255</v>
      </c>
      <c r="BQ4081" s="8">
        <v>-298004.23829813441</v>
      </c>
      <c r="BR4081" s="8" t="str">
        <v>Yes</v>
      </c>
    </row>
    <row r="4082" spans="54:70" x14ac:dyDescent="0.2">
      <c r="BB4082" s="94"/>
      <c r="BL4082" s="8">
        <v>4033</v>
      </c>
      <c r="BM4082" s="8">
        <v>2181419.5074533168</v>
      </c>
      <c r="BN4082" s="8">
        <v>148885.16052844896</v>
      </c>
      <c r="BO4082" s="8">
        <v>2330304.6679817657</v>
      </c>
      <c r="BP4082" s="8">
        <v>2363149.8454713221</v>
      </c>
      <c r="BQ4082" s="8">
        <v>32845.177489556372</v>
      </c>
      <c r="BR4082" s="8" t="str">
        <v>No</v>
      </c>
    </row>
    <row r="4083" spans="54:70" x14ac:dyDescent="0.2">
      <c r="BB4083" s="94"/>
      <c r="BL4083" s="8">
        <v>4034</v>
      </c>
      <c r="BM4083" s="8">
        <v>2902632.3427711823</v>
      </c>
      <c r="BN4083" s="8">
        <v>0</v>
      </c>
      <c r="BO4083" s="8">
        <v>2902632.3427711823</v>
      </c>
      <c r="BP4083" s="8">
        <v>2247112.5984674077</v>
      </c>
      <c r="BQ4083" s="8">
        <v>-655519.74430377455</v>
      </c>
      <c r="BR4083" s="8" t="str">
        <v>Yes</v>
      </c>
    </row>
    <row r="4084" spans="54:70" x14ac:dyDescent="0.2">
      <c r="BB4084" s="94"/>
      <c r="BL4084" s="8">
        <v>4035</v>
      </c>
      <c r="BM4084" s="8">
        <v>5332207.3195549604</v>
      </c>
      <c r="BN4084" s="8">
        <v>0</v>
      </c>
      <c r="BO4084" s="8">
        <v>5332207.3195549604</v>
      </c>
      <c r="BP4084" s="8">
        <v>6615006.6833335124</v>
      </c>
      <c r="BQ4084" s="8">
        <v>1282799.363778552</v>
      </c>
      <c r="BR4084" s="8" t="str">
        <v>No</v>
      </c>
    </row>
    <row r="4085" spans="54:70" x14ac:dyDescent="0.2">
      <c r="BB4085" s="94"/>
      <c r="BL4085" s="8">
        <v>4036</v>
      </c>
      <c r="BM4085" s="8">
        <v>6544742.1294604745</v>
      </c>
      <c r="BN4085" s="8">
        <v>0</v>
      </c>
      <c r="BO4085" s="8">
        <v>6544742.1294604745</v>
      </c>
      <c r="BP4085" s="8">
        <v>5986370.0741457092</v>
      </c>
      <c r="BQ4085" s="8">
        <v>-558372.05531476531</v>
      </c>
      <c r="BR4085" s="8" t="str">
        <v>Yes</v>
      </c>
    </row>
    <row r="4086" spans="54:70" x14ac:dyDescent="0.2">
      <c r="BB4086" s="94"/>
      <c r="BL4086" s="8">
        <v>4037</v>
      </c>
      <c r="BM4086" s="8">
        <v>3535114.3133510482</v>
      </c>
      <c r="BN4086" s="8">
        <v>0</v>
      </c>
      <c r="BO4086" s="8">
        <v>3535114.3133510482</v>
      </c>
      <c r="BP4086" s="8">
        <v>4449848.8536902573</v>
      </c>
      <c r="BQ4086" s="8">
        <v>914734.54033920914</v>
      </c>
      <c r="BR4086" s="8" t="str">
        <v>No</v>
      </c>
    </row>
    <row r="4087" spans="54:70" x14ac:dyDescent="0.2">
      <c r="BB4087" s="94"/>
      <c r="BL4087" s="8">
        <v>4038</v>
      </c>
      <c r="BM4087" s="8">
        <v>7161834.1202040948</v>
      </c>
      <c r="BN4087" s="8">
        <v>0</v>
      </c>
      <c r="BO4087" s="8">
        <v>7161834.1202040948</v>
      </c>
      <c r="BP4087" s="8">
        <v>4616722.5752863158</v>
      </c>
      <c r="BQ4087" s="8">
        <v>-2545111.544917779</v>
      </c>
      <c r="BR4087" s="8" t="str">
        <v>Yes</v>
      </c>
    </row>
    <row r="4088" spans="54:70" x14ac:dyDescent="0.2">
      <c r="BB4088" s="94"/>
      <c r="BL4088" s="8">
        <v>4039</v>
      </c>
      <c r="BM4088" s="8">
        <v>4100683.7264397908</v>
      </c>
      <c r="BN4088" s="8">
        <v>2381092.7632918591</v>
      </c>
      <c r="BO4088" s="8">
        <v>6481776.4897316499</v>
      </c>
      <c r="BP4088" s="8">
        <v>4541317.0655702213</v>
      </c>
      <c r="BQ4088" s="8">
        <v>-1940459.4241614286</v>
      </c>
      <c r="BR4088" s="8" t="str">
        <v>Yes</v>
      </c>
    </row>
    <row r="4089" spans="54:70" x14ac:dyDescent="0.2">
      <c r="BB4089" s="94"/>
      <c r="BL4089" s="8">
        <v>4040</v>
      </c>
      <c r="BM4089" s="8">
        <v>7036434.0158348009</v>
      </c>
      <c r="BN4089" s="8">
        <v>0</v>
      </c>
      <c r="BO4089" s="8">
        <v>7036434.0158348009</v>
      </c>
      <c r="BP4089" s="8">
        <v>4227808.9626161326</v>
      </c>
      <c r="BQ4089" s="8">
        <v>-2808625.0532186683</v>
      </c>
      <c r="BR4089" s="8" t="str">
        <v>Yes</v>
      </c>
    </row>
    <row r="4090" spans="54:70" x14ac:dyDescent="0.2">
      <c r="BB4090" s="94"/>
      <c r="BL4090" s="8">
        <v>4041</v>
      </c>
      <c r="BM4090" s="8">
        <v>4860065.5829241211</v>
      </c>
      <c r="BN4090" s="8">
        <v>0</v>
      </c>
      <c r="BO4090" s="8">
        <v>4860065.5829241211</v>
      </c>
      <c r="BP4090" s="8">
        <v>3207827.637381034</v>
      </c>
      <c r="BQ4090" s="8">
        <v>-1652237.9455430871</v>
      </c>
      <c r="BR4090" s="8" t="str">
        <v>Yes</v>
      </c>
    </row>
    <row r="4091" spans="54:70" x14ac:dyDescent="0.2">
      <c r="BB4091" s="94"/>
      <c r="BL4091" s="8">
        <v>4042</v>
      </c>
      <c r="BM4091" s="8">
        <v>3131021.3705667369</v>
      </c>
      <c r="BN4091" s="8">
        <v>0</v>
      </c>
      <c r="BO4091" s="8">
        <v>3131021.3705667369</v>
      </c>
      <c r="BP4091" s="8">
        <v>2155898.0385034848</v>
      </c>
      <c r="BQ4091" s="8">
        <v>-975123.33206325211</v>
      </c>
      <c r="BR4091" s="8" t="str">
        <v>Yes</v>
      </c>
    </row>
    <row r="4092" spans="54:70" x14ac:dyDescent="0.2">
      <c r="BB4092" s="94"/>
      <c r="BL4092" s="8">
        <v>4043</v>
      </c>
      <c r="BM4092" s="8">
        <v>2867364.1936901128</v>
      </c>
      <c r="BN4092" s="8">
        <v>3759622.0583546688</v>
      </c>
      <c r="BO4092" s="8">
        <v>6626986.252044782</v>
      </c>
      <c r="BP4092" s="8">
        <v>4095359.9943453218</v>
      </c>
      <c r="BQ4092" s="8">
        <v>-2531626.2576994603</v>
      </c>
      <c r="BR4092" s="8" t="str">
        <v>Yes</v>
      </c>
    </row>
    <row r="4093" spans="54:70" x14ac:dyDescent="0.2">
      <c r="BB4093" s="94"/>
      <c r="BL4093" s="8">
        <v>4044</v>
      </c>
      <c r="BM4093" s="8">
        <v>6853149.7596140038</v>
      </c>
      <c r="BN4093" s="8">
        <v>0</v>
      </c>
      <c r="BO4093" s="8">
        <v>6853149.7596140038</v>
      </c>
      <c r="BP4093" s="8">
        <v>4409586.3082833029</v>
      </c>
      <c r="BQ4093" s="8">
        <v>-2443563.4513307009</v>
      </c>
      <c r="BR4093" s="8" t="str">
        <v>Yes</v>
      </c>
    </row>
    <row r="4094" spans="54:70" x14ac:dyDescent="0.2">
      <c r="BB4094" s="94"/>
      <c r="BL4094" s="8">
        <v>4045</v>
      </c>
      <c r="BM4094" s="8">
        <v>3072732.9306064192</v>
      </c>
      <c r="BN4094" s="8">
        <v>0</v>
      </c>
      <c r="BO4094" s="8">
        <v>3072732.9306064192</v>
      </c>
      <c r="BP4094" s="8">
        <v>3277393.7778275413</v>
      </c>
      <c r="BQ4094" s="8">
        <v>204660.84722112212</v>
      </c>
      <c r="BR4094" s="8" t="str">
        <v>No</v>
      </c>
    </row>
    <row r="4095" spans="54:70" x14ac:dyDescent="0.2">
      <c r="BB4095" s="94"/>
      <c r="BL4095" s="8">
        <v>4046</v>
      </c>
      <c r="BM4095" s="8">
        <v>1232815.1942300342</v>
      </c>
      <c r="BN4095" s="8">
        <v>472051.99550708238</v>
      </c>
      <c r="BO4095" s="8">
        <v>1704867.1897371167</v>
      </c>
      <c r="BP4095" s="8">
        <v>3635927.4635165012</v>
      </c>
      <c r="BQ4095" s="8">
        <v>1931060.2737793846</v>
      </c>
      <c r="BR4095" s="8" t="str">
        <v>No</v>
      </c>
    </row>
    <row r="4096" spans="54:70" x14ac:dyDescent="0.2">
      <c r="BB4096" s="94"/>
      <c r="BL4096" s="8">
        <v>4047</v>
      </c>
      <c r="BM4096" s="8">
        <v>1678013.9082257515</v>
      </c>
      <c r="BN4096" s="8">
        <v>0</v>
      </c>
      <c r="BO4096" s="8">
        <v>1678013.9082257515</v>
      </c>
      <c r="BP4096" s="8">
        <v>4352862.3881527986</v>
      </c>
      <c r="BQ4096" s="8">
        <v>2674848.4799270472</v>
      </c>
      <c r="BR4096" s="8" t="str">
        <v>No</v>
      </c>
    </row>
    <row r="4097" spans="54:70" x14ac:dyDescent="0.2">
      <c r="BB4097" s="94"/>
      <c r="BL4097" s="8">
        <v>4048</v>
      </c>
      <c r="BM4097" s="8">
        <v>3986731.7398980199</v>
      </c>
      <c r="BN4097" s="8">
        <v>2263711.7065167329</v>
      </c>
      <c r="BO4097" s="8">
        <v>6250443.4464147529</v>
      </c>
      <c r="BP4097" s="8">
        <v>3258441.1935898247</v>
      </c>
      <c r="BQ4097" s="8">
        <v>-2992002.2528249281</v>
      </c>
      <c r="BR4097" s="8" t="str">
        <v>Yes</v>
      </c>
    </row>
    <row r="4098" spans="54:70" x14ac:dyDescent="0.2">
      <c r="BB4098" s="94"/>
      <c r="BL4098" s="8">
        <v>4049</v>
      </c>
      <c r="BM4098" s="8">
        <v>2833440.8416496878</v>
      </c>
      <c r="BN4098" s="8">
        <v>0</v>
      </c>
      <c r="BO4098" s="8">
        <v>2833440.8416496878</v>
      </c>
      <c r="BP4098" s="8">
        <v>6551987.6730742119</v>
      </c>
      <c r="BQ4098" s="8">
        <v>3718546.8314245241</v>
      </c>
      <c r="BR4098" s="8" t="str">
        <v>No</v>
      </c>
    </row>
    <row r="4099" spans="54:70" x14ac:dyDescent="0.2">
      <c r="BB4099" s="94"/>
      <c r="BL4099" s="8">
        <v>4050</v>
      </c>
      <c r="BM4099" s="8">
        <v>8083956.3400077075</v>
      </c>
      <c r="BN4099" s="8">
        <v>0</v>
      </c>
      <c r="BO4099" s="8">
        <v>8083956.3400077075</v>
      </c>
      <c r="BP4099" s="8">
        <v>3229832.3031474706</v>
      </c>
      <c r="BQ4099" s="8">
        <v>-4854124.0368602369</v>
      </c>
      <c r="BR4099" s="8" t="str">
        <v>Yes</v>
      </c>
    </row>
    <row r="4100" spans="54:70" x14ac:dyDescent="0.2">
      <c r="BB4100" s="94"/>
      <c r="BL4100" s="8">
        <v>4051</v>
      </c>
      <c r="BM4100" s="8">
        <v>2611269.5351466853</v>
      </c>
      <c r="BN4100" s="8">
        <v>-235918.04579032847</v>
      </c>
      <c r="BO4100" s="8">
        <v>2375351.4893563567</v>
      </c>
      <c r="BP4100" s="8">
        <v>6458458.4716800051</v>
      </c>
      <c r="BQ4100" s="8">
        <v>4083106.9823236484</v>
      </c>
      <c r="BR4100" s="8" t="str">
        <v>No</v>
      </c>
    </row>
    <row r="4101" spans="54:70" x14ac:dyDescent="0.2">
      <c r="BB4101" s="94"/>
      <c r="BL4101" s="8">
        <v>4052</v>
      </c>
      <c r="BM4101" s="8">
        <v>2836736.7929790444</v>
      </c>
      <c r="BN4101" s="8">
        <v>0</v>
      </c>
      <c r="BO4101" s="8">
        <v>2836736.7929790444</v>
      </c>
      <c r="BP4101" s="8">
        <v>6379020.9061486432</v>
      </c>
      <c r="BQ4101" s="8">
        <v>3542284.1131695989</v>
      </c>
      <c r="BR4101" s="8" t="str">
        <v>No</v>
      </c>
    </row>
    <row r="4102" spans="54:70" x14ac:dyDescent="0.2">
      <c r="BB4102" s="94"/>
      <c r="BL4102" s="8">
        <v>4053</v>
      </c>
      <c r="BM4102" s="8">
        <v>6734894.7888291311</v>
      </c>
      <c r="BN4102" s="8">
        <v>0</v>
      </c>
      <c r="BO4102" s="8">
        <v>6734894.7888291311</v>
      </c>
      <c r="BP4102" s="8">
        <v>4086208.2247375427</v>
      </c>
      <c r="BQ4102" s="8">
        <v>-2648686.5640915884</v>
      </c>
      <c r="BR4102" s="8" t="str">
        <v>Yes</v>
      </c>
    </row>
    <row r="4103" spans="54:70" x14ac:dyDescent="0.2">
      <c r="BB4103" s="94"/>
      <c r="BL4103" s="8">
        <v>4054</v>
      </c>
      <c r="BM4103" s="8">
        <v>2182233.1024132567</v>
      </c>
      <c r="BN4103" s="8">
        <v>0</v>
      </c>
      <c r="BO4103" s="8">
        <v>2182233.1024132567</v>
      </c>
      <c r="BP4103" s="8">
        <v>3202079.9705964471</v>
      </c>
      <c r="BQ4103" s="8">
        <v>1019846.8681831905</v>
      </c>
      <c r="BR4103" s="8" t="str">
        <v>No</v>
      </c>
    </row>
    <row r="4104" spans="54:70" x14ac:dyDescent="0.2">
      <c r="BB4104" s="94"/>
      <c r="BL4104" s="8">
        <v>4055</v>
      </c>
      <c r="BM4104" s="8">
        <v>4104423.3104674788</v>
      </c>
      <c r="BN4104" s="8">
        <v>3548566.033283582</v>
      </c>
      <c r="BO4104" s="8">
        <v>7652989.3437510608</v>
      </c>
      <c r="BP4104" s="8">
        <v>2243977.4087076942</v>
      </c>
      <c r="BQ4104" s="8">
        <v>-5409011.9350433666</v>
      </c>
      <c r="BR4104" s="8" t="str">
        <v>Yes</v>
      </c>
    </row>
    <row r="4105" spans="54:70" x14ac:dyDescent="0.2">
      <c r="BB4105" s="94"/>
      <c r="BL4105" s="8">
        <v>4056</v>
      </c>
      <c r="BM4105" s="8">
        <v>12810690.979964055</v>
      </c>
      <c r="BN4105" s="8">
        <v>0</v>
      </c>
      <c r="BO4105" s="8">
        <v>12810690.979964055</v>
      </c>
      <c r="BP4105" s="8">
        <v>4163782.6016973522</v>
      </c>
      <c r="BQ4105" s="8">
        <v>-8646908.3782667033</v>
      </c>
      <c r="BR4105" s="8" t="str">
        <v>Yes</v>
      </c>
    </row>
    <row r="4106" spans="54:70" x14ac:dyDescent="0.2">
      <c r="BB4106" s="94"/>
      <c r="BL4106" s="8">
        <v>4057</v>
      </c>
      <c r="BM4106" s="8">
        <v>5162579.8780425992</v>
      </c>
      <c r="BN4106" s="8">
        <v>0</v>
      </c>
      <c r="BO4106" s="8">
        <v>5162579.8780425992</v>
      </c>
      <c r="BP4106" s="8">
        <v>3453139.0227685166</v>
      </c>
      <c r="BQ4106" s="8">
        <v>-1709440.8552740826</v>
      </c>
      <c r="BR4106" s="8" t="str">
        <v>Yes</v>
      </c>
    </row>
    <row r="4107" spans="54:70" x14ac:dyDescent="0.2">
      <c r="BB4107" s="94"/>
      <c r="BL4107" s="8">
        <v>4058</v>
      </c>
      <c r="BM4107" s="8">
        <v>5157477.7247840418</v>
      </c>
      <c r="BN4107" s="8">
        <v>5035233.5200468376</v>
      </c>
      <c r="BO4107" s="8">
        <v>10192711.24483088</v>
      </c>
      <c r="BP4107" s="8">
        <v>3381846.4763704748</v>
      </c>
      <c r="BQ4107" s="8">
        <v>-6810864.768460406</v>
      </c>
      <c r="BR4107" s="8" t="str">
        <v>Yes</v>
      </c>
    </row>
    <row r="4108" spans="54:70" x14ac:dyDescent="0.2">
      <c r="BB4108" s="94"/>
      <c r="BL4108" s="8">
        <v>4059</v>
      </c>
      <c r="BM4108" s="8">
        <v>2350215.1328584314</v>
      </c>
      <c r="BN4108" s="8">
        <v>0</v>
      </c>
      <c r="BO4108" s="8">
        <v>2350215.1328584314</v>
      </c>
      <c r="BP4108" s="8">
        <v>6766594.0405814927</v>
      </c>
      <c r="BQ4108" s="8">
        <v>4416378.9077230617</v>
      </c>
      <c r="BR4108" s="8" t="str">
        <v>No</v>
      </c>
    </row>
    <row r="4109" spans="54:70" x14ac:dyDescent="0.2">
      <c r="BB4109" s="94"/>
      <c r="BL4109" s="8">
        <v>4060</v>
      </c>
      <c r="BM4109" s="8">
        <v>4813493.7394455848</v>
      </c>
      <c r="BN4109" s="8">
        <v>3390076.7847889424</v>
      </c>
      <c r="BO4109" s="8">
        <v>8203570.5242345277</v>
      </c>
      <c r="BP4109" s="8">
        <v>6112110.3612225149</v>
      </c>
      <c r="BQ4109" s="8">
        <v>-2091460.1630120128</v>
      </c>
      <c r="BR4109" s="8" t="str">
        <v>Yes</v>
      </c>
    </row>
    <row r="4110" spans="54:70" x14ac:dyDescent="0.2">
      <c r="BB4110" s="94"/>
      <c r="BL4110" s="8">
        <v>4061</v>
      </c>
      <c r="BM4110" s="8">
        <v>2760962.3673930462</v>
      </c>
      <c r="BN4110" s="8">
        <v>3716672.7727229139</v>
      </c>
      <c r="BO4110" s="8">
        <v>6477635.1401159596</v>
      </c>
      <c r="BP4110" s="8">
        <v>2401480.022345203</v>
      </c>
      <c r="BQ4110" s="8">
        <v>-4076155.1177707566</v>
      </c>
      <c r="BR4110" s="8" t="str">
        <v>Yes</v>
      </c>
    </row>
    <row r="4111" spans="54:70" x14ac:dyDescent="0.2">
      <c r="BB4111" s="94"/>
      <c r="BL4111" s="8">
        <v>4062</v>
      </c>
      <c r="BM4111" s="8">
        <v>7026675.1462270292</v>
      </c>
      <c r="BN4111" s="8">
        <v>9387522.7361635379</v>
      </c>
      <c r="BO4111" s="8">
        <v>16414197.882390566</v>
      </c>
      <c r="BP4111" s="8">
        <v>3721264.7951624272</v>
      </c>
      <c r="BQ4111" s="8">
        <v>-12692933.087228138</v>
      </c>
      <c r="BR4111" s="8" t="str">
        <v>Yes</v>
      </c>
    </row>
    <row r="4112" spans="54:70" x14ac:dyDescent="0.2">
      <c r="BB4112" s="94"/>
      <c r="BL4112" s="8">
        <v>4063</v>
      </c>
      <c r="BM4112" s="8">
        <v>6904998.8340632301</v>
      </c>
      <c r="BN4112" s="8">
        <v>967238.85032408603</v>
      </c>
      <c r="BO4112" s="8">
        <v>7872237.684387316</v>
      </c>
      <c r="BP4112" s="8">
        <v>6110037.9164941795</v>
      </c>
      <c r="BQ4112" s="8">
        <v>-1762199.7678931365</v>
      </c>
      <c r="BR4112" s="8" t="str">
        <v>Yes</v>
      </c>
    </row>
    <row r="4113" spans="54:70" x14ac:dyDescent="0.2">
      <c r="BB4113" s="94"/>
      <c r="BL4113" s="8">
        <v>4064</v>
      </c>
      <c r="BM4113" s="8">
        <v>2382828.4446547525</v>
      </c>
      <c r="BN4113" s="8">
        <v>0</v>
      </c>
      <c r="BO4113" s="8">
        <v>2382828.4446547525</v>
      </c>
      <c r="BP4113" s="8">
        <v>2139907.2628791425</v>
      </c>
      <c r="BQ4113" s="8">
        <v>-242921.18177560996</v>
      </c>
      <c r="BR4113" s="8" t="str">
        <v>Yes</v>
      </c>
    </row>
    <row r="4114" spans="54:70" x14ac:dyDescent="0.2">
      <c r="BB4114" s="94"/>
      <c r="BL4114" s="8">
        <v>4065</v>
      </c>
      <c r="BM4114" s="8">
        <v>3246281.2868565884</v>
      </c>
      <c r="BN4114" s="8">
        <v>947668.93260518811</v>
      </c>
      <c r="BO4114" s="8">
        <v>4193950.2194617763</v>
      </c>
      <c r="BP4114" s="8">
        <v>6266831.5811509453</v>
      </c>
      <c r="BQ4114" s="8">
        <v>2072881.361689169</v>
      </c>
      <c r="BR4114" s="8" t="str">
        <v>No</v>
      </c>
    </row>
    <row r="4115" spans="54:70" x14ac:dyDescent="0.2">
      <c r="BB4115" s="94"/>
      <c r="BL4115" s="8">
        <v>4066</v>
      </c>
      <c r="BM4115" s="8">
        <v>4692995.7273980873</v>
      </c>
      <c r="BN4115" s="8">
        <v>0</v>
      </c>
      <c r="BO4115" s="8">
        <v>4692995.7273980873</v>
      </c>
      <c r="BP4115" s="8">
        <v>4015235.9332904504</v>
      </c>
      <c r="BQ4115" s="8">
        <v>-677759.7941076369</v>
      </c>
      <c r="BR4115" s="8" t="str">
        <v>Yes</v>
      </c>
    </row>
    <row r="4116" spans="54:70" x14ac:dyDescent="0.2">
      <c r="BB4116" s="94"/>
      <c r="BL4116" s="8">
        <v>4067</v>
      </c>
      <c r="BM4116" s="8">
        <v>3454930.1342381928</v>
      </c>
      <c r="BN4116" s="8">
        <v>0</v>
      </c>
      <c r="BO4116" s="8">
        <v>3454930.1342381928</v>
      </c>
      <c r="BP4116" s="8">
        <v>3407105.4382190998</v>
      </c>
      <c r="BQ4116" s="8">
        <v>-47824.69601909304</v>
      </c>
      <c r="BR4116" s="8" t="str">
        <v>Yes</v>
      </c>
    </row>
    <row r="4117" spans="54:70" x14ac:dyDescent="0.2">
      <c r="BB4117" s="94"/>
      <c r="BL4117" s="8">
        <v>4068</v>
      </c>
      <c r="BM4117" s="8">
        <v>3021789.0591566931</v>
      </c>
      <c r="BN4117" s="8">
        <v>0</v>
      </c>
      <c r="BO4117" s="8">
        <v>3021789.0591566931</v>
      </c>
      <c r="BP4117" s="8">
        <v>3282696.6986166108</v>
      </c>
      <c r="BQ4117" s="8">
        <v>260907.63945991779</v>
      </c>
      <c r="BR4117" s="8" t="str">
        <v>No</v>
      </c>
    </row>
    <row r="4118" spans="54:70" x14ac:dyDescent="0.2">
      <c r="BB4118" s="94"/>
      <c r="BL4118" s="8">
        <v>4069</v>
      </c>
      <c r="BM4118" s="8">
        <v>2117610.6453893906</v>
      </c>
      <c r="BN4118" s="8">
        <v>1844119.7942856499</v>
      </c>
      <c r="BO4118" s="8">
        <v>3961730.4396750405</v>
      </c>
      <c r="BP4118" s="8">
        <v>2339850.9286104678</v>
      </c>
      <c r="BQ4118" s="8">
        <v>-1621879.5110645727</v>
      </c>
      <c r="BR4118" s="8" t="str">
        <v>Yes</v>
      </c>
    </row>
    <row r="4119" spans="54:70" x14ac:dyDescent="0.2">
      <c r="BB4119" s="94"/>
      <c r="BL4119" s="8">
        <v>4070</v>
      </c>
      <c r="BM4119" s="8">
        <v>8802251.3166394848</v>
      </c>
      <c r="BN4119" s="8">
        <v>0</v>
      </c>
      <c r="BO4119" s="8">
        <v>8802251.3166394848</v>
      </c>
      <c r="BP4119" s="8">
        <v>6271430.1875301581</v>
      </c>
      <c r="BQ4119" s="8">
        <v>-2530821.1291093268</v>
      </c>
      <c r="BR4119" s="8" t="str">
        <v>Yes</v>
      </c>
    </row>
    <row r="4120" spans="54:70" x14ac:dyDescent="0.2">
      <c r="BB4120" s="94"/>
      <c r="BL4120" s="8">
        <v>4071</v>
      </c>
      <c r="BM4120" s="8">
        <v>5785315.9283528225</v>
      </c>
      <c r="BN4120" s="8">
        <v>4282013.6876469776</v>
      </c>
      <c r="BO4120" s="8">
        <v>10067329.615999799</v>
      </c>
      <c r="BP4120" s="8">
        <v>2217743.4576308527</v>
      </c>
      <c r="BQ4120" s="8">
        <v>-7849586.158368947</v>
      </c>
      <c r="BR4120" s="8" t="str">
        <v>Yes</v>
      </c>
    </row>
    <row r="4121" spans="54:70" x14ac:dyDescent="0.2">
      <c r="BB4121" s="94"/>
      <c r="BL4121" s="8">
        <v>4072</v>
      </c>
      <c r="BM4121" s="8">
        <v>5634804.2377426326</v>
      </c>
      <c r="BN4121" s="8">
        <v>0</v>
      </c>
      <c r="BO4121" s="8">
        <v>5634804.2377426326</v>
      </c>
      <c r="BP4121" s="8">
        <v>4343535.399225926</v>
      </c>
      <c r="BQ4121" s="8">
        <v>-1291268.8385167066</v>
      </c>
      <c r="BR4121" s="8" t="str">
        <v>Yes</v>
      </c>
    </row>
    <row r="4122" spans="54:70" x14ac:dyDescent="0.2">
      <c r="BB4122" s="94"/>
      <c r="BL4122" s="8">
        <v>4073</v>
      </c>
      <c r="BM4122" s="8">
        <v>8137047.8791889492</v>
      </c>
      <c r="BN4122" s="8">
        <v>5657914.4170493567</v>
      </c>
      <c r="BO4122" s="8">
        <v>13794962.296238307</v>
      </c>
      <c r="BP4122" s="8">
        <v>4229632.1458773045</v>
      </c>
      <c r="BQ4122" s="8">
        <v>-9565330.1503610015</v>
      </c>
      <c r="BR4122" s="8" t="str">
        <v>Yes</v>
      </c>
    </row>
    <row r="4123" spans="54:70" x14ac:dyDescent="0.2">
      <c r="BB4123" s="94"/>
      <c r="BL4123" s="8">
        <v>4074</v>
      </c>
      <c r="BM4123" s="8">
        <v>4661169.6525435857</v>
      </c>
      <c r="BN4123" s="8">
        <v>0</v>
      </c>
      <c r="BO4123" s="8">
        <v>4661169.6525435857</v>
      </c>
      <c r="BP4123" s="8">
        <v>2276061.993468672</v>
      </c>
      <c r="BQ4123" s="8">
        <v>-2385107.6590749137</v>
      </c>
      <c r="BR4123" s="8" t="str">
        <v>Yes</v>
      </c>
    </row>
    <row r="4124" spans="54:70" x14ac:dyDescent="0.2">
      <c r="BB4124" s="94"/>
      <c r="BL4124" s="8">
        <v>4075</v>
      </c>
      <c r="BM4124" s="8">
        <v>3319514.9300000588</v>
      </c>
      <c r="BN4124" s="8">
        <v>3172127.4779679738</v>
      </c>
      <c r="BO4124" s="8">
        <v>6491642.4079680331</v>
      </c>
      <c r="BP4124" s="8">
        <v>3537806.3723077201</v>
      </c>
      <c r="BQ4124" s="8">
        <v>-2953836.035660313</v>
      </c>
      <c r="BR4124" s="8" t="str">
        <v>Yes</v>
      </c>
    </row>
    <row r="4125" spans="54:70" x14ac:dyDescent="0.2">
      <c r="BB4125" s="94"/>
      <c r="BL4125" s="8">
        <v>4076</v>
      </c>
      <c r="BM4125" s="8">
        <v>3414196.0691715986</v>
      </c>
      <c r="BN4125" s="8">
        <v>991073.52443697338</v>
      </c>
      <c r="BO4125" s="8">
        <v>4405269.5936085721</v>
      </c>
      <c r="BP4125" s="8">
        <v>6389249.6443888564</v>
      </c>
      <c r="BQ4125" s="8">
        <v>1983980.0507802842</v>
      </c>
      <c r="BR4125" s="8" t="str">
        <v>No</v>
      </c>
    </row>
    <row r="4126" spans="54:70" x14ac:dyDescent="0.2">
      <c r="BB4126" s="94"/>
      <c r="BL4126" s="8">
        <v>4077</v>
      </c>
      <c r="BM4126" s="8">
        <v>6512634.6005690042</v>
      </c>
      <c r="BN4126" s="8">
        <v>0</v>
      </c>
      <c r="BO4126" s="8">
        <v>6512634.6005690042</v>
      </c>
      <c r="BP4126" s="8">
        <v>6535914.3214539764</v>
      </c>
      <c r="BQ4126" s="8">
        <v>23279.720884972252</v>
      </c>
      <c r="BR4126" s="8" t="str">
        <v>No</v>
      </c>
    </row>
    <row r="4127" spans="54:70" x14ac:dyDescent="0.2">
      <c r="BB4127" s="94"/>
      <c r="BL4127" s="8">
        <v>4078</v>
      </c>
      <c r="BM4127" s="8">
        <v>4584729.6578813903</v>
      </c>
      <c r="BN4127" s="8">
        <v>0</v>
      </c>
      <c r="BO4127" s="8">
        <v>4584729.6578813903</v>
      </c>
      <c r="BP4127" s="8">
        <v>6235048.5511433342</v>
      </c>
      <c r="BQ4127" s="8">
        <v>1650318.8932619439</v>
      </c>
      <c r="BR4127" s="8" t="str">
        <v>No</v>
      </c>
    </row>
    <row r="4128" spans="54:70" x14ac:dyDescent="0.2">
      <c r="BB4128" s="94"/>
      <c r="BL4128" s="8">
        <v>4079</v>
      </c>
      <c r="BM4128" s="8">
        <v>5140878.2767388998</v>
      </c>
      <c r="BN4128" s="8">
        <v>3991559.8844713569</v>
      </c>
      <c r="BO4128" s="8">
        <v>9132438.1612102576</v>
      </c>
      <c r="BP4128" s="8">
        <v>4127109.8083144194</v>
      </c>
      <c r="BQ4128" s="8">
        <v>-5005328.3528958382</v>
      </c>
      <c r="BR4128" s="8" t="str">
        <v>Yes</v>
      </c>
    </row>
    <row r="4129" spans="54:70" x14ac:dyDescent="0.2">
      <c r="BB4129" s="94"/>
      <c r="BL4129" s="8">
        <v>4080</v>
      </c>
      <c r="BM4129" s="8">
        <v>2222760.626362198</v>
      </c>
      <c r="BN4129" s="8">
        <v>0</v>
      </c>
      <c r="BO4129" s="8">
        <v>2222760.626362198</v>
      </c>
      <c r="BP4129" s="8">
        <v>4211934.3486467451</v>
      </c>
      <c r="BQ4129" s="8">
        <v>1989173.7222845471</v>
      </c>
      <c r="BR4129" s="8" t="str">
        <v>No</v>
      </c>
    </row>
    <row r="4130" spans="54:70" x14ac:dyDescent="0.2">
      <c r="BB4130" s="94"/>
      <c r="BL4130" s="8">
        <v>4081</v>
      </c>
      <c r="BM4130" s="8">
        <v>5825474.78689548</v>
      </c>
      <c r="BN4130" s="8">
        <v>8837938.9774266072</v>
      </c>
      <c r="BO4130" s="8">
        <v>14663413.764322087</v>
      </c>
      <c r="BP4130" s="8">
        <v>3424433.6195001425</v>
      </c>
      <c r="BQ4130" s="8">
        <v>-11238980.144821946</v>
      </c>
      <c r="BR4130" s="8" t="str">
        <v>Yes</v>
      </c>
    </row>
    <row r="4131" spans="54:70" x14ac:dyDescent="0.2">
      <c r="BB4131" s="94"/>
      <c r="BL4131" s="8">
        <v>4082</v>
      </c>
      <c r="BM4131" s="8">
        <v>4305979.3217635369</v>
      </c>
      <c r="BN4131" s="8">
        <v>0</v>
      </c>
      <c r="BO4131" s="8">
        <v>4305979.3217635369</v>
      </c>
      <c r="BP4131" s="8">
        <v>6036291.1843591258</v>
      </c>
      <c r="BQ4131" s="8">
        <v>1730311.8625955889</v>
      </c>
      <c r="BR4131" s="8" t="str">
        <v>No</v>
      </c>
    </row>
    <row r="4132" spans="54:70" x14ac:dyDescent="0.2">
      <c r="BB4132" s="94"/>
      <c r="BL4132" s="8">
        <v>4083</v>
      </c>
      <c r="BM4132" s="8">
        <v>4187811.0426177811</v>
      </c>
      <c r="BN4132" s="8">
        <v>0</v>
      </c>
      <c r="BO4132" s="8">
        <v>4187811.0426177811</v>
      </c>
      <c r="BP4132" s="8">
        <v>6146299.4871207867</v>
      </c>
      <c r="BQ4132" s="8">
        <v>1958488.4445030056</v>
      </c>
      <c r="BR4132" s="8" t="str">
        <v>No</v>
      </c>
    </row>
    <row r="4133" spans="54:70" x14ac:dyDescent="0.2">
      <c r="BB4133" s="94"/>
      <c r="BL4133" s="8">
        <v>4084</v>
      </c>
      <c r="BM4133" s="8">
        <v>5149260.4566521645</v>
      </c>
      <c r="BN4133" s="8">
        <v>0</v>
      </c>
      <c r="BO4133" s="8">
        <v>5149260.4566521645</v>
      </c>
      <c r="BP4133" s="8">
        <v>4384061.5399823617</v>
      </c>
      <c r="BQ4133" s="8">
        <v>-765198.91666980274</v>
      </c>
      <c r="BR4133" s="8" t="str">
        <v>Yes</v>
      </c>
    </row>
    <row r="4134" spans="54:70" x14ac:dyDescent="0.2">
      <c r="BB4134" s="94"/>
      <c r="BL4134" s="8">
        <v>4085</v>
      </c>
      <c r="BM4134" s="8">
        <v>2869489.8740628008</v>
      </c>
      <c r="BN4134" s="8">
        <v>0</v>
      </c>
      <c r="BO4134" s="8">
        <v>2869489.8740628008</v>
      </c>
      <c r="BP4134" s="8">
        <v>4087116.5087628416</v>
      </c>
      <c r="BQ4134" s="8">
        <v>1217626.6347000408</v>
      </c>
      <c r="BR4134" s="8" t="str">
        <v>No</v>
      </c>
    </row>
    <row r="4135" spans="54:70" x14ac:dyDescent="0.2">
      <c r="BB4135" s="94"/>
      <c r="BL4135" s="8">
        <v>4086</v>
      </c>
      <c r="BM4135" s="8">
        <v>3080690.8379338416</v>
      </c>
      <c r="BN4135" s="8">
        <v>1021732.0879095038</v>
      </c>
      <c r="BO4135" s="8">
        <v>4102422.9258433455</v>
      </c>
      <c r="BP4135" s="8">
        <v>6172445.6269887034</v>
      </c>
      <c r="BQ4135" s="8">
        <v>2070022.7011453579</v>
      </c>
      <c r="BR4135" s="8" t="str">
        <v>No</v>
      </c>
    </row>
    <row r="4136" spans="54:70" x14ac:dyDescent="0.2">
      <c r="BB4136" s="94"/>
      <c r="BL4136" s="8">
        <v>4087</v>
      </c>
      <c r="BM4136" s="8">
        <v>2980487.186812344</v>
      </c>
      <c r="BN4136" s="8">
        <v>0</v>
      </c>
      <c r="BO4136" s="8">
        <v>2980487.186812344</v>
      </c>
      <c r="BP4136" s="8">
        <v>4240829.5132041834</v>
      </c>
      <c r="BQ4136" s="8">
        <v>1260342.3263918394</v>
      </c>
      <c r="BR4136" s="8" t="str">
        <v>No</v>
      </c>
    </row>
    <row r="4137" spans="54:70" x14ac:dyDescent="0.2">
      <c r="BB4137" s="94"/>
      <c r="BL4137" s="8">
        <v>4088</v>
      </c>
      <c r="BM4137" s="8">
        <v>4659314.1816195007</v>
      </c>
      <c r="BN4137" s="8">
        <v>0</v>
      </c>
      <c r="BO4137" s="8">
        <v>4659314.1816195007</v>
      </c>
      <c r="BP4137" s="8">
        <v>4286582.746714185</v>
      </c>
      <c r="BQ4137" s="8">
        <v>-372731.43490531575</v>
      </c>
      <c r="BR4137" s="8" t="str">
        <v>Yes</v>
      </c>
    </row>
    <row r="4138" spans="54:70" x14ac:dyDescent="0.2">
      <c r="BB4138" s="94"/>
      <c r="BL4138" s="8">
        <v>4089</v>
      </c>
      <c r="BM4138" s="8">
        <v>10091846.45372084</v>
      </c>
      <c r="BN4138" s="8">
        <v>0</v>
      </c>
      <c r="BO4138" s="8">
        <v>10091846.45372084</v>
      </c>
      <c r="BP4138" s="8">
        <v>4269140.9905891996</v>
      </c>
      <c r="BQ4138" s="8">
        <v>-5822705.4631316401</v>
      </c>
      <c r="BR4138" s="8" t="str">
        <v>Yes</v>
      </c>
    </row>
    <row r="4139" spans="54:70" x14ac:dyDescent="0.2">
      <c r="BB4139" s="94"/>
      <c r="BL4139" s="8">
        <v>4090</v>
      </c>
      <c r="BM4139" s="8">
        <v>4884102.1280101929</v>
      </c>
      <c r="BN4139" s="8">
        <v>0</v>
      </c>
      <c r="BO4139" s="8">
        <v>4884102.1280101929</v>
      </c>
      <c r="BP4139" s="8">
        <v>5926302.1569812354</v>
      </c>
      <c r="BQ4139" s="8">
        <v>1042200.0289710425</v>
      </c>
      <c r="BR4139" s="8" t="str">
        <v>No</v>
      </c>
    </row>
    <row r="4140" spans="54:70" x14ac:dyDescent="0.2">
      <c r="BB4140" s="94"/>
      <c r="BL4140" s="8">
        <v>4091</v>
      </c>
      <c r="BM4140" s="8">
        <v>3100616.0780785223</v>
      </c>
      <c r="BN4140" s="8">
        <v>1697697.8977545288</v>
      </c>
      <c r="BO4140" s="8">
        <v>4798313.9758330509</v>
      </c>
      <c r="BP4140" s="8">
        <v>3141897.5349052791</v>
      </c>
      <c r="BQ4140" s="8">
        <v>-1656416.4409277719</v>
      </c>
      <c r="BR4140" s="8" t="str">
        <v>Yes</v>
      </c>
    </row>
    <row r="4141" spans="54:70" x14ac:dyDescent="0.2">
      <c r="BB4141" s="94"/>
      <c r="BL4141" s="8">
        <v>4092</v>
      </c>
      <c r="BM4141" s="8">
        <v>2458293.5221575322</v>
      </c>
      <c r="BN4141" s="8">
        <v>0</v>
      </c>
      <c r="BO4141" s="8">
        <v>2458293.5221575322</v>
      </c>
      <c r="BP4141" s="8">
        <v>2307320.779056869</v>
      </c>
      <c r="BQ4141" s="8">
        <v>-150972.74310066318</v>
      </c>
      <c r="BR4141" s="8" t="str">
        <v>Yes</v>
      </c>
    </row>
    <row r="4142" spans="54:70" x14ac:dyDescent="0.2">
      <c r="BB4142" s="94"/>
      <c r="BL4142" s="8">
        <v>4093</v>
      </c>
      <c r="BM4142" s="8">
        <v>4792973.8026440796</v>
      </c>
      <c r="BN4142" s="8">
        <v>0</v>
      </c>
      <c r="BO4142" s="8">
        <v>4792973.8026440796</v>
      </c>
      <c r="BP4142" s="8">
        <v>4501573.4297759859</v>
      </c>
      <c r="BQ4142" s="8">
        <v>-291400.37286809366</v>
      </c>
      <c r="BR4142" s="8" t="str">
        <v>Yes</v>
      </c>
    </row>
    <row r="4143" spans="54:70" x14ac:dyDescent="0.2">
      <c r="BB4143" s="94"/>
      <c r="BL4143" s="8">
        <v>4094</v>
      </c>
      <c r="BM4143" s="8">
        <v>2877194.5857300479</v>
      </c>
      <c r="BN4143" s="8">
        <v>2578777.1739395191</v>
      </c>
      <c r="BO4143" s="8">
        <v>5455971.7596695665</v>
      </c>
      <c r="BP4143" s="8">
        <v>3513931.5669978769</v>
      </c>
      <c r="BQ4143" s="8">
        <v>-1942040.1926716897</v>
      </c>
      <c r="BR4143" s="8" t="str">
        <v>Yes</v>
      </c>
    </row>
    <row r="4144" spans="54:70" x14ac:dyDescent="0.2">
      <c r="BB4144" s="94"/>
      <c r="BL4144" s="8">
        <v>4095</v>
      </c>
      <c r="BM4144" s="8">
        <v>3552207.486397835</v>
      </c>
      <c r="BN4144" s="8">
        <v>2130728.4221092486</v>
      </c>
      <c r="BO4144" s="8">
        <v>5682935.9085070835</v>
      </c>
      <c r="BP4144" s="8">
        <v>6329111.7867603302</v>
      </c>
      <c r="BQ4144" s="8">
        <v>646175.87825324666</v>
      </c>
      <c r="BR4144" s="8" t="str">
        <v>No</v>
      </c>
    </row>
    <row r="4145" spans="54:70" x14ac:dyDescent="0.2">
      <c r="BB4145" s="94"/>
      <c r="BL4145" s="8">
        <v>4096</v>
      </c>
      <c r="BM4145" s="8">
        <v>2717671.8133722134</v>
      </c>
      <c r="BN4145" s="8">
        <v>2362585.2838145131</v>
      </c>
      <c r="BO4145" s="8">
        <v>5080257.0971867265</v>
      </c>
      <c r="BP4145" s="8">
        <v>2303616.4595148778</v>
      </c>
      <c r="BQ4145" s="8">
        <v>-2776640.6376718488</v>
      </c>
      <c r="BR4145" s="8" t="str">
        <v>Yes</v>
      </c>
    </row>
    <row r="4146" spans="54:70" x14ac:dyDescent="0.2">
      <c r="BB4146" s="94"/>
      <c r="BL4146" s="8">
        <v>4097</v>
      </c>
      <c r="BM4146" s="8">
        <v>4562791.2342578666</v>
      </c>
      <c r="BN4146" s="8">
        <v>6542533.4263568623</v>
      </c>
      <c r="BO4146" s="8">
        <v>11105324.660614729</v>
      </c>
      <c r="BP4146" s="8">
        <v>4643872.5696327165</v>
      </c>
      <c r="BQ4146" s="8">
        <v>-6461452.0909820125</v>
      </c>
      <c r="BR4146" s="8" t="str">
        <v>Yes</v>
      </c>
    </row>
    <row r="4147" spans="54:70" x14ac:dyDescent="0.2">
      <c r="BB4147" s="94"/>
      <c r="BL4147" s="8">
        <v>4098</v>
      </c>
      <c r="BM4147" s="8">
        <v>3182919.8539516088</v>
      </c>
      <c r="BN4147" s="8">
        <v>927905.12054979475</v>
      </c>
      <c r="BO4147" s="8">
        <v>4110824.9745014035</v>
      </c>
      <c r="BP4147" s="8">
        <v>7255858.9445778318</v>
      </c>
      <c r="BQ4147" s="8">
        <v>3145033.9700764283</v>
      </c>
      <c r="BR4147" s="8" t="str">
        <v>No</v>
      </c>
    </row>
    <row r="4148" spans="54:70" x14ac:dyDescent="0.2">
      <c r="BB4148" s="94"/>
      <c r="BL4148" s="8">
        <v>4099</v>
      </c>
      <c r="BM4148" s="8">
        <v>3962992.8538764138</v>
      </c>
      <c r="BN4148" s="8">
        <v>0</v>
      </c>
      <c r="BO4148" s="8">
        <v>3962992.8538764138</v>
      </c>
      <c r="BP4148" s="8">
        <v>2230233.5484903175</v>
      </c>
      <c r="BQ4148" s="8">
        <v>-1732759.3053860962</v>
      </c>
      <c r="BR4148" s="8" t="str">
        <v>Yes</v>
      </c>
    </row>
    <row r="4149" spans="54:70" x14ac:dyDescent="0.2">
      <c r="BB4149" s="94"/>
      <c r="BL4149" s="8">
        <v>4100</v>
      </c>
      <c r="BM4149" s="8">
        <v>7032965.8936636057</v>
      </c>
      <c r="BN4149" s="8">
        <v>1823897.5275502028</v>
      </c>
      <c r="BO4149" s="8">
        <v>8856863.4212138094</v>
      </c>
      <c r="BP4149" s="8">
        <v>2343887.1892527128</v>
      </c>
      <c r="BQ4149" s="8">
        <v>-6512976.2319610966</v>
      </c>
      <c r="BR4149" s="8" t="str">
        <v>Yes</v>
      </c>
    </row>
    <row r="4150" spans="54:70" x14ac:dyDescent="0.2">
      <c r="BB4150" s="94"/>
      <c r="BL4150" s="8">
        <v>4101</v>
      </c>
      <c r="BM4150" s="8">
        <v>4334008.6241393629</v>
      </c>
      <c r="BN4150" s="8">
        <v>4156636.6586785298</v>
      </c>
      <c r="BO4150" s="8">
        <v>8490645.2828178927</v>
      </c>
      <c r="BP4150" s="8">
        <v>3911865.9867443629</v>
      </c>
      <c r="BQ4150" s="8">
        <v>-4578779.2960735299</v>
      </c>
      <c r="BR4150" s="8" t="str">
        <v>Yes</v>
      </c>
    </row>
    <row r="4151" spans="54:70" x14ac:dyDescent="0.2">
      <c r="BB4151" s="94"/>
      <c r="BL4151" s="8">
        <v>4102</v>
      </c>
      <c r="BM4151" s="8">
        <v>3861820.4259304255</v>
      </c>
      <c r="BN4151" s="8">
        <v>3453065.2216785741</v>
      </c>
      <c r="BO4151" s="8">
        <v>7314885.6476089992</v>
      </c>
      <c r="BP4151" s="8">
        <v>3425653.2885165014</v>
      </c>
      <c r="BQ4151" s="8">
        <v>-3889232.3590924977</v>
      </c>
      <c r="BR4151" s="8" t="str">
        <v>Yes</v>
      </c>
    </row>
    <row r="4152" spans="54:70" x14ac:dyDescent="0.2">
      <c r="BB4152" s="94"/>
      <c r="BL4152" s="8">
        <v>4103</v>
      </c>
      <c r="BM4152" s="8">
        <v>2425670.1546459789</v>
      </c>
      <c r="BN4152" s="8">
        <v>1646090.8362068366</v>
      </c>
      <c r="BO4152" s="8">
        <v>4071760.9908528156</v>
      </c>
      <c r="BP4152" s="8">
        <v>3982406.5628384557</v>
      </c>
      <c r="BQ4152" s="8">
        <v>-89354.428014359903</v>
      </c>
      <c r="BR4152" s="8" t="str">
        <v>Yes</v>
      </c>
    </row>
    <row r="4153" spans="54:70" x14ac:dyDescent="0.2">
      <c r="BB4153" s="94"/>
      <c r="BL4153" s="8">
        <v>4104</v>
      </c>
      <c r="BM4153" s="8">
        <v>2844016.4163305657</v>
      </c>
      <c r="BN4153" s="8">
        <v>2180584.267451731</v>
      </c>
      <c r="BO4153" s="8">
        <v>5024600.6837822963</v>
      </c>
      <c r="BP4153" s="8">
        <v>2438953.897672066</v>
      </c>
      <c r="BQ4153" s="8">
        <v>-2585646.7861102303</v>
      </c>
      <c r="BR4153" s="8" t="str">
        <v>Yes</v>
      </c>
    </row>
    <row r="4154" spans="54:70" x14ac:dyDescent="0.2">
      <c r="BB4154" s="94"/>
      <c r="BL4154" s="8">
        <v>4105</v>
      </c>
      <c r="BM4154" s="8">
        <v>5595021.2854377478</v>
      </c>
      <c r="BN4154" s="8">
        <v>3710697.1058905004</v>
      </c>
      <c r="BO4154" s="8">
        <v>9305718.3913282491</v>
      </c>
      <c r="BP4154" s="8">
        <v>6268548.0814485019</v>
      </c>
      <c r="BQ4154" s="8">
        <v>-3037170.3098797472</v>
      </c>
      <c r="BR4154" s="8" t="str">
        <v>Yes</v>
      </c>
    </row>
    <row r="4155" spans="54:70" x14ac:dyDescent="0.2">
      <c r="BB4155" s="94"/>
      <c r="BL4155" s="8">
        <v>4106</v>
      </c>
      <c r="BM4155" s="8">
        <v>3563223.7631189432</v>
      </c>
      <c r="BN4155" s="8">
        <v>0</v>
      </c>
      <c r="BO4155" s="8">
        <v>3563223.7631189432</v>
      </c>
      <c r="BP4155" s="8">
        <v>2260918.747559641</v>
      </c>
      <c r="BQ4155" s="8">
        <v>-1302305.0155593022</v>
      </c>
      <c r="BR4155" s="8" t="str">
        <v>Yes</v>
      </c>
    </row>
    <row r="4156" spans="54:70" x14ac:dyDescent="0.2">
      <c r="BB4156" s="94"/>
      <c r="BL4156" s="8">
        <v>4107</v>
      </c>
      <c r="BM4156" s="8">
        <v>4051750.1762057375</v>
      </c>
      <c r="BN4156" s="8">
        <v>0</v>
      </c>
      <c r="BO4156" s="8">
        <v>4051750.1762057375</v>
      </c>
      <c r="BP4156" s="8">
        <v>3389064.898042195</v>
      </c>
      <c r="BQ4156" s="8">
        <v>-662685.27816354251</v>
      </c>
      <c r="BR4156" s="8" t="str">
        <v>Yes</v>
      </c>
    </row>
    <row r="4157" spans="54:70" x14ac:dyDescent="0.2">
      <c r="BB4157" s="94"/>
      <c r="BL4157" s="8">
        <v>4108</v>
      </c>
      <c r="BM4157" s="8">
        <v>4169329.0064794472</v>
      </c>
      <c r="BN4157" s="8">
        <v>0</v>
      </c>
      <c r="BO4157" s="8">
        <v>4169329.0064794472</v>
      </c>
      <c r="BP4157" s="8">
        <v>3219720.356490409</v>
      </c>
      <c r="BQ4157" s="8">
        <v>-949608.64998903824</v>
      </c>
      <c r="BR4157" s="8" t="str">
        <v>Yes</v>
      </c>
    </row>
    <row r="4158" spans="54:70" x14ac:dyDescent="0.2">
      <c r="BB4158" s="94"/>
      <c r="BL4158" s="8">
        <v>4109</v>
      </c>
      <c r="BM4158" s="8">
        <v>5730002.3884271234</v>
      </c>
      <c r="BN4158" s="8">
        <v>6280063.8077668361</v>
      </c>
      <c r="BO4158" s="8">
        <v>12010066.19619396</v>
      </c>
      <c r="BP4158" s="8">
        <v>6619947.0713686487</v>
      </c>
      <c r="BQ4158" s="8">
        <v>-5390119.1248253109</v>
      </c>
      <c r="BR4158" s="8" t="str">
        <v>Yes</v>
      </c>
    </row>
    <row r="4159" spans="54:70" x14ac:dyDescent="0.2">
      <c r="BB4159" s="94"/>
      <c r="BL4159" s="8">
        <v>4110</v>
      </c>
      <c r="BM4159" s="8">
        <v>4626930.8340091612</v>
      </c>
      <c r="BN4159" s="8">
        <v>1180894.5122427912</v>
      </c>
      <c r="BO4159" s="8">
        <v>5807825.3462519525</v>
      </c>
      <c r="BP4159" s="8">
        <v>6123186.6425988125</v>
      </c>
      <c r="BQ4159" s="8">
        <v>315361.29634686001</v>
      </c>
      <c r="BR4159" s="8" t="str">
        <v>No</v>
      </c>
    </row>
    <row r="4160" spans="54:70" x14ac:dyDescent="0.2">
      <c r="BB4160" s="94"/>
      <c r="BL4160" s="8">
        <v>4111</v>
      </c>
      <c r="BM4160" s="8">
        <v>17889815.624034379</v>
      </c>
      <c r="BN4160" s="8">
        <v>17622862.069332309</v>
      </c>
      <c r="BO4160" s="8">
        <v>35512677.693366691</v>
      </c>
      <c r="BP4160" s="8">
        <v>3445606.468907197</v>
      </c>
      <c r="BQ4160" s="8">
        <v>-32067071.224459495</v>
      </c>
      <c r="BR4160" s="8" t="str">
        <v>Yes</v>
      </c>
    </row>
    <row r="4161" spans="54:70" x14ac:dyDescent="0.2">
      <c r="BB4161" s="94"/>
      <c r="BL4161" s="8">
        <v>4112</v>
      </c>
      <c r="BM4161" s="8">
        <v>4199803.2929094508</v>
      </c>
      <c r="BN4161" s="8">
        <v>0</v>
      </c>
      <c r="BO4161" s="8">
        <v>4199803.2929094508</v>
      </c>
      <c r="BP4161" s="8">
        <v>4207055.9524705382</v>
      </c>
      <c r="BQ4161" s="8">
        <v>7252.6595610873774</v>
      </c>
      <c r="BR4161" s="8" t="str">
        <v>No</v>
      </c>
    </row>
    <row r="4162" spans="54:70" x14ac:dyDescent="0.2">
      <c r="BB4162" s="94"/>
      <c r="BL4162" s="8">
        <v>4113</v>
      </c>
      <c r="BM4162" s="8">
        <v>8889381.1158635337</v>
      </c>
      <c r="BN4162" s="8">
        <v>7285962.5483507141</v>
      </c>
      <c r="BO4162" s="8">
        <v>16175343.664214248</v>
      </c>
      <c r="BP4162" s="8">
        <v>6129410.3626089618</v>
      </c>
      <c r="BQ4162" s="8">
        <v>-10045933.301605286</v>
      </c>
      <c r="BR4162" s="8" t="str">
        <v>Yes</v>
      </c>
    </row>
    <row r="4163" spans="54:70" x14ac:dyDescent="0.2">
      <c r="BB4163" s="94"/>
      <c r="BL4163" s="8">
        <v>4114</v>
      </c>
      <c r="BM4163" s="8">
        <v>4740022.8648633715</v>
      </c>
      <c r="BN4163" s="8">
        <v>0</v>
      </c>
      <c r="BO4163" s="8">
        <v>4740022.8648633715</v>
      </c>
      <c r="BP4163" s="8">
        <v>2503353.2358767842</v>
      </c>
      <c r="BQ4163" s="8">
        <v>-2236669.6289865873</v>
      </c>
      <c r="BR4163" s="8" t="str">
        <v>Yes</v>
      </c>
    </row>
    <row r="4164" spans="54:70" x14ac:dyDescent="0.2">
      <c r="BB4164" s="94"/>
      <c r="BL4164" s="8">
        <v>4115</v>
      </c>
      <c r="BM4164" s="8">
        <v>3989450.7004325548</v>
      </c>
      <c r="BN4164" s="8">
        <v>0</v>
      </c>
      <c r="BO4164" s="8">
        <v>3989450.7004325548</v>
      </c>
      <c r="BP4164" s="8">
        <v>4718998.6318738516</v>
      </c>
      <c r="BQ4164" s="8">
        <v>729547.93144129682</v>
      </c>
      <c r="BR4164" s="8" t="str">
        <v>No</v>
      </c>
    </row>
    <row r="4165" spans="54:70" x14ac:dyDescent="0.2">
      <c r="BB4165" s="94"/>
      <c r="BL4165" s="8">
        <v>4116</v>
      </c>
      <c r="BM4165" s="8">
        <v>4358149.1242280332</v>
      </c>
      <c r="BN4165" s="8">
        <v>5981898.9273482226</v>
      </c>
      <c r="BO4165" s="8">
        <v>10340048.051576257</v>
      </c>
      <c r="BP4165" s="8">
        <v>3657486.2365699145</v>
      </c>
      <c r="BQ4165" s="8">
        <v>-6682561.8150063418</v>
      </c>
      <c r="BR4165" s="8" t="str">
        <v>Yes</v>
      </c>
    </row>
    <row r="4166" spans="54:70" x14ac:dyDescent="0.2">
      <c r="BB4166" s="94"/>
      <c r="BL4166" s="8">
        <v>4117</v>
      </c>
      <c r="BM4166" s="8">
        <v>7277447.3418097766</v>
      </c>
      <c r="BN4166" s="8">
        <v>0</v>
      </c>
      <c r="BO4166" s="8">
        <v>7277447.3418097766</v>
      </c>
      <c r="BP4166" s="8">
        <v>4210002.3000545558</v>
      </c>
      <c r="BQ4166" s="8">
        <v>-3067445.0417552209</v>
      </c>
      <c r="BR4166" s="8" t="str">
        <v>Yes</v>
      </c>
    </row>
    <row r="4167" spans="54:70" x14ac:dyDescent="0.2">
      <c r="BB4167" s="94"/>
      <c r="BL4167" s="8">
        <v>4118</v>
      </c>
      <c r="BM4167" s="8">
        <v>2359874.5382431038</v>
      </c>
      <c r="BN4167" s="8">
        <v>0</v>
      </c>
      <c r="BO4167" s="8">
        <v>2359874.5382431038</v>
      </c>
      <c r="BP4167" s="8">
        <v>3441512.6918746112</v>
      </c>
      <c r="BQ4167" s="8">
        <v>1081638.1536315074</v>
      </c>
      <c r="BR4167" s="8" t="str">
        <v>No</v>
      </c>
    </row>
    <row r="4168" spans="54:70" x14ac:dyDescent="0.2">
      <c r="BB4168" s="94"/>
      <c r="BL4168" s="8">
        <v>4119</v>
      </c>
      <c r="BM4168" s="8">
        <v>5567702.8582939059</v>
      </c>
      <c r="BN4168" s="8">
        <v>0</v>
      </c>
      <c r="BO4168" s="8">
        <v>5567702.8582939059</v>
      </c>
      <c r="BP4168" s="8">
        <v>5667160.9843339799</v>
      </c>
      <c r="BQ4168" s="8">
        <v>99458.126040074043</v>
      </c>
      <c r="BR4168" s="8" t="str">
        <v>No</v>
      </c>
    </row>
    <row r="4169" spans="54:70" x14ac:dyDescent="0.2">
      <c r="BB4169" s="94"/>
      <c r="BL4169" s="8">
        <v>4120</v>
      </c>
      <c r="BM4169" s="8">
        <v>2259647.3438253952</v>
      </c>
      <c r="BN4169" s="8">
        <v>0</v>
      </c>
      <c r="BO4169" s="8">
        <v>2259647.3438253952</v>
      </c>
      <c r="BP4169" s="8">
        <v>4705095.6080021542</v>
      </c>
      <c r="BQ4169" s="8">
        <v>2445448.2641767589</v>
      </c>
      <c r="BR4169" s="8" t="str">
        <v>No</v>
      </c>
    </row>
    <row r="4170" spans="54:70" x14ac:dyDescent="0.2">
      <c r="BB4170" s="94"/>
      <c r="BL4170" s="8">
        <v>4121</v>
      </c>
      <c r="BM4170" s="8">
        <v>10295268.221546154</v>
      </c>
      <c r="BN4170" s="8">
        <v>10972137.647686429</v>
      </c>
      <c r="BO4170" s="8">
        <v>21267405.869232584</v>
      </c>
      <c r="BP4170" s="8">
        <v>4504357.3097694349</v>
      </c>
      <c r="BQ4170" s="8">
        <v>-16763048.559463149</v>
      </c>
      <c r="BR4170" s="8" t="str">
        <v>Yes</v>
      </c>
    </row>
    <row r="4171" spans="54:70" x14ac:dyDescent="0.2">
      <c r="BB4171" s="94"/>
      <c r="BL4171" s="8">
        <v>4122</v>
      </c>
      <c r="BM4171" s="8">
        <v>2429176.4891060004</v>
      </c>
      <c r="BN4171" s="8">
        <v>443489.10100802314</v>
      </c>
      <c r="BO4171" s="8">
        <v>2872665.5901140235</v>
      </c>
      <c r="BP4171" s="8">
        <v>5556691.5778152077</v>
      </c>
      <c r="BQ4171" s="8">
        <v>2684025.9877011841</v>
      </c>
      <c r="BR4171" s="8" t="str">
        <v>No</v>
      </c>
    </row>
    <row r="4172" spans="54:70" x14ac:dyDescent="0.2">
      <c r="BB4172" s="94"/>
      <c r="BL4172" s="8">
        <v>4123</v>
      </c>
      <c r="BM4172" s="8">
        <v>6294381.6518684067</v>
      </c>
      <c r="BN4172" s="8">
        <v>9843462.6157139558</v>
      </c>
      <c r="BO4172" s="8">
        <v>16137844.267582363</v>
      </c>
      <c r="BP4172" s="8">
        <v>4105182.896986465</v>
      </c>
      <c r="BQ4172" s="8">
        <v>-12032661.370595898</v>
      </c>
      <c r="BR4172" s="8" t="str">
        <v>Yes</v>
      </c>
    </row>
    <row r="4173" spans="54:70" x14ac:dyDescent="0.2">
      <c r="BB4173" s="94"/>
      <c r="BL4173" s="8">
        <v>4124</v>
      </c>
      <c r="BM4173" s="8">
        <v>3878084.2734858328</v>
      </c>
      <c r="BN4173" s="8">
        <v>2446788.8734547375</v>
      </c>
      <c r="BO4173" s="8">
        <v>6324873.1469405703</v>
      </c>
      <c r="BP4173" s="8">
        <v>5581402.7914421195</v>
      </c>
      <c r="BQ4173" s="8">
        <v>-743470.35549845081</v>
      </c>
      <c r="BR4173" s="8" t="str">
        <v>Yes</v>
      </c>
    </row>
    <row r="4174" spans="54:70" x14ac:dyDescent="0.2">
      <c r="BB4174" s="94"/>
      <c r="BL4174" s="8">
        <v>4125</v>
      </c>
      <c r="BM4174" s="8">
        <v>4350026.5297978558</v>
      </c>
      <c r="BN4174" s="8">
        <v>2319096.6217843634</v>
      </c>
      <c r="BO4174" s="8">
        <v>6669123.1515822187</v>
      </c>
      <c r="BP4174" s="8">
        <v>6360328.5656561786</v>
      </c>
      <c r="BQ4174" s="8">
        <v>-308794.58592604008</v>
      </c>
      <c r="BR4174" s="8" t="str">
        <v>Yes</v>
      </c>
    </row>
    <row r="4175" spans="54:70" x14ac:dyDescent="0.2">
      <c r="BB4175" s="94"/>
      <c r="BL4175" s="8">
        <v>4126</v>
      </c>
      <c r="BM4175" s="8">
        <v>2285035.3588398001</v>
      </c>
      <c r="BN4175" s="8">
        <v>2018186.7308795634</v>
      </c>
      <c r="BO4175" s="8">
        <v>4303222.0897193635</v>
      </c>
      <c r="BP4175" s="8">
        <v>3315747.3300121231</v>
      </c>
      <c r="BQ4175" s="8">
        <v>-987474.75970724039</v>
      </c>
      <c r="BR4175" s="8" t="str">
        <v>Yes</v>
      </c>
    </row>
    <row r="4176" spans="54:70" x14ac:dyDescent="0.2">
      <c r="BB4176" s="94"/>
      <c r="BL4176" s="8">
        <v>4127</v>
      </c>
      <c r="BM4176" s="8">
        <v>5451526.448040057</v>
      </c>
      <c r="BN4176" s="8">
        <v>6795649.8698370168</v>
      </c>
      <c r="BO4176" s="8">
        <v>12247176.317877073</v>
      </c>
      <c r="BP4176" s="8">
        <v>3917323.3674059007</v>
      </c>
      <c r="BQ4176" s="8">
        <v>-8329852.9504711721</v>
      </c>
      <c r="BR4176" s="8" t="str">
        <v>Yes</v>
      </c>
    </row>
    <row r="4177" spans="54:70" x14ac:dyDescent="0.2">
      <c r="BB4177" s="94"/>
      <c r="BL4177" s="8">
        <v>4128</v>
      </c>
      <c r="BM4177" s="8">
        <v>4162258.7015790753</v>
      </c>
      <c r="BN4177" s="8">
        <v>1586452.3521846344</v>
      </c>
      <c r="BO4177" s="8">
        <v>5748711.05376371</v>
      </c>
      <c r="BP4177" s="8">
        <v>4497284.7035413403</v>
      </c>
      <c r="BQ4177" s="8">
        <v>-1251426.3502223697</v>
      </c>
      <c r="BR4177" s="8" t="str">
        <v>Yes</v>
      </c>
    </row>
    <row r="4178" spans="54:70" x14ac:dyDescent="0.2">
      <c r="BB4178" s="94"/>
      <c r="BL4178" s="8">
        <v>4129</v>
      </c>
      <c r="BM4178" s="8">
        <v>3244636.6136931861</v>
      </c>
      <c r="BN4178" s="8">
        <v>1091998.2918192232</v>
      </c>
      <c r="BO4178" s="8">
        <v>4336634.9055124093</v>
      </c>
      <c r="BP4178" s="8">
        <v>3414931.3477547718</v>
      </c>
      <c r="BQ4178" s="8">
        <v>-921703.55775763746</v>
      </c>
      <c r="BR4178" s="8" t="str">
        <v>Yes</v>
      </c>
    </row>
    <row r="4179" spans="54:70" x14ac:dyDescent="0.2">
      <c r="BB4179" s="94"/>
      <c r="BL4179" s="8">
        <v>4130</v>
      </c>
      <c r="BM4179" s="8">
        <v>1921248.3895873609</v>
      </c>
      <c r="BN4179" s="8">
        <v>0</v>
      </c>
      <c r="BO4179" s="8">
        <v>1921248.3895873609</v>
      </c>
      <c r="BP4179" s="8">
        <v>2238148.0150377597</v>
      </c>
      <c r="BQ4179" s="8">
        <v>316899.62545039877</v>
      </c>
      <c r="BR4179" s="8" t="str">
        <v>No</v>
      </c>
    </row>
    <row r="4180" spans="54:70" x14ac:dyDescent="0.2">
      <c r="BB4180" s="94"/>
      <c r="BL4180" s="8">
        <v>4131</v>
      </c>
      <c r="BM4180" s="8">
        <v>4843478.0462154644</v>
      </c>
      <c r="BN4180" s="8">
        <v>0</v>
      </c>
      <c r="BO4180" s="8">
        <v>4843478.0462154644</v>
      </c>
      <c r="BP4180" s="8">
        <v>3244569.7759060268</v>
      </c>
      <c r="BQ4180" s="8">
        <v>-1598908.2703094375</v>
      </c>
      <c r="BR4180" s="8" t="str">
        <v>Yes</v>
      </c>
    </row>
    <row r="4181" spans="54:70" x14ac:dyDescent="0.2">
      <c r="BB4181" s="94"/>
      <c r="BL4181" s="8">
        <v>4132</v>
      </c>
      <c r="BM4181" s="8">
        <v>4938021.6984064123</v>
      </c>
      <c r="BN4181" s="8">
        <v>0</v>
      </c>
      <c r="BO4181" s="8">
        <v>4938021.6984064123</v>
      </c>
      <c r="BP4181" s="8">
        <v>4230743.9151800238</v>
      </c>
      <c r="BQ4181" s="8">
        <v>-707277.78322638851</v>
      </c>
      <c r="BR4181" s="8" t="str">
        <v>Yes</v>
      </c>
    </row>
    <row r="4182" spans="54:70" x14ac:dyDescent="0.2">
      <c r="BB4182" s="94"/>
      <c r="BL4182" s="8">
        <v>4133</v>
      </c>
      <c r="BM4182" s="8">
        <v>9225741.2215951681</v>
      </c>
      <c r="BN4182" s="8">
        <v>0</v>
      </c>
      <c r="BO4182" s="8">
        <v>9225741.2215951681</v>
      </c>
      <c r="BP4182" s="8">
        <v>4154840.9886459177</v>
      </c>
      <c r="BQ4182" s="8">
        <v>-5070900.2329492504</v>
      </c>
      <c r="BR4182" s="8" t="str">
        <v>Yes</v>
      </c>
    </row>
    <row r="4183" spans="54:70" x14ac:dyDescent="0.2">
      <c r="BB4183" s="94"/>
      <c r="BL4183" s="8">
        <v>4134</v>
      </c>
      <c r="BM4183" s="8">
        <v>3190483.3327669203</v>
      </c>
      <c r="BN4183" s="8">
        <v>0</v>
      </c>
      <c r="BO4183" s="8">
        <v>3190483.3327669203</v>
      </c>
      <c r="BP4183" s="8">
        <v>6155445.5568123404</v>
      </c>
      <c r="BQ4183" s="8">
        <v>2964962.2240454201</v>
      </c>
      <c r="BR4183" s="8" t="str">
        <v>No</v>
      </c>
    </row>
    <row r="4184" spans="54:70" x14ac:dyDescent="0.2">
      <c r="BB4184" s="94"/>
      <c r="BL4184" s="8">
        <v>4135</v>
      </c>
      <c r="BM4184" s="8">
        <v>3320669.2637793692</v>
      </c>
      <c r="BN4184" s="8">
        <v>2758377.0556671051</v>
      </c>
      <c r="BO4184" s="8">
        <v>6079046.3194464743</v>
      </c>
      <c r="BP4184" s="8">
        <v>3475011.395452667</v>
      </c>
      <c r="BQ4184" s="8">
        <v>-2604034.9239938073</v>
      </c>
      <c r="BR4184" s="8" t="str">
        <v>Yes</v>
      </c>
    </row>
    <row r="4185" spans="54:70" x14ac:dyDescent="0.2">
      <c r="BB4185" s="94"/>
      <c r="BL4185" s="8">
        <v>4136</v>
      </c>
      <c r="BM4185" s="8">
        <v>3618010.9149812888</v>
      </c>
      <c r="BN4185" s="8">
        <v>2542793.0546624344</v>
      </c>
      <c r="BO4185" s="8">
        <v>6160803.9696437232</v>
      </c>
      <c r="BP4185" s="8">
        <v>2247241.9387514559</v>
      </c>
      <c r="BQ4185" s="8">
        <v>-3913562.0308922674</v>
      </c>
      <c r="BR4185" s="8" t="str">
        <v>Yes</v>
      </c>
    </row>
    <row r="4186" spans="54:70" x14ac:dyDescent="0.2">
      <c r="BB4186" s="94"/>
      <c r="BL4186" s="8">
        <v>4137</v>
      </c>
      <c r="BM4186" s="8">
        <v>2123387.0495124864</v>
      </c>
      <c r="BN4186" s="8">
        <v>0</v>
      </c>
      <c r="BO4186" s="8">
        <v>2123387.0495124864</v>
      </c>
      <c r="BP4186" s="8">
        <v>6600629.4691094682</v>
      </c>
      <c r="BQ4186" s="8">
        <v>4477242.4195969813</v>
      </c>
      <c r="BR4186" s="8" t="str">
        <v>No</v>
      </c>
    </row>
    <row r="4187" spans="54:70" x14ac:dyDescent="0.2">
      <c r="BB4187" s="94"/>
      <c r="BL4187" s="8">
        <v>4138</v>
      </c>
      <c r="BM4187" s="8">
        <v>14959868.87833987</v>
      </c>
      <c r="BN4187" s="8">
        <v>17136690.72746421</v>
      </c>
      <c r="BO4187" s="8">
        <v>32096559.605804078</v>
      </c>
      <c r="BP4187" s="8">
        <v>3350181.3149557416</v>
      </c>
      <c r="BQ4187" s="8">
        <v>-28746378.290848337</v>
      </c>
      <c r="BR4187" s="8" t="str">
        <v>Yes</v>
      </c>
    </row>
    <row r="4188" spans="54:70" x14ac:dyDescent="0.2">
      <c r="BB4188" s="94"/>
      <c r="BL4188" s="8">
        <v>4139</v>
      </c>
      <c r="BM4188" s="8">
        <v>3209134.366328158</v>
      </c>
      <c r="BN4188" s="8">
        <v>0</v>
      </c>
      <c r="BO4188" s="8">
        <v>3209134.366328158</v>
      </c>
      <c r="BP4188" s="8">
        <v>2358397.00045287</v>
      </c>
      <c r="BQ4188" s="8">
        <v>-850737.36587528791</v>
      </c>
      <c r="BR4188" s="8" t="str">
        <v>Yes</v>
      </c>
    </row>
    <row r="4189" spans="54:70" x14ac:dyDescent="0.2">
      <c r="BB4189" s="94"/>
      <c r="BL4189" s="8">
        <v>4140</v>
      </c>
      <c r="BM4189" s="8">
        <v>2409475.8615693953</v>
      </c>
      <c r="BN4189" s="8">
        <v>1379606.8583656636</v>
      </c>
      <c r="BO4189" s="8">
        <v>3789082.7199350586</v>
      </c>
      <c r="BP4189" s="8">
        <v>5363542.0986091271</v>
      </c>
      <c r="BQ4189" s="8">
        <v>1574459.3786740685</v>
      </c>
      <c r="BR4189" s="8" t="str">
        <v>No</v>
      </c>
    </row>
    <row r="4190" spans="54:70" x14ac:dyDescent="0.2">
      <c r="BB4190" s="94"/>
      <c r="BL4190" s="8">
        <v>4141</v>
      </c>
      <c r="BM4190" s="8">
        <v>3593048.0455192523</v>
      </c>
      <c r="BN4190" s="8">
        <v>1481363.2284801588</v>
      </c>
      <c r="BO4190" s="8">
        <v>5074411.2739994116</v>
      </c>
      <c r="BP4190" s="8">
        <v>3141027.8265373586</v>
      </c>
      <c r="BQ4190" s="8">
        <v>-1933383.447462053</v>
      </c>
      <c r="BR4190" s="8" t="str">
        <v>Yes</v>
      </c>
    </row>
    <row r="4191" spans="54:70" x14ac:dyDescent="0.2">
      <c r="BB4191" s="94"/>
      <c r="BL4191" s="8">
        <v>4142</v>
      </c>
      <c r="BM4191" s="8">
        <v>1825682.2307107137</v>
      </c>
      <c r="BN4191" s="8">
        <v>0</v>
      </c>
      <c r="BO4191" s="8">
        <v>1825682.2307107137</v>
      </c>
      <c r="BP4191" s="8">
        <v>4141999.9487330387</v>
      </c>
      <c r="BQ4191" s="8">
        <v>2316317.7180223251</v>
      </c>
      <c r="BR4191" s="8" t="str">
        <v>No</v>
      </c>
    </row>
    <row r="4192" spans="54:70" x14ac:dyDescent="0.2">
      <c r="BB4192" s="94"/>
      <c r="BL4192" s="8">
        <v>4143</v>
      </c>
      <c r="BM4192" s="8">
        <v>4459446.5574406125</v>
      </c>
      <c r="BN4192" s="8">
        <v>0</v>
      </c>
      <c r="BO4192" s="8">
        <v>4459446.5574406125</v>
      </c>
      <c r="BP4192" s="8">
        <v>4303009.9072486339</v>
      </c>
      <c r="BQ4192" s="8">
        <v>-156436.65019197855</v>
      </c>
      <c r="BR4192" s="8" t="str">
        <v>Yes</v>
      </c>
    </row>
    <row r="4193" spans="54:70" x14ac:dyDescent="0.2">
      <c r="BB4193" s="94"/>
      <c r="BL4193" s="8">
        <v>4144</v>
      </c>
      <c r="BM4193" s="8">
        <v>4924763.8150988277</v>
      </c>
      <c r="BN4193" s="8">
        <v>4529798.8301980272</v>
      </c>
      <c r="BO4193" s="8">
        <v>9454562.6452968549</v>
      </c>
      <c r="BP4193" s="8">
        <v>3333361.1371229291</v>
      </c>
      <c r="BQ4193" s="8">
        <v>-6121201.5081739258</v>
      </c>
      <c r="BR4193" s="8" t="str">
        <v>Yes</v>
      </c>
    </row>
    <row r="4194" spans="54:70" x14ac:dyDescent="0.2">
      <c r="BB4194" s="94"/>
      <c r="BL4194" s="8">
        <v>4145</v>
      </c>
      <c r="BM4194" s="8">
        <v>8797503.5349838752</v>
      </c>
      <c r="BN4194" s="8">
        <v>6532615.5084980922</v>
      </c>
      <c r="BO4194" s="8">
        <v>15330119.043481968</v>
      </c>
      <c r="BP4194" s="8">
        <v>6323352.2748039169</v>
      </c>
      <c r="BQ4194" s="8">
        <v>-9006766.7686780505</v>
      </c>
      <c r="BR4194" s="8" t="str">
        <v>Yes</v>
      </c>
    </row>
    <row r="4195" spans="54:70" x14ac:dyDescent="0.2">
      <c r="BB4195" s="94"/>
      <c r="BL4195" s="8">
        <v>4146</v>
      </c>
      <c r="BM4195" s="8">
        <v>4552744.1775580356</v>
      </c>
      <c r="BN4195" s="8">
        <v>0</v>
      </c>
      <c r="BO4195" s="8">
        <v>4552744.1775580356</v>
      </c>
      <c r="BP4195" s="8">
        <v>5941510.9583339114</v>
      </c>
      <c r="BQ4195" s="8">
        <v>1388766.7807758758</v>
      </c>
      <c r="BR4195" s="8" t="str">
        <v>No</v>
      </c>
    </row>
    <row r="4196" spans="54:70" x14ac:dyDescent="0.2">
      <c r="BB4196" s="94"/>
      <c r="BL4196" s="8">
        <v>4147</v>
      </c>
      <c r="BM4196" s="8">
        <v>6991165.0625180043</v>
      </c>
      <c r="BN4196" s="8">
        <v>2634974.1375698913</v>
      </c>
      <c r="BO4196" s="8">
        <v>9626139.2000878956</v>
      </c>
      <c r="BP4196" s="8">
        <v>4441566.9828160191</v>
      </c>
      <c r="BQ4196" s="8">
        <v>-5184572.2172718765</v>
      </c>
      <c r="BR4196" s="8" t="str">
        <v>Yes</v>
      </c>
    </row>
    <row r="4197" spans="54:70" x14ac:dyDescent="0.2">
      <c r="BB4197" s="94"/>
      <c r="BL4197" s="8">
        <v>4148</v>
      </c>
      <c r="BM4197" s="8">
        <v>2851561.4082275461</v>
      </c>
      <c r="BN4197" s="8">
        <v>3088541.911824476</v>
      </c>
      <c r="BO4197" s="8">
        <v>5940103.3200520221</v>
      </c>
      <c r="BP4197" s="8">
        <v>3206258.9038252085</v>
      </c>
      <c r="BQ4197" s="8">
        <v>-2733844.4162268136</v>
      </c>
      <c r="BR4197" s="8" t="str">
        <v>Yes</v>
      </c>
    </row>
    <row r="4198" spans="54:70" x14ac:dyDescent="0.2">
      <c r="BB4198" s="94"/>
      <c r="BL4198" s="8">
        <v>4149</v>
      </c>
      <c r="BM4198" s="8">
        <v>3440513.6078228336</v>
      </c>
      <c r="BN4198" s="8">
        <v>3254132.3733591074</v>
      </c>
      <c r="BO4198" s="8">
        <v>6694645.981181941</v>
      </c>
      <c r="BP4198" s="8">
        <v>2163258.9659297979</v>
      </c>
      <c r="BQ4198" s="8">
        <v>-4531387.0152521431</v>
      </c>
      <c r="BR4198" s="8" t="str">
        <v>Yes</v>
      </c>
    </row>
    <row r="4199" spans="54:70" x14ac:dyDescent="0.2">
      <c r="BB4199" s="94"/>
      <c r="BL4199" s="8">
        <v>4150</v>
      </c>
      <c r="BM4199" s="8">
        <v>3437043.3166245595</v>
      </c>
      <c r="BN4199" s="8">
        <v>3042399.0728157931</v>
      </c>
      <c r="BO4199" s="8">
        <v>6479442.3894403521</v>
      </c>
      <c r="BP4199" s="8">
        <v>3767715.8390489728</v>
      </c>
      <c r="BQ4199" s="8">
        <v>-2711726.5503913793</v>
      </c>
      <c r="BR4199" s="8" t="str">
        <v>Yes</v>
      </c>
    </row>
    <row r="4200" spans="54:70" x14ac:dyDescent="0.2">
      <c r="BB4200" s="94"/>
      <c r="BL4200" s="8">
        <v>4151</v>
      </c>
      <c r="BM4200" s="8">
        <v>4420359.9808649709</v>
      </c>
      <c r="BN4200" s="8">
        <v>0</v>
      </c>
      <c r="BO4200" s="8">
        <v>4420359.9808649709</v>
      </c>
      <c r="BP4200" s="8">
        <v>2360507.7171910019</v>
      </c>
      <c r="BQ4200" s="8">
        <v>-2059852.2636739691</v>
      </c>
      <c r="BR4200" s="8" t="str">
        <v>Yes</v>
      </c>
    </row>
    <row r="4201" spans="54:70" x14ac:dyDescent="0.2">
      <c r="BB4201" s="94"/>
      <c r="BL4201" s="8">
        <v>4152</v>
      </c>
      <c r="BM4201" s="8">
        <v>6146756.3242325988</v>
      </c>
      <c r="BN4201" s="8">
        <v>3649691.1528963721</v>
      </c>
      <c r="BO4201" s="8">
        <v>9796447.4771289714</v>
      </c>
      <c r="BP4201" s="8">
        <v>6357409.6780539881</v>
      </c>
      <c r="BQ4201" s="8">
        <v>-3439037.7990749832</v>
      </c>
      <c r="BR4201" s="8" t="str">
        <v>Yes</v>
      </c>
    </row>
    <row r="4202" spans="54:70" x14ac:dyDescent="0.2">
      <c r="BB4202" s="94"/>
      <c r="BL4202" s="8">
        <v>4153</v>
      </c>
      <c r="BM4202" s="8">
        <v>3026235.9140400081</v>
      </c>
      <c r="BN4202" s="8">
        <v>2760211.6351738493</v>
      </c>
      <c r="BO4202" s="8">
        <v>5786447.5492138574</v>
      </c>
      <c r="BP4202" s="8">
        <v>2232618.2909886455</v>
      </c>
      <c r="BQ4202" s="8">
        <v>-3553829.2582252119</v>
      </c>
      <c r="BR4202" s="8" t="str">
        <v>Yes</v>
      </c>
    </row>
    <row r="4203" spans="54:70" x14ac:dyDescent="0.2">
      <c r="BB4203" s="94"/>
      <c r="BL4203" s="8">
        <v>4154</v>
      </c>
      <c r="BM4203" s="8">
        <v>4342465.0258486085</v>
      </c>
      <c r="BN4203" s="8">
        <v>0</v>
      </c>
      <c r="BO4203" s="8">
        <v>4342465.0258486085</v>
      </c>
      <c r="BP4203" s="8">
        <v>6129020.980237985</v>
      </c>
      <c r="BQ4203" s="8">
        <v>1786555.9543893766</v>
      </c>
      <c r="BR4203" s="8" t="str">
        <v>No</v>
      </c>
    </row>
    <row r="4204" spans="54:70" x14ac:dyDescent="0.2">
      <c r="BB4204" s="94"/>
      <c r="BL4204" s="8">
        <v>4155</v>
      </c>
      <c r="BM4204" s="8">
        <v>8163091.2297768919</v>
      </c>
      <c r="BN4204" s="8">
        <v>0</v>
      </c>
      <c r="BO4204" s="8">
        <v>8163091.2297768919</v>
      </c>
      <c r="BP4204" s="8">
        <v>4249995.7009639665</v>
      </c>
      <c r="BQ4204" s="8">
        <v>-3913095.5288129253</v>
      </c>
      <c r="BR4204" s="8" t="str">
        <v>Yes</v>
      </c>
    </row>
    <row r="4205" spans="54:70" x14ac:dyDescent="0.2">
      <c r="BB4205" s="94"/>
      <c r="BL4205" s="8">
        <v>4156</v>
      </c>
      <c r="BM4205" s="8">
        <v>2873234.8217778956</v>
      </c>
      <c r="BN4205" s="8">
        <v>0</v>
      </c>
      <c r="BO4205" s="8">
        <v>2873234.8217778956</v>
      </c>
      <c r="BP4205" s="8">
        <v>5892868.5628875028</v>
      </c>
      <c r="BQ4205" s="8">
        <v>3019633.7411096073</v>
      </c>
      <c r="BR4205" s="8" t="str">
        <v>No</v>
      </c>
    </row>
    <row r="4206" spans="54:70" x14ac:dyDescent="0.2">
      <c r="BB4206" s="94"/>
      <c r="BL4206" s="8">
        <v>4157</v>
      </c>
      <c r="BM4206" s="8">
        <v>4530315.2679325277</v>
      </c>
      <c r="BN4206" s="8">
        <v>0</v>
      </c>
      <c r="BO4206" s="8">
        <v>4530315.2679325277</v>
      </c>
      <c r="BP4206" s="8">
        <v>3128668.7054518638</v>
      </c>
      <c r="BQ4206" s="8">
        <v>-1401646.5624806639</v>
      </c>
      <c r="BR4206" s="8" t="str">
        <v>Yes</v>
      </c>
    </row>
    <row r="4207" spans="54:70" x14ac:dyDescent="0.2">
      <c r="BB4207" s="94"/>
      <c r="BL4207" s="8">
        <v>4158</v>
      </c>
      <c r="BM4207" s="8">
        <v>3694068.8411964974</v>
      </c>
      <c r="BN4207" s="8">
        <v>2505418.1878835866</v>
      </c>
      <c r="BO4207" s="8">
        <v>6199487.0290800836</v>
      </c>
      <c r="BP4207" s="8">
        <v>4021638.200139944</v>
      </c>
      <c r="BQ4207" s="8">
        <v>-2177848.8289401396</v>
      </c>
      <c r="BR4207" s="8" t="str">
        <v>Yes</v>
      </c>
    </row>
    <row r="4208" spans="54:70" x14ac:dyDescent="0.2">
      <c r="BB4208" s="94"/>
      <c r="BL4208" s="8">
        <v>4159</v>
      </c>
      <c r="BM4208" s="8">
        <v>4177864.107196596</v>
      </c>
      <c r="BN4208" s="8">
        <v>0</v>
      </c>
      <c r="BO4208" s="8">
        <v>4177864.107196596</v>
      </c>
      <c r="BP4208" s="8">
        <v>4393309.7648697589</v>
      </c>
      <c r="BQ4208" s="8">
        <v>215445.65767316287</v>
      </c>
      <c r="BR4208" s="8" t="str">
        <v>No</v>
      </c>
    </row>
    <row r="4209" spans="54:70" x14ac:dyDescent="0.2">
      <c r="BB4209" s="94"/>
      <c r="BL4209" s="8">
        <v>4160</v>
      </c>
      <c r="BM4209" s="8">
        <v>5960824.9940553885</v>
      </c>
      <c r="BN4209" s="8">
        <v>0</v>
      </c>
      <c r="BO4209" s="8">
        <v>5960824.9940553885</v>
      </c>
      <c r="BP4209" s="8">
        <v>2451787.4245605608</v>
      </c>
      <c r="BQ4209" s="8">
        <v>-3509037.5694948277</v>
      </c>
      <c r="BR4209" s="8" t="str">
        <v>Yes</v>
      </c>
    </row>
    <row r="4210" spans="54:70" x14ac:dyDescent="0.2">
      <c r="BB4210" s="94"/>
      <c r="BL4210" s="8">
        <v>4161</v>
      </c>
      <c r="BM4210" s="8">
        <v>3898244.8214373197</v>
      </c>
      <c r="BN4210" s="8">
        <v>0</v>
      </c>
      <c r="BO4210" s="8">
        <v>3898244.8214373197</v>
      </c>
      <c r="BP4210" s="8">
        <v>3619803.2365936628</v>
      </c>
      <c r="BQ4210" s="8">
        <v>-278441.58484365698</v>
      </c>
      <c r="BR4210" s="8" t="str">
        <v>Yes</v>
      </c>
    </row>
    <row r="4211" spans="54:70" x14ac:dyDescent="0.2">
      <c r="BB4211" s="94"/>
      <c r="BL4211" s="8">
        <v>4162</v>
      </c>
      <c r="BM4211" s="8">
        <v>2406742.2779325056</v>
      </c>
      <c r="BN4211" s="8">
        <v>-489196.38794181042</v>
      </c>
      <c r="BO4211" s="8">
        <v>1917545.8899906953</v>
      </c>
      <c r="BP4211" s="8">
        <v>6275671.3520375779</v>
      </c>
      <c r="BQ4211" s="8">
        <v>4358125.4620468821</v>
      </c>
      <c r="BR4211" s="8" t="str">
        <v>No</v>
      </c>
    </row>
    <row r="4212" spans="54:70" x14ac:dyDescent="0.2">
      <c r="BB4212" s="94"/>
      <c r="BL4212" s="8">
        <v>4163</v>
      </c>
      <c r="BM4212" s="8">
        <v>3588168.595513327</v>
      </c>
      <c r="BN4212" s="8">
        <v>0</v>
      </c>
      <c r="BO4212" s="8">
        <v>3588168.595513327</v>
      </c>
      <c r="BP4212" s="8">
        <v>2119187.1629790394</v>
      </c>
      <c r="BQ4212" s="8">
        <v>-1468981.4325342877</v>
      </c>
      <c r="BR4212" s="8" t="str">
        <v>Yes</v>
      </c>
    </row>
    <row r="4213" spans="54:70" x14ac:dyDescent="0.2">
      <c r="BB4213" s="94"/>
      <c r="BL4213" s="8">
        <v>4164</v>
      </c>
      <c r="BM4213" s="8">
        <v>4311682.5859482139</v>
      </c>
      <c r="BN4213" s="8">
        <v>3007591.7818006277</v>
      </c>
      <c r="BO4213" s="8">
        <v>7319274.3677488416</v>
      </c>
      <c r="BP4213" s="8">
        <v>6218922.6333350725</v>
      </c>
      <c r="BQ4213" s="8">
        <v>-1100351.7344137691</v>
      </c>
      <c r="BR4213" s="8" t="str">
        <v>Yes</v>
      </c>
    </row>
    <row r="4214" spans="54:70" x14ac:dyDescent="0.2">
      <c r="BB4214" s="94"/>
      <c r="BL4214" s="8">
        <v>4165</v>
      </c>
      <c r="BM4214" s="8">
        <v>7194019.4246915802</v>
      </c>
      <c r="BN4214" s="8">
        <v>7937557.7243541274</v>
      </c>
      <c r="BO4214" s="8">
        <v>15131577.149045708</v>
      </c>
      <c r="BP4214" s="8">
        <v>2451495.9975555674</v>
      </c>
      <c r="BQ4214" s="8">
        <v>-12680081.151490141</v>
      </c>
      <c r="BR4214" s="8" t="str">
        <v>Yes</v>
      </c>
    </row>
    <row r="4215" spans="54:70" x14ac:dyDescent="0.2">
      <c r="BB4215" s="94"/>
      <c r="BL4215" s="8">
        <v>4166</v>
      </c>
      <c r="BM4215" s="8">
        <v>7528397.4402237535</v>
      </c>
      <c r="BN4215" s="8">
        <v>0</v>
      </c>
      <c r="BO4215" s="8">
        <v>7528397.4402237535</v>
      </c>
      <c r="BP4215" s="8">
        <v>5956265.390356442</v>
      </c>
      <c r="BQ4215" s="8">
        <v>-1572132.0498673115</v>
      </c>
      <c r="BR4215" s="8" t="str">
        <v>Yes</v>
      </c>
    </row>
    <row r="4216" spans="54:70" x14ac:dyDescent="0.2">
      <c r="BB4216" s="94"/>
      <c r="BL4216" s="8">
        <v>4167</v>
      </c>
      <c r="BM4216" s="8">
        <v>8855001.3978294432</v>
      </c>
      <c r="BN4216" s="8">
        <v>7416135.0877656024</v>
      </c>
      <c r="BO4216" s="8">
        <v>16271136.485595046</v>
      </c>
      <c r="BP4216" s="8">
        <v>2349876.6007788931</v>
      </c>
      <c r="BQ4216" s="8">
        <v>-13921259.884816153</v>
      </c>
      <c r="BR4216" s="8" t="str">
        <v>Yes</v>
      </c>
    </row>
    <row r="4217" spans="54:70" x14ac:dyDescent="0.2">
      <c r="BB4217" s="94"/>
      <c r="BL4217" s="8">
        <v>4168</v>
      </c>
      <c r="BM4217" s="8">
        <v>2292235.3774607657</v>
      </c>
      <c r="BN4217" s="8">
        <v>1946270.110692895</v>
      </c>
      <c r="BO4217" s="8">
        <v>4238505.4881536607</v>
      </c>
      <c r="BP4217" s="8">
        <v>3438715.5408955561</v>
      </c>
      <c r="BQ4217" s="8">
        <v>-799789.94725810457</v>
      </c>
      <c r="BR4217" s="8" t="str">
        <v>Yes</v>
      </c>
    </row>
    <row r="4218" spans="54:70" x14ac:dyDescent="0.2">
      <c r="BB4218" s="94"/>
      <c r="BL4218" s="8">
        <v>4169</v>
      </c>
      <c r="BM4218" s="8">
        <v>5694605.440568801</v>
      </c>
      <c r="BN4218" s="8">
        <v>6424021.701147709</v>
      </c>
      <c r="BO4218" s="8">
        <v>12118627.14171651</v>
      </c>
      <c r="BP4218" s="8">
        <v>3454034.3569652201</v>
      </c>
      <c r="BQ4218" s="8">
        <v>-8664592.7847512905</v>
      </c>
      <c r="BR4218" s="8" t="str">
        <v>Yes</v>
      </c>
    </row>
    <row r="4219" spans="54:70" x14ac:dyDescent="0.2">
      <c r="BB4219" s="94"/>
      <c r="BL4219" s="8">
        <v>4170</v>
      </c>
      <c r="BM4219" s="8">
        <v>4621889.0465827258</v>
      </c>
      <c r="BN4219" s="8">
        <v>0</v>
      </c>
      <c r="BO4219" s="8">
        <v>4621889.0465827258</v>
      </c>
      <c r="BP4219" s="8">
        <v>3428945.7834996535</v>
      </c>
      <c r="BQ4219" s="8">
        <v>-1192943.2630830724</v>
      </c>
      <c r="BR4219" s="8" t="str">
        <v>Yes</v>
      </c>
    </row>
    <row r="4220" spans="54:70" x14ac:dyDescent="0.2">
      <c r="BB4220" s="94"/>
      <c r="BL4220" s="8">
        <v>4171</v>
      </c>
      <c r="BM4220" s="8">
        <v>7119796.5314521687</v>
      </c>
      <c r="BN4220" s="8">
        <v>0</v>
      </c>
      <c r="BO4220" s="8">
        <v>7119796.5314521687</v>
      </c>
      <c r="BP4220" s="8">
        <v>6267652.1280623851</v>
      </c>
      <c r="BQ4220" s="8">
        <v>-852144.40338978358</v>
      </c>
      <c r="BR4220" s="8" t="str">
        <v>Yes</v>
      </c>
    </row>
    <row r="4221" spans="54:70" x14ac:dyDescent="0.2">
      <c r="BB4221" s="94"/>
      <c r="BL4221" s="8">
        <v>4172</v>
      </c>
      <c r="BM4221" s="8">
        <v>4160053.9673012113</v>
      </c>
      <c r="BN4221" s="8">
        <v>2258871.8936602594</v>
      </c>
      <c r="BO4221" s="8">
        <v>6418925.8609614708</v>
      </c>
      <c r="BP4221" s="8">
        <v>3912236.6411918192</v>
      </c>
      <c r="BQ4221" s="8">
        <v>-2506689.2197696515</v>
      </c>
      <c r="BR4221" s="8" t="str">
        <v>Yes</v>
      </c>
    </row>
    <row r="4222" spans="54:70" x14ac:dyDescent="0.2">
      <c r="BB4222" s="94"/>
      <c r="BL4222" s="8">
        <v>4173</v>
      </c>
      <c r="BM4222" s="8">
        <v>10516778.837918695</v>
      </c>
      <c r="BN4222" s="8">
        <v>0</v>
      </c>
      <c r="BO4222" s="8">
        <v>10516778.837918695</v>
      </c>
      <c r="BP4222" s="8">
        <v>5801892.7543944027</v>
      </c>
      <c r="BQ4222" s="8">
        <v>-4714886.0835242923</v>
      </c>
      <c r="BR4222" s="8" t="str">
        <v>Yes</v>
      </c>
    </row>
    <row r="4223" spans="54:70" x14ac:dyDescent="0.2">
      <c r="BB4223" s="94"/>
      <c r="BL4223" s="8">
        <v>4174</v>
      </c>
      <c r="BM4223" s="8">
        <v>6277854.5247285059</v>
      </c>
      <c r="BN4223" s="8">
        <v>6568975.8156809723</v>
      </c>
      <c r="BO4223" s="8">
        <v>12846830.340409478</v>
      </c>
      <c r="BP4223" s="8">
        <v>3401148.6369298203</v>
      </c>
      <c r="BQ4223" s="8">
        <v>-9445681.7034796588</v>
      </c>
      <c r="BR4223" s="8" t="str">
        <v>Yes</v>
      </c>
    </row>
    <row r="4224" spans="54:70" x14ac:dyDescent="0.2">
      <c r="BB4224" s="94"/>
      <c r="BL4224" s="8">
        <v>4175</v>
      </c>
      <c r="BM4224" s="8">
        <v>3375697.6434630491</v>
      </c>
      <c r="BN4224" s="8">
        <v>0</v>
      </c>
      <c r="BO4224" s="8">
        <v>3375697.6434630491</v>
      </c>
      <c r="BP4224" s="8">
        <v>4288124.161168389</v>
      </c>
      <c r="BQ4224" s="8">
        <v>912426.51770533994</v>
      </c>
      <c r="BR4224" s="8" t="str">
        <v>No</v>
      </c>
    </row>
    <row r="4225" spans="54:70" x14ac:dyDescent="0.2">
      <c r="BB4225" s="94"/>
      <c r="BL4225" s="8">
        <v>4176</v>
      </c>
      <c r="BM4225" s="8">
        <v>2226506.3952883338</v>
      </c>
      <c r="BN4225" s="8">
        <v>0</v>
      </c>
      <c r="BO4225" s="8">
        <v>2226506.3952883338</v>
      </c>
      <c r="BP4225" s="8">
        <v>7218795.1449486846</v>
      </c>
      <c r="BQ4225" s="8">
        <v>4992288.7496603504</v>
      </c>
      <c r="BR4225" s="8" t="str">
        <v>No</v>
      </c>
    </row>
    <row r="4226" spans="54:70" x14ac:dyDescent="0.2">
      <c r="BB4226" s="94"/>
      <c r="BL4226" s="8">
        <v>4177</v>
      </c>
      <c r="BM4226" s="8">
        <v>4974267.3863563482</v>
      </c>
      <c r="BN4226" s="8">
        <v>5147331.0302881729</v>
      </c>
      <c r="BO4226" s="8">
        <v>10121598.416644521</v>
      </c>
      <c r="BP4226" s="8">
        <v>6349440.4577669799</v>
      </c>
      <c r="BQ4226" s="8">
        <v>-3772157.9588775411</v>
      </c>
      <c r="BR4226" s="8" t="str">
        <v>Yes</v>
      </c>
    </row>
    <row r="4227" spans="54:70" x14ac:dyDescent="0.2">
      <c r="BB4227" s="94"/>
      <c r="BL4227" s="8">
        <v>4178</v>
      </c>
      <c r="BM4227" s="8">
        <v>5391547.7815737026</v>
      </c>
      <c r="BN4227" s="8">
        <v>0</v>
      </c>
      <c r="BO4227" s="8">
        <v>5391547.7815737026</v>
      </c>
      <c r="BP4227" s="8">
        <v>3395554.56278136</v>
      </c>
      <c r="BQ4227" s="8">
        <v>-1995993.2187923426</v>
      </c>
      <c r="BR4227" s="8" t="str">
        <v>Yes</v>
      </c>
    </row>
    <row r="4228" spans="54:70" x14ac:dyDescent="0.2">
      <c r="BB4228" s="94"/>
      <c r="BL4228" s="8">
        <v>4179</v>
      </c>
      <c r="BM4228" s="8">
        <v>4532053.7609452084</v>
      </c>
      <c r="BN4228" s="8">
        <v>0</v>
      </c>
      <c r="BO4228" s="8">
        <v>4532053.7609452084</v>
      </c>
      <c r="BP4228" s="8">
        <v>6372171.6530145751</v>
      </c>
      <c r="BQ4228" s="8">
        <v>1840117.8920693668</v>
      </c>
      <c r="BR4228" s="8" t="str">
        <v>No</v>
      </c>
    </row>
    <row r="4229" spans="54:70" x14ac:dyDescent="0.2">
      <c r="BB4229" s="94"/>
      <c r="BL4229" s="8">
        <v>4180</v>
      </c>
      <c r="BM4229" s="8">
        <v>2514742.9049452161</v>
      </c>
      <c r="BN4229" s="8">
        <v>0</v>
      </c>
      <c r="BO4229" s="8">
        <v>2514742.9049452161</v>
      </c>
      <c r="BP4229" s="8">
        <v>3194993.8037398406</v>
      </c>
      <c r="BQ4229" s="8">
        <v>680250.89879462449</v>
      </c>
      <c r="BR4229" s="8" t="str">
        <v>No</v>
      </c>
    </row>
    <row r="4230" spans="54:70" x14ac:dyDescent="0.2">
      <c r="BB4230" s="94"/>
      <c r="BL4230" s="8">
        <v>4181</v>
      </c>
      <c r="BM4230" s="8">
        <v>5652434.0096268356</v>
      </c>
      <c r="BN4230" s="8">
        <v>0</v>
      </c>
      <c r="BO4230" s="8">
        <v>5652434.0096268356</v>
      </c>
      <c r="BP4230" s="8">
        <v>3495519.9986856552</v>
      </c>
      <c r="BQ4230" s="8">
        <v>-2156914.0109411804</v>
      </c>
      <c r="BR4230" s="8" t="str">
        <v>Yes</v>
      </c>
    </row>
    <row r="4231" spans="54:70" x14ac:dyDescent="0.2">
      <c r="BB4231" s="94"/>
      <c r="BL4231" s="8">
        <v>4182</v>
      </c>
      <c r="BM4231" s="8">
        <v>7637633.8441982977</v>
      </c>
      <c r="BN4231" s="8">
        <v>0</v>
      </c>
      <c r="BO4231" s="8">
        <v>7637633.8441982977</v>
      </c>
      <c r="BP4231" s="8">
        <v>3464842.1299630385</v>
      </c>
      <c r="BQ4231" s="8">
        <v>-4172791.7142352592</v>
      </c>
      <c r="BR4231" s="8" t="str">
        <v>Yes</v>
      </c>
    </row>
    <row r="4232" spans="54:70" x14ac:dyDescent="0.2">
      <c r="BB4232" s="94"/>
      <c r="BL4232" s="8">
        <v>4183</v>
      </c>
      <c r="BM4232" s="8">
        <v>5828689.9499776196</v>
      </c>
      <c r="BN4232" s="8">
        <v>0</v>
      </c>
      <c r="BO4232" s="8">
        <v>5828689.9499776196</v>
      </c>
      <c r="BP4232" s="8">
        <v>4532736.5431455383</v>
      </c>
      <c r="BQ4232" s="8">
        <v>-1295953.4068320813</v>
      </c>
      <c r="BR4232" s="8" t="str">
        <v>Yes</v>
      </c>
    </row>
    <row r="4233" spans="54:70" x14ac:dyDescent="0.2">
      <c r="BB4233" s="94"/>
      <c r="BL4233" s="8">
        <v>4184</v>
      </c>
      <c r="BM4233" s="8">
        <v>5067583.1458342541</v>
      </c>
      <c r="BN4233" s="8">
        <v>8336320.3293109965</v>
      </c>
      <c r="BO4233" s="8">
        <v>13403903.475145251</v>
      </c>
      <c r="BP4233" s="8">
        <v>3466282.9653243413</v>
      </c>
      <c r="BQ4233" s="8">
        <v>-9937620.5098209083</v>
      </c>
      <c r="BR4233" s="8" t="str">
        <v>Yes</v>
      </c>
    </row>
    <row r="4234" spans="54:70" x14ac:dyDescent="0.2">
      <c r="BB4234" s="94"/>
      <c r="BL4234" s="8">
        <v>4185</v>
      </c>
      <c r="BM4234" s="8">
        <v>4660381.8424048824</v>
      </c>
      <c r="BN4234" s="8">
        <v>0</v>
      </c>
      <c r="BO4234" s="8">
        <v>4660381.8424048824</v>
      </c>
      <c r="BP4234" s="8">
        <v>2449670.4598859027</v>
      </c>
      <c r="BQ4234" s="8">
        <v>-2210711.3825189797</v>
      </c>
      <c r="BR4234" s="8" t="str">
        <v>Yes</v>
      </c>
    </row>
    <row r="4235" spans="54:70" x14ac:dyDescent="0.2">
      <c r="BB4235" s="94"/>
      <c r="BL4235" s="8">
        <v>4186</v>
      </c>
      <c r="BM4235" s="8">
        <v>5849813.9639862478</v>
      </c>
      <c r="BN4235" s="8">
        <v>3475216.8454266083</v>
      </c>
      <c r="BO4235" s="8">
        <v>9325030.8094128557</v>
      </c>
      <c r="BP4235" s="8">
        <v>3466215.6739396644</v>
      </c>
      <c r="BQ4235" s="8">
        <v>-5858815.1354731917</v>
      </c>
      <c r="BR4235" s="8" t="str">
        <v>Yes</v>
      </c>
    </row>
    <row r="4236" spans="54:70" x14ac:dyDescent="0.2">
      <c r="BB4236" s="94"/>
      <c r="BL4236" s="8">
        <v>4187</v>
      </c>
      <c r="BM4236" s="8">
        <v>2768528.4265217292</v>
      </c>
      <c r="BN4236" s="8">
        <v>1744615.1723488383</v>
      </c>
      <c r="BO4236" s="8">
        <v>4513143.598870568</v>
      </c>
      <c r="BP4236" s="8">
        <v>3196428.5429067248</v>
      </c>
      <c r="BQ4236" s="8">
        <v>-1316715.0559638431</v>
      </c>
      <c r="BR4236" s="8" t="str">
        <v>Yes</v>
      </c>
    </row>
    <row r="4237" spans="54:70" x14ac:dyDescent="0.2">
      <c r="BB4237" s="94"/>
      <c r="BL4237" s="8">
        <v>4188</v>
      </c>
      <c r="BM4237" s="8">
        <v>3382150.8772735596</v>
      </c>
      <c r="BN4237" s="8">
        <v>0</v>
      </c>
      <c r="BO4237" s="8">
        <v>3382150.8772735596</v>
      </c>
      <c r="BP4237" s="8">
        <v>6192382.9423261462</v>
      </c>
      <c r="BQ4237" s="8">
        <v>2810232.0650525866</v>
      </c>
      <c r="BR4237" s="8" t="str">
        <v>No</v>
      </c>
    </row>
    <row r="4238" spans="54:70" x14ac:dyDescent="0.2">
      <c r="BB4238" s="94"/>
      <c r="BL4238" s="8">
        <v>4189</v>
      </c>
      <c r="BM4238" s="8">
        <v>4937782.056670743</v>
      </c>
      <c r="BN4238" s="8">
        <v>0</v>
      </c>
      <c r="BO4238" s="8">
        <v>4937782.056670743</v>
      </c>
      <c r="BP4238" s="8">
        <v>4219432.5091141313</v>
      </c>
      <c r="BQ4238" s="8">
        <v>-718349.54755661171</v>
      </c>
      <c r="BR4238" s="8" t="str">
        <v>Yes</v>
      </c>
    </row>
    <row r="4239" spans="54:70" x14ac:dyDescent="0.2">
      <c r="BB4239" s="94"/>
      <c r="BL4239" s="8">
        <v>4190</v>
      </c>
      <c r="BM4239" s="8">
        <v>3911704.6857527927</v>
      </c>
      <c r="BN4239" s="8">
        <v>4542247.798205141</v>
      </c>
      <c r="BO4239" s="8">
        <v>8453952.4839579333</v>
      </c>
      <c r="BP4239" s="8">
        <v>2212893.1543515902</v>
      </c>
      <c r="BQ4239" s="8">
        <v>-6241059.3296063431</v>
      </c>
      <c r="BR4239" s="8" t="str">
        <v>Yes</v>
      </c>
    </row>
    <row r="4240" spans="54:70" x14ac:dyDescent="0.2">
      <c r="BB4240" s="94"/>
      <c r="BL4240" s="8">
        <v>4191</v>
      </c>
      <c r="BM4240" s="8">
        <v>2889112.5210819589</v>
      </c>
      <c r="BN4240" s="8">
        <v>0</v>
      </c>
      <c r="BO4240" s="8">
        <v>2889112.5210819589</v>
      </c>
      <c r="BP4240" s="8">
        <v>4286904.8580517927</v>
      </c>
      <c r="BQ4240" s="8">
        <v>1397792.3369698338</v>
      </c>
      <c r="BR4240" s="8" t="str">
        <v>No</v>
      </c>
    </row>
    <row r="4241" spans="54:70" x14ac:dyDescent="0.2">
      <c r="BB4241" s="94"/>
      <c r="BL4241" s="8">
        <v>4192</v>
      </c>
      <c r="BM4241" s="8">
        <v>4629232.7535946835</v>
      </c>
      <c r="BN4241" s="8">
        <v>0</v>
      </c>
      <c r="BO4241" s="8">
        <v>4629232.7535946835</v>
      </c>
      <c r="BP4241" s="8">
        <v>6557569.4593268251</v>
      </c>
      <c r="BQ4241" s="8">
        <v>1928336.7057321416</v>
      </c>
      <c r="BR4241" s="8" t="str">
        <v>No</v>
      </c>
    </row>
    <row r="4242" spans="54:70" x14ac:dyDescent="0.2">
      <c r="BB4242" s="94"/>
      <c r="BL4242" s="8">
        <v>4193</v>
      </c>
      <c r="BM4242" s="8">
        <v>5338533.7886948735</v>
      </c>
      <c r="BN4242" s="8">
        <v>0</v>
      </c>
      <c r="BO4242" s="8">
        <v>5338533.7886948735</v>
      </c>
      <c r="BP4242" s="8">
        <v>3231570.0565458289</v>
      </c>
      <c r="BQ4242" s="8">
        <v>-2106963.7321490445</v>
      </c>
      <c r="BR4242" s="8" t="str">
        <v>Yes</v>
      </c>
    </row>
    <row r="4243" spans="54:70" x14ac:dyDescent="0.2">
      <c r="BB4243" s="94"/>
      <c r="BL4243" s="8">
        <v>4194</v>
      </c>
      <c r="BM4243" s="8">
        <v>4246299.6948616067</v>
      </c>
      <c r="BN4243" s="8">
        <v>0</v>
      </c>
      <c r="BO4243" s="8">
        <v>4246299.6948616067</v>
      </c>
      <c r="BP4243" s="8">
        <v>3414451.3185572182</v>
      </c>
      <c r="BQ4243" s="8">
        <v>-831848.37630438851</v>
      </c>
      <c r="BR4243" s="8" t="str">
        <v>Yes</v>
      </c>
    </row>
    <row r="4244" spans="54:70" x14ac:dyDescent="0.2">
      <c r="BB4244" s="94"/>
      <c r="BL4244" s="8">
        <v>4195</v>
      </c>
      <c r="BM4244" s="8">
        <v>5474309.7111853091</v>
      </c>
      <c r="BN4244" s="8">
        <v>3170424.0347054382</v>
      </c>
      <c r="BO4244" s="8">
        <v>8644733.7458907478</v>
      </c>
      <c r="BP4244" s="8">
        <v>6520254.6435453491</v>
      </c>
      <c r="BQ4244" s="8">
        <v>-2124479.1023453986</v>
      </c>
      <c r="BR4244" s="8" t="str">
        <v>Yes</v>
      </c>
    </row>
    <row r="4245" spans="54:70" x14ac:dyDescent="0.2">
      <c r="BB4245" s="94"/>
      <c r="BL4245" s="8">
        <v>4196</v>
      </c>
      <c r="BM4245" s="8">
        <v>3342774.9390290198</v>
      </c>
      <c r="BN4245" s="8">
        <v>1409185.7061770814</v>
      </c>
      <c r="BO4245" s="8">
        <v>4751960.6452061012</v>
      </c>
      <c r="BP4245" s="8">
        <v>6068455.2507775854</v>
      </c>
      <c r="BQ4245" s="8">
        <v>1316494.6055714842</v>
      </c>
      <c r="BR4245" s="8" t="str">
        <v>No</v>
      </c>
    </row>
    <row r="4246" spans="54:70" x14ac:dyDescent="0.2">
      <c r="BB4246" s="94"/>
      <c r="BL4246" s="8">
        <v>4197</v>
      </c>
      <c r="BM4246" s="8">
        <v>3412165.8903462817</v>
      </c>
      <c r="BN4246" s="8">
        <v>0</v>
      </c>
      <c r="BO4246" s="8">
        <v>3412165.8903462817</v>
      </c>
      <c r="BP4246" s="8">
        <v>3257699.2319256305</v>
      </c>
      <c r="BQ4246" s="8">
        <v>-154466.65842065122</v>
      </c>
      <c r="BR4246" s="8" t="str">
        <v>Yes</v>
      </c>
    </row>
    <row r="4247" spans="54:70" x14ac:dyDescent="0.2">
      <c r="BB4247" s="94"/>
      <c r="BL4247" s="8">
        <v>4198</v>
      </c>
      <c r="BM4247" s="8">
        <v>4528968.9596210439</v>
      </c>
      <c r="BN4247" s="8">
        <v>0</v>
      </c>
      <c r="BO4247" s="8">
        <v>4528968.9596210439</v>
      </c>
      <c r="BP4247" s="8">
        <v>4258591.6088650208</v>
      </c>
      <c r="BQ4247" s="8">
        <v>-270377.35075602308</v>
      </c>
      <c r="BR4247" s="8" t="str">
        <v>Yes</v>
      </c>
    </row>
    <row r="4248" spans="54:70" x14ac:dyDescent="0.2">
      <c r="BB4248" s="94"/>
      <c r="BL4248" s="8">
        <v>4199</v>
      </c>
      <c r="BM4248" s="8">
        <v>3728224.9405005462</v>
      </c>
      <c r="BN4248" s="8">
        <v>0</v>
      </c>
      <c r="BO4248" s="8">
        <v>3728224.9405005462</v>
      </c>
      <c r="BP4248" s="8">
        <v>5675953.818471767</v>
      </c>
      <c r="BQ4248" s="8">
        <v>1947728.8779712208</v>
      </c>
      <c r="BR4248" s="8" t="str">
        <v>No</v>
      </c>
    </row>
    <row r="4249" spans="54:70" x14ac:dyDescent="0.2">
      <c r="BB4249" s="94"/>
      <c r="BL4249" s="8">
        <v>4200</v>
      </c>
      <c r="BM4249" s="8">
        <v>5637589.415118143</v>
      </c>
      <c r="BN4249" s="8">
        <v>0</v>
      </c>
      <c r="BO4249" s="8">
        <v>5637589.415118143</v>
      </c>
      <c r="BP4249" s="8">
        <v>2425796.680205612</v>
      </c>
      <c r="BQ4249" s="8">
        <v>-3211792.734912531</v>
      </c>
      <c r="BR4249" s="8" t="str">
        <v>Yes</v>
      </c>
    </row>
    <row r="4250" spans="54:70" x14ac:dyDescent="0.2">
      <c r="BB4250" s="94"/>
      <c r="BL4250" s="8">
        <v>4201</v>
      </c>
      <c r="BM4250" s="8">
        <v>6921503.288963072</v>
      </c>
      <c r="BN4250" s="8">
        <v>0</v>
      </c>
      <c r="BO4250" s="8">
        <v>6921503.288963072</v>
      </c>
      <c r="BP4250" s="8">
        <v>5935144.6543763252</v>
      </c>
      <c r="BQ4250" s="8">
        <v>-986358.6345867468</v>
      </c>
      <c r="BR4250" s="8" t="str">
        <v>Yes</v>
      </c>
    </row>
    <row r="4251" spans="54:70" x14ac:dyDescent="0.2">
      <c r="BB4251" s="94"/>
      <c r="BL4251" s="8">
        <v>4202</v>
      </c>
      <c r="BM4251" s="8">
        <v>1902271.6759192348</v>
      </c>
      <c r="BN4251" s="8">
        <v>1290126.2539216981</v>
      </c>
      <c r="BO4251" s="8">
        <v>3192397.9298409326</v>
      </c>
      <c r="BP4251" s="8">
        <v>3454145.9934098599</v>
      </c>
      <c r="BQ4251" s="8">
        <v>261748.06356892735</v>
      </c>
      <c r="BR4251" s="8" t="str">
        <v>No</v>
      </c>
    </row>
    <row r="4252" spans="54:70" x14ac:dyDescent="0.2">
      <c r="BB4252" s="94"/>
      <c r="BL4252" s="8">
        <v>4203</v>
      </c>
      <c r="BM4252" s="8">
        <v>5655056.18328299</v>
      </c>
      <c r="BN4252" s="8">
        <v>0</v>
      </c>
      <c r="BO4252" s="8">
        <v>5655056.18328299</v>
      </c>
      <c r="BP4252" s="8">
        <v>1971962.8486366766</v>
      </c>
      <c r="BQ4252" s="8">
        <v>-3683093.3346463135</v>
      </c>
      <c r="BR4252" s="8" t="str">
        <v>Yes</v>
      </c>
    </row>
    <row r="4253" spans="54:70" x14ac:dyDescent="0.2">
      <c r="BB4253" s="94"/>
      <c r="BL4253" s="8">
        <v>4204</v>
      </c>
      <c r="BM4253" s="8">
        <v>3519376.2664920464</v>
      </c>
      <c r="BN4253" s="8">
        <v>5045420.5644227574</v>
      </c>
      <c r="BO4253" s="8">
        <v>8564796.8309148028</v>
      </c>
      <c r="BP4253" s="8">
        <v>2421288.1098213554</v>
      </c>
      <c r="BQ4253" s="8">
        <v>-6143508.7210934479</v>
      </c>
      <c r="BR4253" s="8" t="str">
        <v>Yes</v>
      </c>
    </row>
    <row r="4254" spans="54:70" x14ac:dyDescent="0.2">
      <c r="BB4254" s="94"/>
      <c r="BL4254" s="8">
        <v>4205</v>
      </c>
      <c r="BM4254" s="8">
        <v>5975638.4990025572</v>
      </c>
      <c r="BN4254" s="8">
        <v>0</v>
      </c>
      <c r="BO4254" s="8">
        <v>5975638.4990025572</v>
      </c>
      <c r="BP4254" s="8">
        <v>6259920.5487116454</v>
      </c>
      <c r="BQ4254" s="8">
        <v>284282.04970908817</v>
      </c>
      <c r="BR4254" s="8" t="str">
        <v>No</v>
      </c>
    </row>
    <row r="4255" spans="54:70" x14ac:dyDescent="0.2">
      <c r="BB4255" s="94"/>
      <c r="BL4255" s="8">
        <v>4206</v>
      </c>
      <c r="BM4255" s="8">
        <v>2670133.4604186462</v>
      </c>
      <c r="BN4255" s="8">
        <v>0</v>
      </c>
      <c r="BO4255" s="8">
        <v>2670133.4604186462</v>
      </c>
      <c r="BP4255" s="8">
        <v>2415591.3159518209</v>
      </c>
      <c r="BQ4255" s="8">
        <v>-254542.1444668253</v>
      </c>
      <c r="BR4255" s="8" t="str">
        <v>Yes</v>
      </c>
    </row>
    <row r="4256" spans="54:70" x14ac:dyDescent="0.2">
      <c r="BB4256" s="94"/>
      <c r="BL4256" s="8">
        <v>4207</v>
      </c>
      <c r="BM4256" s="8">
        <v>12842312.672639672</v>
      </c>
      <c r="BN4256" s="8">
        <v>0</v>
      </c>
      <c r="BO4256" s="8">
        <v>12842312.672639672</v>
      </c>
      <c r="BP4256" s="8">
        <v>6144792.5798877208</v>
      </c>
      <c r="BQ4256" s="8">
        <v>-6697520.092751951</v>
      </c>
      <c r="BR4256" s="8" t="str">
        <v>Yes</v>
      </c>
    </row>
    <row r="4257" spans="54:70" x14ac:dyDescent="0.2">
      <c r="BB4257" s="94"/>
      <c r="BL4257" s="8">
        <v>4208</v>
      </c>
      <c r="BM4257" s="8">
        <v>2426642.6751288441</v>
      </c>
      <c r="BN4257" s="8">
        <v>1368846.7117788699</v>
      </c>
      <c r="BO4257" s="8">
        <v>3795489.386907714</v>
      </c>
      <c r="BP4257" s="8">
        <v>3574313.5954634086</v>
      </c>
      <c r="BQ4257" s="8">
        <v>-221175.79144430533</v>
      </c>
      <c r="BR4257" s="8" t="str">
        <v>Yes</v>
      </c>
    </row>
    <row r="4258" spans="54:70" x14ac:dyDescent="0.2">
      <c r="BB4258" s="94"/>
      <c r="BL4258" s="8">
        <v>4209</v>
      </c>
      <c r="BM4258" s="8">
        <v>4270627.2281817356</v>
      </c>
      <c r="BN4258" s="8">
        <v>8252205.4874422336</v>
      </c>
      <c r="BO4258" s="8">
        <v>12522832.715623969</v>
      </c>
      <c r="BP4258" s="8">
        <v>3629311.9020284009</v>
      </c>
      <c r="BQ4258" s="8">
        <v>-8893520.8135955688</v>
      </c>
      <c r="BR4258" s="8" t="str">
        <v>Yes</v>
      </c>
    </row>
    <row r="4259" spans="54:70" x14ac:dyDescent="0.2">
      <c r="BB4259" s="94"/>
      <c r="BL4259" s="8">
        <v>4210</v>
      </c>
      <c r="BM4259" s="8">
        <v>7667773.9200971965</v>
      </c>
      <c r="BN4259" s="8">
        <v>0</v>
      </c>
      <c r="BO4259" s="8">
        <v>7667773.9200971965</v>
      </c>
      <c r="BP4259" s="8">
        <v>2355383.3554445342</v>
      </c>
      <c r="BQ4259" s="8">
        <v>-5312390.5646526627</v>
      </c>
      <c r="BR4259" s="8" t="str">
        <v>Yes</v>
      </c>
    </row>
    <row r="4260" spans="54:70" x14ac:dyDescent="0.2">
      <c r="BB4260" s="94"/>
      <c r="BL4260" s="8">
        <v>4211</v>
      </c>
      <c r="BM4260" s="8">
        <v>4750749.0211522058</v>
      </c>
      <c r="BN4260" s="8">
        <v>6093664.4227946689</v>
      </c>
      <c r="BO4260" s="8">
        <v>10844413.443946876</v>
      </c>
      <c r="BP4260" s="8">
        <v>6465605.8515762351</v>
      </c>
      <c r="BQ4260" s="8">
        <v>-4378807.5923706405</v>
      </c>
      <c r="BR4260" s="8" t="str">
        <v>Yes</v>
      </c>
    </row>
    <row r="4261" spans="54:70" x14ac:dyDescent="0.2">
      <c r="BB4261" s="94"/>
      <c r="BL4261" s="8">
        <v>4212</v>
      </c>
      <c r="BM4261" s="8">
        <v>2418665.515664211</v>
      </c>
      <c r="BN4261" s="8">
        <v>2948091.05356008</v>
      </c>
      <c r="BO4261" s="8">
        <v>5366756.5692242905</v>
      </c>
      <c r="BP4261" s="8">
        <v>2215538.2754479032</v>
      </c>
      <c r="BQ4261" s="8">
        <v>-3151218.2937763873</v>
      </c>
      <c r="BR4261" s="8" t="str">
        <v>Yes</v>
      </c>
    </row>
    <row r="4262" spans="54:70" x14ac:dyDescent="0.2">
      <c r="BB4262" s="94"/>
      <c r="BL4262" s="8">
        <v>4213</v>
      </c>
      <c r="BM4262" s="8">
        <v>4284867.4688989902</v>
      </c>
      <c r="BN4262" s="8">
        <v>4599467.1876421543</v>
      </c>
      <c r="BO4262" s="8">
        <v>8884334.6565411445</v>
      </c>
      <c r="BP4262" s="8">
        <v>2186009.0446849843</v>
      </c>
      <c r="BQ4262" s="8">
        <v>-6698325.6118561607</v>
      </c>
      <c r="BR4262" s="8" t="str">
        <v>Yes</v>
      </c>
    </row>
    <row r="4263" spans="54:70" x14ac:dyDescent="0.2">
      <c r="BB4263" s="94"/>
      <c r="BL4263" s="8">
        <v>4214</v>
      </c>
      <c r="BM4263" s="8">
        <v>17406011.827139691</v>
      </c>
      <c r="BN4263" s="8">
        <v>6324203.3509734357</v>
      </c>
      <c r="BO4263" s="8">
        <v>23730215.178113125</v>
      </c>
      <c r="BP4263" s="8">
        <v>5926737.7218249701</v>
      </c>
      <c r="BQ4263" s="8">
        <v>-17803477.456288155</v>
      </c>
      <c r="BR4263" s="8" t="str">
        <v>Yes</v>
      </c>
    </row>
    <row r="4264" spans="54:70" x14ac:dyDescent="0.2">
      <c r="BB4264" s="94"/>
      <c r="BL4264" s="8">
        <v>4215</v>
      </c>
      <c r="BM4264" s="8">
        <v>6231717.1542482181</v>
      </c>
      <c r="BN4264" s="8">
        <v>0</v>
      </c>
      <c r="BO4264" s="8">
        <v>6231717.1542482181</v>
      </c>
      <c r="BP4264" s="8">
        <v>3197012.0517749209</v>
      </c>
      <c r="BQ4264" s="8">
        <v>-3034705.1024732972</v>
      </c>
      <c r="BR4264" s="8" t="str">
        <v>Yes</v>
      </c>
    </row>
    <row r="4265" spans="54:70" x14ac:dyDescent="0.2">
      <c r="BB4265" s="94"/>
      <c r="BL4265" s="8">
        <v>4216</v>
      </c>
      <c r="BM4265" s="8">
        <v>3434020.7177606183</v>
      </c>
      <c r="BN4265" s="8">
        <v>0</v>
      </c>
      <c r="BO4265" s="8">
        <v>3434020.7177606183</v>
      </c>
      <c r="BP4265" s="8">
        <v>2370151.9627553131</v>
      </c>
      <c r="BQ4265" s="8">
        <v>-1063868.7550053052</v>
      </c>
      <c r="BR4265" s="8" t="str">
        <v>Yes</v>
      </c>
    </row>
    <row r="4266" spans="54:70" x14ac:dyDescent="0.2">
      <c r="BB4266" s="94"/>
      <c r="BL4266" s="8">
        <v>4217</v>
      </c>
      <c r="BM4266" s="8">
        <v>3500247.2417142028</v>
      </c>
      <c r="BN4266" s="8">
        <v>0</v>
      </c>
      <c r="BO4266" s="8">
        <v>3500247.2417142028</v>
      </c>
      <c r="BP4266" s="8">
        <v>6236773.6544564152</v>
      </c>
      <c r="BQ4266" s="8">
        <v>2736526.4127422124</v>
      </c>
      <c r="BR4266" s="8" t="str">
        <v>No</v>
      </c>
    </row>
    <row r="4267" spans="54:70" x14ac:dyDescent="0.2">
      <c r="BB4267" s="94"/>
      <c r="BL4267" s="8">
        <v>4218</v>
      </c>
      <c r="BM4267" s="8">
        <v>2271488.5695730657</v>
      </c>
      <c r="BN4267" s="8">
        <v>2341802.5871636881</v>
      </c>
      <c r="BO4267" s="8">
        <v>4613291.1567367539</v>
      </c>
      <c r="BP4267" s="8">
        <v>5082704.0918027293</v>
      </c>
      <c r="BQ4267" s="8">
        <v>469412.93506597541</v>
      </c>
      <c r="BR4267" s="8" t="str">
        <v>No</v>
      </c>
    </row>
    <row r="4268" spans="54:70" x14ac:dyDescent="0.2">
      <c r="BB4268" s="94"/>
      <c r="BL4268" s="8">
        <v>4219</v>
      </c>
      <c r="BM4268" s="8">
        <v>2985776.4901675247</v>
      </c>
      <c r="BN4268" s="8">
        <v>0</v>
      </c>
      <c r="BO4268" s="8">
        <v>2985776.4901675247</v>
      </c>
      <c r="BP4268" s="8">
        <v>3420644.8360637655</v>
      </c>
      <c r="BQ4268" s="8">
        <v>434868.34589624079</v>
      </c>
      <c r="BR4268" s="8" t="str">
        <v>No</v>
      </c>
    </row>
    <row r="4269" spans="54:70" x14ac:dyDescent="0.2">
      <c r="BB4269" s="94"/>
      <c r="BL4269" s="8">
        <v>4220</v>
      </c>
      <c r="BM4269" s="8">
        <v>8422991.3036646359</v>
      </c>
      <c r="BN4269" s="8">
        <v>0</v>
      </c>
      <c r="BO4269" s="8">
        <v>8422991.3036646359</v>
      </c>
      <c r="BP4269" s="8">
        <v>3896750.5583806704</v>
      </c>
      <c r="BQ4269" s="8">
        <v>-4526240.745283965</v>
      </c>
      <c r="BR4269" s="8" t="str">
        <v>Yes</v>
      </c>
    </row>
    <row r="4270" spans="54:70" x14ac:dyDescent="0.2">
      <c r="BB4270" s="94"/>
      <c r="BL4270" s="8">
        <v>4221</v>
      </c>
      <c r="BM4270" s="8">
        <v>3553948.0621836884</v>
      </c>
      <c r="BN4270" s="8">
        <v>0</v>
      </c>
      <c r="BO4270" s="8">
        <v>3553948.0621836884</v>
      </c>
      <c r="BP4270" s="8">
        <v>6153258.3639640119</v>
      </c>
      <c r="BQ4270" s="8">
        <v>2599310.3017803235</v>
      </c>
      <c r="BR4270" s="8" t="str">
        <v>No</v>
      </c>
    </row>
    <row r="4271" spans="54:70" x14ac:dyDescent="0.2">
      <c r="BB4271" s="94"/>
      <c r="BL4271" s="8">
        <v>4222</v>
      </c>
      <c r="BM4271" s="8">
        <v>11941609.360624593</v>
      </c>
      <c r="BN4271" s="8">
        <v>0</v>
      </c>
      <c r="BO4271" s="8">
        <v>11941609.360624593</v>
      </c>
      <c r="BP4271" s="8">
        <v>2324369.9876800529</v>
      </c>
      <c r="BQ4271" s="8">
        <v>-9617239.3729445394</v>
      </c>
      <c r="BR4271" s="8" t="str">
        <v>Yes</v>
      </c>
    </row>
    <row r="4272" spans="54:70" x14ac:dyDescent="0.2">
      <c r="BB4272" s="94"/>
      <c r="BL4272" s="8">
        <v>4223</v>
      </c>
      <c r="BM4272" s="8">
        <v>11169857.464850228</v>
      </c>
      <c r="BN4272" s="8">
        <v>0</v>
      </c>
      <c r="BO4272" s="8">
        <v>11169857.464850228</v>
      </c>
      <c r="BP4272" s="8">
        <v>4187365.9570341986</v>
      </c>
      <c r="BQ4272" s="8">
        <v>-6982491.5078160297</v>
      </c>
      <c r="BR4272" s="8" t="str">
        <v>Yes</v>
      </c>
    </row>
    <row r="4273" spans="54:70" x14ac:dyDescent="0.2">
      <c r="BB4273" s="94"/>
      <c r="BL4273" s="8">
        <v>4224</v>
      </c>
      <c r="BM4273" s="8">
        <v>10071900.463635881</v>
      </c>
      <c r="BN4273" s="8">
        <v>5242490.7083661025</v>
      </c>
      <c r="BO4273" s="8">
        <v>15314391.172001984</v>
      </c>
      <c r="BP4273" s="8">
        <v>5923530.1668536132</v>
      </c>
      <c r="BQ4273" s="8">
        <v>-9390861.0051483698</v>
      </c>
      <c r="BR4273" s="8" t="str">
        <v>Yes</v>
      </c>
    </row>
    <row r="4274" spans="54:70" x14ac:dyDescent="0.2">
      <c r="BB4274" s="94"/>
      <c r="BL4274" s="8">
        <v>4225</v>
      </c>
      <c r="BM4274" s="8">
        <v>11194094.948692285</v>
      </c>
      <c r="BN4274" s="8">
        <v>7565662.4229430705</v>
      </c>
      <c r="BO4274" s="8">
        <v>18759757.371635355</v>
      </c>
      <c r="BP4274" s="8">
        <v>4379234.5415588235</v>
      </c>
      <c r="BQ4274" s="8">
        <v>-14380522.830076531</v>
      </c>
      <c r="BR4274" s="8" t="str">
        <v>Yes</v>
      </c>
    </row>
    <row r="4275" spans="54:70" x14ac:dyDescent="0.2">
      <c r="BB4275" s="94"/>
      <c r="BL4275" s="8">
        <v>4226</v>
      </c>
      <c r="BM4275" s="8">
        <v>6467217.683025511</v>
      </c>
      <c r="BN4275" s="8">
        <v>0</v>
      </c>
      <c r="BO4275" s="8">
        <v>6467217.683025511</v>
      </c>
      <c r="BP4275" s="8">
        <v>6353843.6927417386</v>
      </c>
      <c r="BQ4275" s="8">
        <v>-113373.99028377235</v>
      </c>
      <c r="BR4275" s="8" t="str">
        <v>Yes</v>
      </c>
    </row>
    <row r="4276" spans="54:70" x14ac:dyDescent="0.2">
      <c r="BB4276" s="94"/>
      <c r="BL4276" s="8">
        <v>4227</v>
      </c>
      <c r="BM4276" s="8">
        <v>2526644.5971560697</v>
      </c>
      <c r="BN4276" s="8">
        <v>0</v>
      </c>
      <c r="BO4276" s="8">
        <v>2526644.5971560697</v>
      </c>
      <c r="BP4276" s="8">
        <v>2294588.6751585244</v>
      </c>
      <c r="BQ4276" s="8">
        <v>-232055.92199754529</v>
      </c>
      <c r="BR4276" s="8" t="str">
        <v>Yes</v>
      </c>
    </row>
    <row r="4277" spans="54:70" x14ac:dyDescent="0.2">
      <c r="BB4277" s="94"/>
      <c r="BL4277" s="8">
        <v>4228</v>
      </c>
      <c r="BM4277" s="8">
        <v>4782456.3435572628</v>
      </c>
      <c r="BN4277" s="8">
        <v>2145725.211579652</v>
      </c>
      <c r="BO4277" s="8">
        <v>6928181.5551369153</v>
      </c>
      <c r="BP4277" s="8">
        <v>4359986.7021337217</v>
      </c>
      <c r="BQ4277" s="8">
        <v>-2568194.8530031936</v>
      </c>
      <c r="BR4277" s="8" t="str">
        <v>Yes</v>
      </c>
    </row>
    <row r="4278" spans="54:70" x14ac:dyDescent="0.2">
      <c r="BB4278" s="94"/>
      <c r="BL4278" s="8">
        <v>4229</v>
      </c>
      <c r="BM4278" s="8">
        <v>2658556.1492775576</v>
      </c>
      <c r="BN4278" s="8">
        <v>0</v>
      </c>
      <c r="BO4278" s="8">
        <v>2658556.1492775576</v>
      </c>
      <c r="BP4278" s="8">
        <v>3398237.9189213896</v>
      </c>
      <c r="BQ4278" s="8">
        <v>739681.769643832</v>
      </c>
      <c r="BR4278" s="8" t="str">
        <v>No</v>
      </c>
    </row>
    <row r="4279" spans="54:70" x14ac:dyDescent="0.2">
      <c r="BB4279" s="94"/>
      <c r="BL4279" s="8">
        <v>4230</v>
      </c>
      <c r="BM4279" s="8">
        <v>2378947.0797598902</v>
      </c>
      <c r="BN4279" s="8">
        <v>3642366.4100246248</v>
      </c>
      <c r="BO4279" s="8">
        <v>6021313.4897845145</v>
      </c>
      <c r="BP4279" s="8">
        <v>3554744.1642200518</v>
      </c>
      <c r="BQ4279" s="8">
        <v>-2466569.3255644627</v>
      </c>
      <c r="BR4279" s="8" t="str">
        <v>Yes</v>
      </c>
    </row>
    <row r="4280" spans="54:70" x14ac:dyDescent="0.2">
      <c r="BB4280" s="94"/>
      <c r="BL4280" s="8">
        <v>4231</v>
      </c>
      <c r="BM4280" s="8">
        <v>2379800.5775824254</v>
      </c>
      <c r="BN4280" s="8">
        <v>1353266.4697160174</v>
      </c>
      <c r="BO4280" s="8">
        <v>3733067.0472984426</v>
      </c>
      <c r="BP4280" s="8">
        <v>2268576.4660513611</v>
      </c>
      <c r="BQ4280" s="8">
        <v>-1464490.5812470815</v>
      </c>
      <c r="BR4280" s="8" t="str">
        <v>Yes</v>
      </c>
    </row>
    <row r="4281" spans="54:70" x14ac:dyDescent="0.2">
      <c r="BB4281" s="94"/>
      <c r="BL4281" s="8">
        <v>4232</v>
      </c>
      <c r="BM4281" s="8">
        <v>6185617.0579995262</v>
      </c>
      <c r="BN4281" s="8">
        <v>7930779.4344685301</v>
      </c>
      <c r="BO4281" s="8">
        <v>14116396.492468055</v>
      </c>
      <c r="BP4281" s="8">
        <v>3341772.791451056</v>
      </c>
      <c r="BQ4281" s="8">
        <v>-10774623.701017</v>
      </c>
      <c r="BR4281" s="8" t="str">
        <v>Yes</v>
      </c>
    </row>
    <row r="4282" spans="54:70" x14ac:dyDescent="0.2">
      <c r="BB4282" s="94"/>
      <c r="BL4282" s="8">
        <v>4233</v>
      </c>
      <c r="BM4282" s="8">
        <v>3728553.8683376545</v>
      </c>
      <c r="BN4282" s="8">
        <v>0</v>
      </c>
      <c r="BO4282" s="8">
        <v>3728553.8683376545</v>
      </c>
      <c r="BP4282" s="8">
        <v>4200113.9531199262</v>
      </c>
      <c r="BQ4282" s="8">
        <v>471560.08478227165</v>
      </c>
      <c r="BR4282" s="8" t="str">
        <v>No</v>
      </c>
    </row>
    <row r="4283" spans="54:70" x14ac:dyDescent="0.2">
      <c r="BB4283" s="94"/>
      <c r="BL4283" s="8">
        <v>4234</v>
      </c>
      <c r="BM4283" s="8">
        <v>5137548.2448943043</v>
      </c>
      <c r="BN4283" s="8">
        <v>1415053.0304161713</v>
      </c>
      <c r="BO4283" s="8">
        <v>6552601.2753104754</v>
      </c>
      <c r="BP4283" s="8">
        <v>3308882.8565643486</v>
      </c>
      <c r="BQ4283" s="8">
        <v>-3243718.4187461268</v>
      </c>
      <c r="BR4283" s="8" t="str">
        <v>Yes</v>
      </c>
    </row>
    <row r="4284" spans="54:70" x14ac:dyDescent="0.2">
      <c r="BB4284" s="94"/>
      <c r="BL4284" s="8">
        <v>4235</v>
      </c>
      <c r="BM4284" s="8">
        <v>2108164.4437439935</v>
      </c>
      <c r="BN4284" s="8">
        <v>0</v>
      </c>
      <c r="BO4284" s="8">
        <v>2108164.4437439935</v>
      </c>
      <c r="BP4284" s="8">
        <v>2297242.527701796</v>
      </c>
      <c r="BQ4284" s="8">
        <v>189078.0839578025</v>
      </c>
      <c r="BR4284" s="8" t="str">
        <v>No</v>
      </c>
    </row>
    <row r="4285" spans="54:70" x14ac:dyDescent="0.2">
      <c r="BB4285" s="94"/>
      <c r="BL4285" s="8">
        <v>4236</v>
      </c>
      <c r="BM4285" s="8">
        <v>3711062.7262114398</v>
      </c>
      <c r="BN4285" s="8">
        <v>3906600.1215520548</v>
      </c>
      <c r="BO4285" s="8">
        <v>7617662.8477634946</v>
      </c>
      <c r="BP4285" s="8">
        <v>2633072.4670942174</v>
      </c>
      <c r="BQ4285" s="8">
        <v>-4984590.3806692772</v>
      </c>
      <c r="BR4285" s="8" t="str">
        <v>Yes</v>
      </c>
    </row>
    <row r="4286" spans="54:70" x14ac:dyDescent="0.2">
      <c r="BB4286" s="94"/>
      <c r="BL4286" s="8">
        <v>4237</v>
      </c>
      <c r="BM4286" s="8">
        <v>3949507.0753846988</v>
      </c>
      <c r="BN4286" s="8">
        <v>0</v>
      </c>
      <c r="BO4286" s="8">
        <v>3949507.0753846988</v>
      </c>
      <c r="BP4286" s="8">
        <v>2277225.5074947458</v>
      </c>
      <c r="BQ4286" s="8">
        <v>-1672281.567889953</v>
      </c>
      <c r="BR4286" s="8" t="str">
        <v>Yes</v>
      </c>
    </row>
    <row r="4287" spans="54:70" x14ac:dyDescent="0.2">
      <c r="BB4287" s="94"/>
      <c r="BL4287" s="8">
        <v>4238</v>
      </c>
      <c r="BM4287" s="8">
        <v>7286858.9066028409</v>
      </c>
      <c r="BN4287" s="8">
        <v>8751767.1571268812</v>
      </c>
      <c r="BO4287" s="8">
        <v>16038626.063729722</v>
      </c>
      <c r="BP4287" s="8">
        <v>3271067.0561164944</v>
      </c>
      <c r="BQ4287" s="8">
        <v>-12767559.007613227</v>
      </c>
      <c r="BR4287" s="8" t="str">
        <v>Yes</v>
      </c>
    </row>
    <row r="4288" spans="54:70" x14ac:dyDescent="0.2">
      <c r="BB4288" s="94"/>
      <c r="BL4288" s="8">
        <v>4239</v>
      </c>
      <c r="BM4288" s="8">
        <v>4943392.4641401088</v>
      </c>
      <c r="BN4288" s="8">
        <v>0</v>
      </c>
      <c r="BO4288" s="8">
        <v>4943392.4641401088</v>
      </c>
      <c r="BP4288" s="8">
        <v>4686652.0765231466</v>
      </c>
      <c r="BQ4288" s="8">
        <v>-256740.38761696219</v>
      </c>
      <c r="BR4288" s="8" t="str">
        <v>Yes</v>
      </c>
    </row>
    <row r="4289" spans="54:70" x14ac:dyDescent="0.2">
      <c r="BB4289" s="94"/>
      <c r="BL4289" s="8">
        <v>4240</v>
      </c>
      <c r="BM4289" s="8">
        <v>5791783.6414745012</v>
      </c>
      <c r="BN4289" s="8">
        <v>0</v>
      </c>
      <c r="BO4289" s="8">
        <v>5791783.6414745012</v>
      </c>
      <c r="BP4289" s="8">
        <v>4644314.8886062354</v>
      </c>
      <c r="BQ4289" s="8">
        <v>-1147468.7528682658</v>
      </c>
      <c r="BR4289" s="8" t="str">
        <v>Yes</v>
      </c>
    </row>
    <row r="4290" spans="54:70" x14ac:dyDescent="0.2">
      <c r="BB4290" s="94"/>
      <c r="BL4290" s="8">
        <v>4241</v>
      </c>
      <c r="BM4290" s="8">
        <v>4095893.6689934572</v>
      </c>
      <c r="BN4290" s="8">
        <v>0</v>
      </c>
      <c r="BO4290" s="8">
        <v>4095893.6689934572</v>
      </c>
      <c r="BP4290" s="8">
        <v>3369924.6606946988</v>
      </c>
      <c r="BQ4290" s="8">
        <v>-725969.00829875842</v>
      </c>
      <c r="BR4290" s="8" t="str">
        <v>Yes</v>
      </c>
    </row>
    <row r="4291" spans="54:70" x14ac:dyDescent="0.2">
      <c r="BB4291" s="94"/>
      <c r="BL4291" s="8">
        <v>4242</v>
      </c>
      <c r="BM4291" s="8">
        <v>2018576.6978592295</v>
      </c>
      <c r="BN4291" s="8">
        <v>1806880.5704800761</v>
      </c>
      <c r="BO4291" s="8">
        <v>3825457.2683393057</v>
      </c>
      <c r="BP4291" s="8">
        <v>2461277.6791901644</v>
      </c>
      <c r="BQ4291" s="8">
        <v>-1364179.5891491412</v>
      </c>
      <c r="BR4291" s="8" t="str">
        <v>Yes</v>
      </c>
    </row>
    <row r="4292" spans="54:70" x14ac:dyDescent="0.2">
      <c r="BB4292" s="94"/>
      <c r="BL4292" s="8">
        <v>4243</v>
      </c>
      <c r="BM4292" s="8">
        <v>7354612.6201427979</v>
      </c>
      <c r="BN4292" s="8">
        <v>7511887.4794986397</v>
      </c>
      <c r="BO4292" s="8">
        <v>14866500.099641439</v>
      </c>
      <c r="BP4292" s="8">
        <v>2286485.2808352048</v>
      </c>
      <c r="BQ4292" s="8">
        <v>-12580014.818806235</v>
      </c>
      <c r="BR4292" s="8" t="str">
        <v>Yes</v>
      </c>
    </row>
    <row r="4293" spans="54:70" x14ac:dyDescent="0.2">
      <c r="BB4293" s="94"/>
      <c r="BL4293" s="8">
        <v>4244</v>
      </c>
      <c r="BM4293" s="8">
        <v>5777672.4105711188</v>
      </c>
      <c r="BN4293" s="8">
        <v>6781439.190197139</v>
      </c>
      <c r="BO4293" s="8">
        <v>12559111.600768257</v>
      </c>
      <c r="BP4293" s="8">
        <v>4259688.2276202217</v>
      </c>
      <c r="BQ4293" s="8">
        <v>-8299423.3731480353</v>
      </c>
      <c r="BR4293" s="8" t="str">
        <v>Yes</v>
      </c>
    </row>
    <row r="4294" spans="54:70" x14ac:dyDescent="0.2">
      <c r="BB4294" s="94"/>
      <c r="BL4294" s="8">
        <v>4245</v>
      </c>
      <c r="BM4294" s="8">
        <v>6093820.4141350258</v>
      </c>
      <c r="BN4294" s="8">
        <v>6623394.5741314422</v>
      </c>
      <c r="BO4294" s="8">
        <v>12717214.988266468</v>
      </c>
      <c r="BP4294" s="8">
        <v>6340542.4052761588</v>
      </c>
      <c r="BQ4294" s="8">
        <v>-6376672.5829903092</v>
      </c>
      <c r="BR4294" s="8" t="str">
        <v>Yes</v>
      </c>
    </row>
    <row r="4295" spans="54:70" x14ac:dyDescent="0.2">
      <c r="BB4295" s="94"/>
      <c r="BL4295" s="8">
        <v>4246</v>
      </c>
      <c r="BM4295" s="8">
        <v>1806166.3001178377</v>
      </c>
      <c r="BN4295" s="8">
        <v>0</v>
      </c>
      <c r="BO4295" s="8">
        <v>1806166.3001178377</v>
      </c>
      <c r="BP4295" s="8">
        <v>2070273.4640773139</v>
      </c>
      <c r="BQ4295" s="8">
        <v>264107.16395947617</v>
      </c>
      <c r="BR4295" s="8" t="str">
        <v>No</v>
      </c>
    </row>
    <row r="4296" spans="54:70" x14ac:dyDescent="0.2">
      <c r="BB4296" s="94"/>
      <c r="BL4296" s="8">
        <v>4247</v>
      </c>
      <c r="BM4296" s="8">
        <v>2208076.3389948052</v>
      </c>
      <c r="BN4296" s="8">
        <v>0</v>
      </c>
      <c r="BO4296" s="8">
        <v>2208076.3389948052</v>
      </c>
      <c r="BP4296" s="8">
        <v>3199203.4923966341</v>
      </c>
      <c r="BQ4296" s="8">
        <v>991127.15340182884</v>
      </c>
      <c r="BR4296" s="8" t="str">
        <v>No</v>
      </c>
    </row>
    <row r="4297" spans="54:70" x14ac:dyDescent="0.2">
      <c r="BB4297" s="94"/>
      <c r="BL4297" s="8">
        <v>4248</v>
      </c>
      <c r="BM4297" s="8">
        <v>4829855.0449174205</v>
      </c>
      <c r="BN4297" s="8">
        <v>0</v>
      </c>
      <c r="BO4297" s="8">
        <v>4829855.0449174205</v>
      </c>
      <c r="BP4297" s="8">
        <v>2291441.3656779835</v>
      </c>
      <c r="BQ4297" s="8">
        <v>-2538413.679239437</v>
      </c>
      <c r="BR4297" s="8" t="str">
        <v>Yes</v>
      </c>
    </row>
    <row r="4298" spans="54:70" x14ac:dyDescent="0.2">
      <c r="BB4298" s="94"/>
      <c r="BL4298" s="8">
        <v>4249</v>
      </c>
      <c r="BM4298" s="8">
        <v>2822010.0480288402</v>
      </c>
      <c r="BN4298" s="8">
        <v>4614594.9823226165</v>
      </c>
      <c r="BO4298" s="8">
        <v>7436605.0303514563</v>
      </c>
      <c r="BP4298" s="8">
        <v>2328272.9609285016</v>
      </c>
      <c r="BQ4298" s="8">
        <v>-5108332.0694229547</v>
      </c>
      <c r="BR4298" s="8" t="str">
        <v>Yes</v>
      </c>
    </row>
    <row r="4299" spans="54:70" x14ac:dyDescent="0.2">
      <c r="BB4299" s="94"/>
      <c r="BL4299" s="8">
        <v>4250</v>
      </c>
      <c r="BM4299" s="8">
        <v>3681036.6726357536</v>
      </c>
      <c r="BN4299" s="8">
        <v>0</v>
      </c>
      <c r="BO4299" s="8">
        <v>3681036.6726357536</v>
      </c>
      <c r="BP4299" s="8">
        <v>2327093.3566113366</v>
      </c>
      <c r="BQ4299" s="8">
        <v>-1353943.3160244171</v>
      </c>
      <c r="BR4299" s="8" t="str">
        <v>Yes</v>
      </c>
    </row>
    <row r="4300" spans="54:70" x14ac:dyDescent="0.2">
      <c r="BB4300" s="94"/>
      <c r="BL4300" s="8">
        <v>4251</v>
      </c>
      <c r="BM4300" s="8">
        <v>4372183.409895042</v>
      </c>
      <c r="BN4300" s="8">
        <v>0</v>
      </c>
      <c r="BO4300" s="8">
        <v>4372183.409895042</v>
      </c>
      <c r="BP4300" s="8">
        <v>3779870.2669787384</v>
      </c>
      <c r="BQ4300" s="8">
        <v>-592313.14291630359</v>
      </c>
      <c r="BR4300" s="8" t="str">
        <v>Yes</v>
      </c>
    </row>
    <row r="4301" spans="54:70" x14ac:dyDescent="0.2">
      <c r="BB4301" s="94"/>
      <c r="BL4301" s="8">
        <v>4252</v>
      </c>
      <c r="BM4301" s="8">
        <v>3002963.786949574</v>
      </c>
      <c r="BN4301" s="8">
        <v>4379098.8718313212</v>
      </c>
      <c r="BO4301" s="8">
        <v>7382062.6587808952</v>
      </c>
      <c r="BP4301" s="8">
        <v>6104864.4648485053</v>
      </c>
      <c r="BQ4301" s="8">
        <v>-1277198.1939323898</v>
      </c>
      <c r="BR4301" s="8" t="str">
        <v>Yes</v>
      </c>
    </row>
    <row r="4302" spans="54:70" x14ac:dyDescent="0.2">
      <c r="BB4302" s="94"/>
      <c r="BL4302" s="8">
        <v>4253</v>
      </c>
      <c r="BM4302" s="8">
        <v>5182555.6688245647</v>
      </c>
      <c r="BN4302" s="8">
        <v>0</v>
      </c>
      <c r="BO4302" s="8">
        <v>5182555.6688245647</v>
      </c>
      <c r="BP4302" s="8">
        <v>4507112.7418048251</v>
      </c>
      <c r="BQ4302" s="8">
        <v>-675442.92701973952</v>
      </c>
      <c r="BR4302" s="8" t="str">
        <v>Yes</v>
      </c>
    </row>
    <row r="4303" spans="54:70" x14ac:dyDescent="0.2">
      <c r="BB4303" s="94"/>
      <c r="BL4303" s="8">
        <v>4254</v>
      </c>
      <c r="BM4303" s="8">
        <v>2901827.051686977</v>
      </c>
      <c r="BN4303" s="8">
        <v>3394417.1818249645</v>
      </c>
      <c r="BO4303" s="8">
        <v>6296244.2335119415</v>
      </c>
      <c r="BP4303" s="8">
        <v>2962923.6514746714</v>
      </c>
      <c r="BQ4303" s="8">
        <v>-3333320.5820372701</v>
      </c>
      <c r="BR4303" s="8" t="str">
        <v>Yes</v>
      </c>
    </row>
    <row r="4304" spans="54:70" x14ac:dyDescent="0.2">
      <c r="BB4304" s="94"/>
      <c r="BL4304" s="8">
        <v>4255</v>
      </c>
      <c r="BM4304" s="8">
        <v>2961426.4304534979</v>
      </c>
      <c r="BN4304" s="8">
        <v>3017306.9564030613</v>
      </c>
      <c r="BO4304" s="8">
        <v>5978733.3868565597</v>
      </c>
      <c r="BP4304" s="8">
        <v>3440592.1479497757</v>
      </c>
      <c r="BQ4304" s="8">
        <v>-2538141.238906784</v>
      </c>
      <c r="BR4304" s="8" t="str">
        <v>Yes</v>
      </c>
    </row>
    <row r="4305" spans="54:70" x14ac:dyDescent="0.2">
      <c r="BB4305" s="94"/>
      <c r="BL4305" s="8">
        <v>4256</v>
      </c>
      <c r="BM4305" s="8">
        <v>3147529.5430727005</v>
      </c>
      <c r="BN4305" s="8">
        <v>0</v>
      </c>
      <c r="BO4305" s="8">
        <v>3147529.5430727005</v>
      </c>
      <c r="BP4305" s="8">
        <v>4398611.8326822678</v>
      </c>
      <c r="BQ4305" s="8">
        <v>1251082.2896095673</v>
      </c>
      <c r="BR4305" s="8" t="str">
        <v>No</v>
      </c>
    </row>
    <row r="4306" spans="54:70" x14ac:dyDescent="0.2">
      <c r="BB4306" s="94"/>
      <c r="BL4306" s="8">
        <v>4257</v>
      </c>
      <c r="BM4306" s="8">
        <v>2930933.8050110806</v>
      </c>
      <c r="BN4306" s="8">
        <v>239993.36687498758</v>
      </c>
      <c r="BO4306" s="8">
        <v>3170927.1718860683</v>
      </c>
      <c r="BP4306" s="8">
        <v>5801790.3135801405</v>
      </c>
      <c r="BQ4306" s="8">
        <v>2630863.1416940722</v>
      </c>
      <c r="BR4306" s="8" t="str">
        <v>No</v>
      </c>
    </row>
    <row r="4307" spans="54:70" x14ac:dyDescent="0.2">
      <c r="BB4307" s="94"/>
      <c r="BL4307" s="8">
        <v>4258</v>
      </c>
      <c r="BM4307" s="8">
        <v>8034453.7303698603</v>
      </c>
      <c r="BN4307" s="8">
        <v>6022446.5711213881</v>
      </c>
      <c r="BO4307" s="8">
        <v>14056900.301491249</v>
      </c>
      <c r="BP4307" s="8">
        <v>6044296.4620405119</v>
      </c>
      <c r="BQ4307" s="8">
        <v>-8012603.8394507375</v>
      </c>
      <c r="BR4307" s="8" t="str">
        <v>Yes</v>
      </c>
    </row>
    <row r="4308" spans="54:70" x14ac:dyDescent="0.2">
      <c r="BB4308" s="94"/>
      <c r="BL4308" s="8">
        <v>4259</v>
      </c>
      <c r="BM4308" s="8">
        <v>3119037.162060841</v>
      </c>
      <c r="BN4308" s="8">
        <v>0</v>
      </c>
      <c r="BO4308" s="8">
        <v>3119037.162060841</v>
      </c>
      <c r="BP4308" s="8">
        <v>3483456.2365415641</v>
      </c>
      <c r="BQ4308" s="8">
        <v>364419.07448072312</v>
      </c>
      <c r="BR4308" s="8" t="str">
        <v>No</v>
      </c>
    </row>
    <row r="4309" spans="54:70" x14ac:dyDescent="0.2">
      <c r="BB4309" s="94"/>
      <c r="BL4309" s="8">
        <v>4260</v>
      </c>
      <c r="BM4309" s="8">
        <v>4870549.684218213</v>
      </c>
      <c r="BN4309" s="8">
        <v>0</v>
      </c>
      <c r="BO4309" s="8">
        <v>4870549.684218213</v>
      </c>
      <c r="BP4309" s="8">
        <v>4451833.6375600984</v>
      </c>
      <c r="BQ4309" s="8">
        <v>-418716.04665811453</v>
      </c>
      <c r="BR4309" s="8" t="str">
        <v>Yes</v>
      </c>
    </row>
    <row r="4310" spans="54:70" x14ac:dyDescent="0.2">
      <c r="BB4310" s="94"/>
      <c r="BL4310" s="8">
        <v>4261</v>
      </c>
      <c r="BM4310" s="8">
        <v>4065387.5769727076</v>
      </c>
      <c r="BN4310" s="8">
        <v>0</v>
      </c>
      <c r="BO4310" s="8">
        <v>4065387.5769727076</v>
      </c>
      <c r="BP4310" s="8">
        <v>3587464.9481013049</v>
      </c>
      <c r="BQ4310" s="8">
        <v>-477922.6288714027</v>
      </c>
      <c r="BR4310" s="8" t="str">
        <v>Yes</v>
      </c>
    </row>
    <row r="4311" spans="54:70" x14ac:dyDescent="0.2">
      <c r="BB4311" s="94"/>
      <c r="BL4311" s="8">
        <v>4262</v>
      </c>
      <c r="BM4311" s="8">
        <v>2903755.3578972733</v>
      </c>
      <c r="BN4311" s="8">
        <v>1745451.9419742886</v>
      </c>
      <c r="BO4311" s="8">
        <v>4649207.299871562</v>
      </c>
      <c r="BP4311" s="8">
        <v>2580388.4077819586</v>
      </c>
      <c r="BQ4311" s="8">
        <v>-2068818.8920896035</v>
      </c>
      <c r="BR4311" s="8" t="str">
        <v>Yes</v>
      </c>
    </row>
    <row r="4312" spans="54:70" x14ac:dyDescent="0.2">
      <c r="BB4312" s="94"/>
      <c r="BL4312" s="8">
        <v>4263</v>
      </c>
      <c r="BM4312" s="8">
        <v>1856988.0854279315</v>
      </c>
      <c r="BN4312" s="8">
        <v>0</v>
      </c>
      <c r="BO4312" s="8">
        <v>1856988.0854279315</v>
      </c>
      <c r="BP4312" s="8">
        <v>2362980.5137822004</v>
      </c>
      <c r="BQ4312" s="8">
        <v>505992.42835426889</v>
      </c>
      <c r="BR4312" s="8" t="str">
        <v>No</v>
      </c>
    </row>
    <row r="4313" spans="54:70" x14ac:dyDescent="0.2">
      <c r="BB4313" s="94"/>
      <c r="BL4313" s="8">
        <v>4264</v>
      </c>
      <c r="BM4313" s="8">
        <v>5167995.7139060684</v>
      </c>
      <c r="BN4313" s="8">
        <v>0</v>
      </c>
      <c r="BO4313" s="8">
        <v>5167995.7139060684</v>
      </c>
      <c r="BP4313" s="8">
        <v>6590397.2447611364</v>
      </c>
      <c r="BQ4313" s="8">
        <v>1422401.530855068</v>
      </c>
      <c r="BR4313" s="8" t="str">
        <v>No</v>
      </c>
    </row>
    <row r="4314" spans="54:70" x14ac:dyDescent="0.2">
      <c r="BB4314" s="94"/>
      <c r="BL4314" s="8">
        <v>4265</v>
      </c>
      <c r="BM4314" s="8">
        <v>2890543.3916881122</v>
      </c>
      <c r="BN4314" s="8">
        <v>0</v>
      </c>
      <c r="BO4314" s="8">
        <v>2890543.3916881122</v>
      </c>
      <c r="BP4314" s="8">
        <v>3312901.0811369638</v>
      </c>
      <c r="BQ4314" s="8">
        <v>422357.68944885163</v>
      </c>
      <c r="BR4314" s="8" t="str">
        <v>No</v>
      </c>
    </row>
    <row r="4315" spans="54:70" x14ac:dyDescent="0.2">
      <c r="BB4315" s="94"/>
      <c r="BL4315" s="8">
        <v>4266</v>
      </c>
      <c r="BM4315" s="8">
        <v>2779817.9967632308</v>
      </c>
      <c r="BN4315" s="8">
        <v>3210034.1747524794</v>
      </c>
      <c r="BO4315" s="8">
        <v>5989852.1715157107</v>
      </c>
      <c r="BP4315" s="8">
        <v>3231673.9557895553</v>
      </c>
      <c r="BQ4315" s="8">
        <v>-2758178.2157261553</v>
      </c>
      <c r="BR4315" s="8" t="str">
        <v>Yes</v>
      </c>
    </row>
    <row r="4316" spans="54:70" x14ac:dyDescent="0.2">
      <c r="BB4316" s="94"/>
      <c r="BL4316" s="8">
        <v>4267</v>
      </c>
      <c r="BM4316" s="8">
        <v>5455172.7788148951</v>
      </c>
      <c r="BN4316" s="8">
        <v>0</v>
      </c>
      <c r="BO4316" s="8">
        <v>5455172.7788148951</v>
      </c>
      <c r="BP4316" s="8">
        <v>2154119.8657715162</v>
      </c>
      <c r="BQ4316" s="8">
        <v>-3301052.9130433789</v>
      </c>
      <c r="BR4316" s="8" t="str">
        <v>Yes</v>
      </c>
    </row>
    <row r="4317" spans="54:70" x14ac:dyDescent="0.2">
      <c r="BB4317" s="94"/>
      <c r="BL4317" s="8">
        <v>4268</v>
      </c>
      <c r="BM4317" s="8">
        <v>3648451.7126962692</v>
      </c>
      <c r="BN4317" s="8">
        <v>0</v>
      </c>
      <c r="BO4317" s="8">
        <v>3648451.7126962692</v>
      </c>
      <c r="BP4317" s="8">
        <v>4544080.9872442074</v>
      </c>
      <c r="BQ4317" s="8">
        <v>895629.27454793826</v>
      </c>
      <c r="BR4317" s="8" t="str">
        <v>No</v>
      </c>
    </row>
    <row r="4318" spans="54:70" x14ac:dyDescent="0.2">
      <c r="BB4318" s="94"/>
      <c r="BL4318" s="8">
        <v>4269</v>
      </c>
      <c r="BM4318" s="8">
        <v>3613109.3559019398</v>
      </c>
      <c r="BN4318" s="8">
        <v>0</v>
      </c>
      <c r="BO4318" s="8">
        <v>3613109.3559019398</v>
      </c>
      <c r="BP4318" s="8">
        <v>6316585.8071715925</v>
      </c>
      <c r="BQ4318" s="8">
        <v>2703476.4512696527</v>
      </c>
      <c r="BR4318" s="8" t="str">
        <v>No</v>
      </c>
    </row>
    <row r="4319" spans="54:70" x14ac:dyDescent="0.2">
      <c r="BB4319" s="94"/>
      <c r="BL4319" s="8">
        <v>4270</v>
      </c>
      <c r="BM4319" s="8">
        <v>3996649.3995165471</v>
      </c>
      <c r="BN4319" s="8">
        <v>0</v>
      </c>
      <c r="BO4319" s="8">
        <v>3996649.3995165471</v>
      </c>
      <c r="BP4319" s="8">
        <v>4011798.6814206722</v>
      </c>
      <c r="BQ4319" s="8">
        <v>15149.28190412512</v>
      </c>
      <c r="BR4319" s="8" t="str">
        <v>No</v>
      </c>
    </row>
    <row r="4320" spans="54:70" x14ac:dyDescent="0.2">
      <c r="BB4320" s="94"/>
      <c r="BL4320" s="8">
        <v>4271</v>
      </c>
      <c r="BM4320" s="8">
        <v>5852344.1348977415</v>
      </c>
      <c r="BN4320" s="8">
        <v>0</v>
      </c>
      <c r="BO4320" s="8">
        <v>5852344.1348977415</v>
      </c>
      <c r="BP4320" s="8">
        <v>4015080.8221367574</v>
      </c>
      <c r="BQ4320" s="8">
        <v>-1837263.3127609841</v>
      </c>
      <c r="BR4320" s="8" t="str">
        <v>Yes</v>
      </c>
    </row>
    <row r="4321" spans="54:70" x14ac:dyDescent="0.2">
      <c r="BB4321" s="94"/>
      <c r="BL4321" s="8">
        <v>4272</v>
      </c>
      <c r="BM4321" s="8">
        <v>4013183.3207579618</v>
      </c>
      <c r="BN4321" s="8">
        <v>2841980.2508298396</v>
      </c>
      <c r="BO4321" s="8">
        <v>6855163.571587801</v>
      </c>
      <c r="BP4321" s="8">
        <v>6001241.6526258485</v>
      </c>
      <c r="BQ4321" s="8">
        <v>-853921.91896195244</v>
      </c>
      <c r="BR4321" s="8" t="str">
        <v>Yes</v>
      </c>
    </row>
    <row r="4322" spans="54:70" x14ac:dyDescent="0.2">
      <c r="BB4322" s="94"/>
      <c r="BL4322" s="8">
        <v>4273</v>
      </c>
      <c r="BM4322" s="8">
        <v>2496716.2002315433</v>
      </c>
      <c r="BN4322" s="8">
        <v>2471943.7896363745</v>
      </c>
      <c r="BO4322" s="8">
        <v>4968659.9898679182</v>
      </c>
      <c r="BP4322" s="8">
        <v>3494385.7424702076</v>
      </c>
      <c r="BQ4322" s="8">
        <v>-1474274.2473977106</v>
      </c>
      <c r="BR4322" s="8" t="str">
        <v>Yes</v>
      </c>
    </row>
    <row r="4323" spans="54:70" x14ac:dyDescent="0.2">
      <c r="BB4323" s="94"/>
      <c r="BL4323" s="8">
        <v>4274</v>
      </c>
      <c r="BM4323" s="8">
        <v>3427091.0551343346</v>
      </c>
      <c r="BN4323" s="8">
        <v>0</v>
      </c>
      <c r="BO4323" s="8">
        <v>3427091.0551343346</v>
      </c>
      <c r="BP4323" s="8">
        <v>3189418.0547988098</v>
      </c>
      <c r="BQ4323" s="8">
        <v>-237673.00033552479</v>
      </c>
      <c r="BR4323" s="8" t="str">
        <v>Yes</v>
      </c>
    </row>
    <row r="4324" spans="54:70" x14ac:dyDescent="0.2">
      <c r="BB4324" s="94"/>
      <c r="BL4324" s="8">
        <v>4275</v>
      </c>
      <c r="BM4324" s="8">
        <v>4292262.0373116489</v>
      </c>
      <c r="BN4324" s="8">
        <v>3497950.4769711294</v>
      </c>
      <c r="BO4324" s="8">
        <v>7790212.5142827779</v>
      </c>
      <c r="BP4324" s="8">
        <v>4501190.9049721174</v>
      </c>
      <c r="BQ4324" s="8">
        <v>-3289021.6093106605</v>
      </c>
      <c r="BR4324" s="8" t="str">
        <v>Yes</v>
      </c>
    </row>
    <row r="4325" spans="54:70" x14ac:dyDescent="0.2">
      <c r="BB4325" s="94"/>
      <c r="BL4325" s="8">
        <v>4276</v>
      </c>
      <c r="BM4325" s="8">
        <v>3331690.891309577</v>
      </c>
      <c r="BN4325" s="8">
        <v>3567265.2928068433</v>
      </c>
      <c r="BO4325" s="8">
        <v>6898956.1841164203</v>
      </c>
      <c r="BP4325" s="8">
        <v>2024122.215537129</v>
      </c>
      <c r="BQ4325" s="8">
        <v>-4874833.9685792914</v>
      </c>
      <c r="BR4325" s="8" t="str">
        <v>Yes</v>
      </c>
    </row>
    <row r="4326" spans="54:70" x14ac:dyDescent="0.2">
      <c r="BB4326" s="94"/>
      <c r="BL4326" s="8">
        <v>4277</v>
      </c>
      <c r="BM4326" s="8">
        <v>4072658.6056219107</v>
      </c>
      <c r="BN4326" s="8">
        <v>1828873.0339862863</v>
      </c>
      <c r="BO4326" s="8">
        <v>5901531.6396081969</v>
      </c>
      <c r="BP4326" s="8">
        <v>6458781.0961452043</v>
      </c>
      <c r="BQ4326" s="8">
        <v>557249.45653700735</v>
      </c>
      <c r="BR4326" s="8" t="str">
        <v>No</v>
      </c>
    </row>
    <row r="4327" spans="54:70" x14ac:dyDescent="0.2">
      <c r="BB4327" s="94"/>
      <c r="BL4327" s="8">
        <v>4278</v>
      </c>
      <c r="BM4327" s="8">
        <v>6128883.5543599706</v>
      </c>
      <c r="BN4327" s="8">
        <v>5583761.4104811111</v>
      </c>
      <c r="BO4327" s="8">
        <v>11712644.964841083</v>
      </c>
      <c r="BP4327" s="8">
        <v>2293145.6240632548</v>
      </c>
      <c r="BQ4327" s="8">
        <v>-9419499.3407778274</v>
      </c>
      <c r="BR4327" s="8" t="str">
        <v>Yes</v>
      </c>
    </row>
    <row r="4328" spans="54:70" x14ac:dyDescent="0.2">
      <c r="BB4328" s="94"/>
      <c r="BL4328" s="8">
        <v>4279</v>
      </c>
      <c r="BM4328" s="8">
        <v>3554478.5133893471</v>
      </c>
      <c r="BN4328" s="8">
        <v>5854514.890172272</v>
      </c>
      <c r="BO4328" s="8">
        <v>9408993.4035616182</v>
      </c>
      <c r="BP4328" s="8">
        <v>2281796.4904403342</v>
      </c>
      <c r="BQ4328" s="8">
        <v>-7127196.913121284</v>
      </c>
      <c r="BR4328" s="8" t="str">
        <v>Yes</v>
      </c>
    </row>
    <row r="4329" spans="54:70" x14ac:dyDescent="0.2">
      <c r="BB4329" s="94"/>
      <c r="BL4329" s="8">
        <v>4280</v>
      </c>
      <c r="BM4329" s="8">
        <v>6892232.4890783392</v>
      </c>
      <c r="BN4329" s="8">
        <v>12058923.165719029</v>
      </c>
      <c r="BO4329" s="8">
        <v>18951155.654797368</v>
      </c>
      <c r="BP4329" s="8">
        <v>2364561.4537516222</v>
      </c>
      <c r="BQ4329" s="8">
        <v>-16586594.201045746</v>
      </c>
      <c r="BR4329" s="8" t="str">
        <v>Yes</v>
      </c>
    </row>
    <row r="4330" spans="54:70" x14ac:dyDescent="0.2">
      <c r="BB4330" s="94"/>
      <c r="BL4330" s="8">
        <v>4281</v>
      </c>
      <c r="BM4330" s="8">
        <v>9970108.4978049677</v>
      </c>
      <c r="BN4330" s="8">
        <v>0</v>
      </c>
      <c r="BO4330" s="8">
        <v>9970108.4978049677</v>
      </c>
      <c r="BP4330" s="8">
        <v>3393679.0870386516</v>
      </c>
      <c r="BQ4330" s="8">
        <v>-6576429.4107663166</v>
      </c>
      <c r="BR4330" s="8" t="str">
        <v>Yes</v>
      </c>
    </row>
    <row r="4331" spans="54:70" x14ac:dyDescent="0.2">
      <c r="BB4331" s="94"/>
      <c r="BL4331" s="8">
        <v>4282</v>
      </c>
      <c r="BM4331" s="8">
        <v>6848587.021134695</v>
      </c>
      <c r="BN4331" s="8">
        <v>4237951.9143667286</v>
      </c>
      <c r="BO4331" s="8">
        <v>11086538.935501423</v>
      </c>
      <c r="BP4331" s="8">
        <v>3552250.9027215731</v>
      </c>
      <c r="BQ4331" s="8">
        <v>-7534288.0327798501</v>
      </c>
      <c r="BR4331" s="8" t="str">
        <v>Yes</v>
      </c>
    </row>
    <row r="4332" spans="54:70" x14ac:dyDescent="0.2">
      <c r="BB4332" s="94"/>
      <c r="BL4332" s="8">
        <v>4283</v>
      </c>
      <c r="BM4332" s="8">
        <v>7522099.7119535841</v>
      </c>
      <c r="BN4332" s="8">
        <v>5120714.0609146254</v>
      </c>
      <c r="BO4332" s="8">
        <v>12642813.772868209</v>
      </c>
      <c r="BP4332" s="8">
        <v>4591878.8209353955</v>
      </c>
      <c r="BQ4332" s="8">
        <v>-8050934.951932813</v>
      </c>
      <c r="BR4332" s="8" t="str">
        <v>Yes</v>
      </c>
    </row>
    <row r="4333" spans="54:70" x14ac:dyDescent="0.2">
      <c r="BB4333" s="94"/>
      <c r="BL4333" s="8">
        <v>4284</v>
      </c>
      <c r="BM4333" s="8">
        <v>15905641.957704492</v>
      </c>
      <c r="BN4333" s="8">
        <v>14562122.11707365</v>
      </c>
      <c r="BO4333" s="8">
        <v>30467764.07477814</v>
      </c>
      <c r="BP4333" s="8">
        <v>5984222.8311876385</v>
      </c>
      <c r="BQ4333" s="8">
        <v>-24483541.2435905</v>
      </c>
      <c r="BR4333" s="8" t="str">
        <v>Yes</v>
      </c>
    </row>
    <row r="4334" spans="54:70" x14ac:dyDescent="0.2">
      <c r="BB4334" s="94"/>
      <c r="BL4334" s="8">
        <v>4285</v>
      </c>
      <c r="BM4334" s="8">
        <v>3333450.6025686297</v>
      </c>
      <c r="BN4334" s="8">
        <v>4765297.9152795747</v>
      </c>
      <c r="BO4334" s="8">
        <v>8098748.5178482048</v>
      </c>
      <c r="BP4334" s="8">
        <v>2161258.2791590942</v>
      </c>
      <c r="BQ4334" s="8">
        <v>-5937490.2386891106</v>
      </c>
      <c r="BR4334" s="8" t="str">
        <v>Yes</v>
      </c>
    </row>
    <row r="4335" spans="54:70" x14ac:dyDescent="0.2">
      <c r="BB4335" s="94"/>
      <c r="BL4335" s="8">
        <v>4286</v>
      </c>
      <c r="BM4335" s="8">
        <v>5359542.5547969621</v>
      </c>
      <c r="BN4335" s="8">
        <v>6049364.5054951478</v>
      </c>
      <c r="BO4335" s="8">
        <v>11408907.06029211</v>
      </c>
      <c r="BP4335" s="8">
        <v>6491012.1037388537</v>
      </c>
      <c r="BQ4335" s="8">
        <v>-4917894.9565532561</v>
      </c>
      <c r="BR4335" s="8" t="str">
        <v>Yes</v>
      </c>
    </row>
    <row r="4336" spans="54:70" x14ac:dyDescent="0.2">
      <c r="BB4336" s="94"/>
      <c r="BL4336" s="8">
        <v>4287</v>
      </c>
      <c r="BM4336" s="8">
        <v>3785872.1968661337</v>
      </c>
      <c r="BN4336" s="8">
        <v>0</v>
      </c>
      <c r="BO4336" s="8">
        <v>3785872.1968661337</v>
      </c>
      <c r="BP4336" s="8">
        <v>3199062.9586542151</v>
      </c>
      <c r="BQ4336" s="8">
        <v>-586809.23821191862</v>
      </c>
      <c r="BR4336" s="8" t="str">
        <v>Yes</v>
      </c>
    </row>
    <row r="4337" spans="54:70" x14ac:dyDescent="0.2">
      <c r="BB4337" s="94"/>
      <c r="BL4337" s="8">
        <v>4288</v>
      </c>
      <c r="BM4337" s="8">
        <v>5382428.6954108495</v>
      </c>
      <c r="BN4337" s="8">
        <v>5084230.3882697802</v>
      </c>
      <c r="BO4337" s="8">
        <v>10466659.08368063</v>
      </c>
      <c r="BP4337" s="8">
        <v>6306740.0081896987</v>
      </c>
      <c r="BQ4337" s="8">
        <v>-4159919.075490931</v>
      </c>
      <c r="BR4337" s="8" t="str">
        <v>Yes</v>
      </c>
    </row>
    <row r="4338" spans="54:70" x14ac:dyDescent="0.2">
      <c r="BB4338" s="94"/>
      <c r="BL4338" s="8">
        <v>4289</v>
      </c>
      <c r="BM4338" s="8">
        <v>4253442.9880139921</v>
      </c>
      <c r="BN4338" s="8">
        <v>0</v>
      </c>
      <c r="BO4338" s="8">
        <v>4253442.9880139921</v>
      </c>
      <c r="BP4338" s="8">
        <v>4271401.9326008633</v>
      </c>
      <c r="BQ4338" s="8">
        <v>17958.944586871192</v>
      </c>
      <c r="BR4338" s="8" t="str">
        <v>No</v>
      </c>
    </row>
    <row r="4339" spans="54:70" x14ac:dyDescent="0.2">
      <c r="BB4339" s="94"/>
      <c r="BL4339" s="8">
        <v>4290</v>
      </c>
      <c r="BM4339" s="8">
        <v>3023470.9641423528</v>
      </c>
      <c r="BN4339" s="8">
        <v>3075770.044695464</v>
      </c>
      <c r="BO4339" s="8">
        <v>6099241.0088378172</v>
      </c>
      <c r="BP4339" s="8">
        <v>2157807.8943767338</v>
      </c>
      <c r="BQ4339" s="8">
        <v>-3941433.1144610834</v>
      </c>
      <c r="BR4339" s="8" t="str">
        <v>Yes</v>
      </c>
    </row>
    <row r="4340" spans="54:70" x14ac:dyDescent="0.2">
      <c r="BB4340" s="94"/>
      <c r="BL4340" s="8">
        <v>4291</v>
      </c>
      <c r="BM4340" s="8">
        <v>7490213.4224584354</v>
      </c>
      <c r="BN4340" s="8">
        <v>3080783.3029910317</v>
      </c>
      <c r="BO4340" s="8">
        <v>10570996.725449467</v>
      </c>
      <c r="BP4340" s="8">
        <v>4343935.679473903</v>
      </c>
      <c r="BQ4340" s="8">
        <v>-6227061.045975564</v>
      </c>
      <c r="BR4340" s="8" t="str">
        <v>Yes</v>
      </c>
    </row>
    <row r="4341" spans="54:70" x14ac:dyDescent="0.2">
      <c r="BB4341" s="94"/>
      <c r="BL4341" s="8">
        <v>4292</v>
      </c>
      <c r="BM4341" s="8">
        <v>4114091.8998414781</v>
      </c>
      <c r="BN4341" s="8">
        <v>0</v>
      </c>
      <c r="BO4341" s="8">
        <v>4114091.8998414781</v>
      </c>
      <c r="BP4341" s="8">
        <v>3148340.8306144797</v>
      </c>
      <c r="BQ4341" s="8">
        <v>-965751.06922699837</v>
      </c>
      <c r="BR4341" s="8" t="str">
        <v>Yes</v>
      </c>
    </row>
    <row r="4342" spans="54:70" x14ac:dyDescent="0.2">
      <c r="BB4342" s="94"/>
      <c r="BL4342" s="8">
        <v>4293</v>
      </c>
      <c r="BM4342" s="8">
        <v>5390965.9159905771</v>
      </c>
      <c r="BN4342" s="8">
        <v>2602859.6155576329</v>
      </c>
      <c r="BO4342" s="8">
        <v>7993825.5315482095</v>
      </c>
      <c r="BP4342" s="8">
        <v>3113949.2911023945</v>
      </c>
      <c r="BQ4342" s="8">
        <v>-4879876.240445815</v>
      </c>
      <c r="BR4342" s="8" t="str">
        <v>Yes</v>
      </c>
    </row>
    <row r="4343" spans="54:70" x14ac:dyDescent="0.2">
      <c r="BB4343" s="94"/>
      <c r="BL4343" s="8">
        <v>4294</v>
      </c>
      <c r="BM4343" s="8">
        <v>8701937.2604715358</v>
      </c>
      <c r="BN4343" s="8">
        <v>2004524.4567211731</v>
      </c>
      <c r="BO4343" s="8">
        <v>10706461.717192709</v>
      </c>
      <c r="BP4343" s="8">
        <v>6328004.0468619727</v>
      </c>
      <c r="BQ4343" s="8">
        <v>-4378457.6703307368</v>
      </c>
      <c r="BR4343" s="8" t="str">
        <v>Yes</v>
      </c>
    </row>
    <row r="4344" spans="54:70" x14ac:dyDescent="0.2">
      <c r="BB4344" s="94"/>
      <c r="BL4344" s="8">
        <v>4295</v>
      </c>
      <c r="BM4344" s="8">
        <v>6454150.9524420965</v>
      </c>
      <c r="BN4344" s="8">
        <v>4329123.0639224974</v>
      </c>
      <c r="BO4344" s="8">
        <v>10783274.016364593</v>
      </c>
      <c r="BP4344" s="8">
        <v>4019259.6776894685</v>
      </c>
      <c r="BQ4344" s="8">
        <v>-6764014.3386751246</v>
      </c>
      <c r="BR4344" s="8" t="str">
        <v>Yes</v>
      </c>
    </row>
    <row r="4345" spans="54:70" x14ac:dyDescent="0.2">
      <c r="BB4345" s="94"/>
      <c r="BL4345" s="8">
        <v>4296</v>
      </c>
      <c r="BM4345" s="8">
        <v>5686086.2023472078</v>
      </c>
      <c r="BN4345" s="8">
        <v>4789274.0471162871</v>
      </c>
      <c r="BO4345" s="8">
        <v>10475360.249463495</v>
      </c>
      <c r="BP4345" s="8">
        <v>2135909.3632153375</v>
      </c>
      <c r="BQ4345" s="8">
        <v>-8339450.8862481574</v>
      </c>
      <c r="BR4345" s="8" t="str">
        <v>Yes</v>
      </c>
    </row>
    <row r="4346" spans="54:70" x14ac:dyDescent="0.2">
      <c r="BB4346" s="94"/>
      <c r="BL4346" s="8">
        <v>4297</v>
      </c>
      <c r="BM4346" s="8">
        <v>4614951.4967953628</v>
      </c>
      <c r="BN4346" s="8">
        <v>3515173.072230041</v>
      </c>
      <c r="BO4346" s="8">
        <v>8130124.5690254038</v>
      </c>
      <c r="BP4346" s="8">
        <v>6322052.1164105823</v>
      </c>
      <c r="BQ4346" s="8">
        <v>-1808072.4526148215</v>
      </c>
      <c r="BR4346" s="8" t="str">
        <v>Yes</v>
      </c>
    </row>
    <row r="4347" spans="54:70" x14ac:dyDescent="0.2">
      <c r="BB4347" s="94"/>
      <c r="BL4347" s="8">
        <v>4298</v>
      </c>
      <c r="BM4347" s="8">
        <v>2042218.0332591394</v>
      </c>
      <c r="BN4347" s="8">
        <v>0</v>
      </c>
      <c r="BO4347" s="8">
        <v>2042218.0332591394</v>
      </c>
      <c r="BP4347" s="8">
        <v>2190801.6837439178</v>
      </c>
      <c r="BQ4347" s="8">
        <v>148583.65048477845</v>
      </c>
      <c r="BR4347" s="8" t="str">
        <v>No</v>
      </c>
    </row>
    <row r="4348" spans="54:70" x14ac:dyDescent="0.2">
      <c r="BB4348" s="94"/>
      <c r="BL4348" s="8">
        <v>4299</v>
      </c>
      <c r="BM4348" s="8">
        <v>2903578.8514695419</v>
      </c>
      <c r="BN4348" s="8">
        <v>1187514.0097092933</v>
      </c>
      <c r="BO4348" s="8">
        <v>4091092.8611788349</v>
      </c>
      <c r="BP4348" s="8">
        <v>4552746.2008064967</v>
      </c>
      <c r="BQ4348" s="8">
        <v>461653.33962766174</v>
      </c>
      <c r="BR4348" s="8" t="str">
        <v>No</v>
      </c>
    </row>
    <row r="4349" spans="54:70" x14ac:dyDescent="0.2">
      <c r="BB4349" s="94"/>
      <c r="BL4349" s="8">
        <v>4300</v>
      </c>
      <c r="BM4349" s="8">
        <v>2208396.2446425729</v>
      </c>
      <c r="BN4349" s="8">
        <v>0</v>
      </c>
      <c r="BO4349" s="8">
        <v>2208396.2446425729</v>
      </c>
      <c r="BP4349" s="8">
        <v>3320301.9098476577</v>
      </c>
      <c r="BQ4349" s="8">
        <v>1111905.6652050847</v>
      </c>
      <c r="BR4349" s="8" t="str">
        <v>No</v>
      </c>
    </row>
    <row r="4350" spans="54:70" x14ac:dyDescent="0.2">
      <c r="BB4350" s="94"/>
      <c r="BL4350" s="8">
        <v>4301</v>
      </c>
      <c r="BM4350" s="8">
        <v>2697293.9431199161</v>
      </c>
      <c r="BN4350" s="8">
        <v>579093.09708423726</v>
      </c>
      <c r="BO4350" s="8">
        <v>3276387.0402041534</v>
      </c>
      <c r="BP4350" s="8">
        <v>6652200.9096287005</v>
      </c>
      <c r="BQ4350" s="8">
        <v>3375813.8694245471</v>
      </c>
      <c r="BR4350" s="8" t="str">
        <v>No</v>
      </c>
    </row>
    <row r="4351" spans="54:70" x14ac:dyDescent="0.2">
      <c r="BB4351" s="94"/>
      <c r="BL4351" s="8">
        <v>4302</v>
      </c>
      <c r="BM4351" s="8">
        <v>6441939.4187466512</v>
      </c>
      <c r="BN4351" s="8">
        <v>0</v>
      </c>
      <c r="BO4351" s="8">
        <v>6441939.4187466512</v>
      </c>
      <c r="BP4351" s="8">
        <v>4493261.6281056842</v>
      </c>
      <c r="BQ4351" s="8">
        <v>-1948677.790640967</v>
      </c>
      <c r="BR4351" s="8" t="str">
        <v>Yes</v>
      </c>
    </row>
    <row r="4352" spans="54:70" x14ac:dyDescent="0.2">
      <c r="BB4352" s="94"/>
      <c r="BL4352" s="8">
        <v>4303</v>
      </c>
      <c r="BM4352" s="8">
        <v>4785415.1712949937</v>
      </c>
      <c r="BN4352" s="8">
        <v>3825516.0681378031</v>
      </c>
      <c r="BO4352" s="8">
        <v>8610931.2394327968</v>
      </c>
      <c r="BP4352" s="8">
        <v>6361011.3173150746</v>
      </c>
      <c r="BQ4352" s="8">
        <v>-2249919.9221177222</v>
      </c>
      <c r="BR4352" s="8" t="str">
        <v>Yes</v>
      </c>
    </row>
    <row r="4353" spans="54:70" x14ac:dyDescent="0.2">
      <c r="BB4353" s="94"/>
      <c r="BL4353" s="8">
        <v>4304</v>
      </c>
      <c r="BM4353" s="8">
        <v>2555846.4252486378</v>
      </c>
      <c r="BN4353" s="8">
        <v>0</v>
      </c>
      <c r="BO4353" s="8">
        <v>2555846.4252486378</v>
      </c>
      <c r="BP4353" s="8">
        <v>2075220.2673049115</v>
      </c>
      <c r="BQ4353" s="8">
        <v>-480626.15794372628</v>
      </c>
      <c r="BR4353" s="8" t="str">
        <v>Yes</v>
      </c>
    </row>
    <row r="4354" spans="54:70" x14ac:dyDescent="0.2">
      <c r="BB4354" s="94"/>
      <c r="BL4354" s="8">
        <v>4305</v>
      </c>
      <c r="BM4354" s="8">
        <v>5325310.4643240189</v>
      </c>
      <c r="BN4354" s="8">
        <v>0</v>
      </c>
      <c r="BO4354" s="8">
        <v>5325310.4643240189</v>
      </c>
      <c r="BP4354" s="8">
        <v>4456561.8153232681</v>
      </c>
      <c r="BQ4354" s="8">
        <v>-868748.64900075085</v>
      </c>
      <c r="BR4354" s="8" t="str">
        <v>Yes</v>
      </c>
    </row>
    <row r="4355" spans="54:70" x14ac:dyDescent="0.2">
      <c r="BB4355" s="94"/>
      <c r="BL4355" s="8">
        <v>4306</v>
      </c>
      <c r="BM4355" s="8">
        <v>3092182.5239493074</v>
      </c>
      <c r="BN4355" s="8">
        <v>0</v>
      </c>
      <c r="BO4355" s="8">
        <v>3092182.5239493074</v>
      </c>
      <c r="BP4355" s="8">
        <v>5917354.691068951</v>
      </c>
      <c r="BQ4355" s="8">
        <v>2825172.1671196437</v>
      </c>
      <c r="BR4355" s="8" t="str">
        <v>No</v>
      </c>
    </row>
    <row r="4356" spans="54:70" x14ac:dyDescent="0.2">
      <c r="BB4356" s="94"/>
      <c r="BL4356" s="8">
        <v>4307</v>
      </c>
      <c r="BM4356" s="8">
        <v>4760001.9012383958</v>
      </c>
      <c r="BN4356" s="8">
        <v>0</v>
      </c>
      <c r="BO4356" s="8">
        <v>4760001.9012383958</v>
      </c>
      <c r="BP4356" s="8">
        <v>2134803.4458092167</v>
      </c>
      <c r="BQ4356" s="8">
        <v>-2625198.4554291791</v>
      </c>
      <c r="BR4356" s="8" t="str">
        <v>Yes</v>
      </c>
    </row>
    <row r="4357" spans="54:70" x14ac:dyDescent="0.2">
      <c r="BB4357" s="94"/>
      <c r="BL4357" s="8">
        <v>4308</v>
      </c>
      <c r="BM4357" s="8">
        <v>3477249.8719249251</v>
      </c>
      <c r="BN4357" s="8">
        <v>4606519.7858966878</v>
      </c>
      <c r="BO4357" s="8">
        <v>8083769.6578216124</v>
      </c>
      <c r="BP4357" s="8">
        <v>2408582.6521926951</v>
      </c>
      <c r="BQ4357" s="8">
        <v>-5675187.0056289174</v>
      </c>
      <c r="BR4357" s="8" t="str">
        <v>Yes</v>
      </c>
    </row>
    <row r="4358" spans="54:70" x14ac:dyDescent="0.2">
      <c r="BB4358" s="94"/>
      <c r="BL4358" s="8">
        <v>4309</v>
      </c>
      <c r="BM4358" s="8">
        <v>5161696.8696408998</v>
      </c>
      <c r="BN4358" s="8">
        <v>6830212.4356067218</v>
      </c>
      <c r="BO4358" s="8">
        <v>11991909.305247622</v>
      </c>
      <c r="BP4358" s="8">
        <v>3372460.1131582921</v>
      </c>
      <c r="BQ4358" s="8">
        <v>-8619449.1920893304</v>
      </c>
      <c r="BR4358" s="8" t="str">
        <v>Yes</v>
      </c>
    </row>
    <row r="4359" spans="54:70" x14ac:dyDescent="0.2">
      <c r="BB4359" s="94"/>
      <c r="BL4359" s="8">
        <v>4310</v>
      </c>
      <c r="BM4359" s="8">
        <v>4862500.4546060208</v>
      </c>
      <c r="BN4359" s="8">
        <v>0</v>
      </c>
      <c r="BO4359" s="8">
        <v>4862500.4546060208</v>
      </c>
      <c r="BP4359" s="8">
        <v>5891975.0888895737</v>
      </c>
      <c r="BQ4359" s="8">
        <v>1029474.6342835529</v>
      </c>
      <c r="BR4359" s="8" t="str">
        <v>No</v>
      </c>
    </row>
    <row r="4360" spans="54:70" x14ac:dyDescent="0.2">
      <c r="BB4360" s="94"/>
      <c r="BL4360" s="8">
        <v>4311</v>
      </c>
      <c r="BM4360" s="8">
        <v>3412665.6606160291</v>
      </c>
      <c r="BN4360" s="8">
        <v>1849460.0091559866</v>
      </c>
      <c r="BO4360" s="8">
        <v>5262125.6697720159</v>
      </c>
      <c r="BP4360" s="8">
        <v>6312401.7065863218</v>
      </c>
      <c r="BQ4360" s="8">
        <v>1050276.0368143059</v>
      </c>
      <c r="BR4360" s="8" t="str">
        <v>No</v>
      </c>
    </row>
    <row r="4361" spans="54:70" x14ac:dyDescent="0.2">
      <c r="BB4361" s="94"/>
      <c r="BL4361" s="8">
        <v>4312</v>
      </c>
      <c r="BM4361" s="8">
        <v>5518739.2002762519</v>
      </c>
      <c r="BN4361" s="8">
        <v>0</v>
      </c>
      <c r="BO4361" s="8">
        <v>5518739.2002762519</v>
      </c>
      <c r="BP4361" s="8">
        <v>4152201.500859933</v>
      </c>
      <c r="BQ4361" s="8">
        <v>-1366537.6994163189</v>
      </c>
      <c r="BR4361" s="8" t="str">
        <v>Yes</v>
      </c>
    </row>
    <row r="4362" spans="54:70" x14ac:dyDescent="0.2">
      <c r="BB4362" s="94"/>
      <c r="BL4362" s="8">
        <v>4313</v>
      </c>
      <c r="BM4362" s="8">
        <v>3052776.449858726</v>
      </c>
      <c r="BN4362" s="8">
        <v>2983815.2721436685</v>
      </c>
      <c r="BO4362" s="8">
        <v>6036591.7220023945</v>
      </c>
      <c r="BP4362" s="8">
        <v>2977624.0029823212</v>
      </c>
      <c r="BQ4362" s="8">
        <v>-3058967.7190200733</v>
      </c>
      <c r="BR4362" s="8" t="str">
        <v>Yes</v>
      </c>
    </row>
    <row r="4363" spans="54:70" x14ac:dyDescent="0.2">
      <c r="BB4363" s="94"/>
      <c r="BL4363" s="8">
        <v>4314</v>
      </c>
      <c r="BM4363" s="8">
        <v>3863416.1852819761</v>
      </c>
      <c r="BN4363" s="8">
        <v>0</v>
      </c>
      <c r="BO4363" s="8">
        <v>3863416.1852819761</v>
      </c>
      <c r="BP4363" s="8">
        <v>4210611.8524490679</v>
      </c>
      <c r="BQ4363" s="8">
        <v>347195.66716709174</v>
      </c>
      <c r="BR4363" s="8" t="str">
        <v>No</v>
      </c>
    </row>
    <row r="4364" spans="54:70" x14ac:dyDescent="0.2">
      <c r="BB4364" s="94"/>
      <c r="BL4364" s="8">
        <v>4315</v>
      </c>
      <c r="BM4364" s="8">
        <v>3785614.0311639402</v>
      </c>
      <c r="BN4364" s="8">
        <v>2760756.9194324357</v>
      </c>
      <c r="BO4364" s="8">
        <v>6546370.9505963754</v>
      </c>
      <c r="BP4364" s="8">
        <v>4022153.5061894534</v>
      </c>
      <c r="BQ4364" s="8">
        <v>-2524217.444406922</v>
      </c>
      <c r="BR4364" s="8" t="str">
        <v>Yes</v>
      </c>
    </row>
    <row r="4365" spans="54:70" x14ac:dyDescent="0.2">
      <c r="BB4365" s="94"/>
      <c r="BL4365" s="8">
        <v>4316</v>
      </c>
      <c r="BM4365" s="8">
        <v>8843800.5244871695</v>
      </c>
      <c r="BN4365" s="8">
        <v>0</v>
      </c>
      <c r="BO4365" s="8">
        <v>8843800.5244871695</v>
      </c>
      <c r="BP4365" s="8">
        <v>4332250.919920844</v>
      </c>
      <c r="BQ4365" s="8">
        <v>-4511549.6045663254</v>
      </c>
      <c r="BR4365" s="8" t="str">
        <v>Yes</v>
      </c>
    </row>
    <row r="4366" spans="54:70" x14ac:dyDescent="0.2">
      <c r="BB4366" s="94"/>
      <c r="BL4366" s="8">
        <v>4317</v>
      </c>
      <c r="BM4366" s="8">
        <v>2943711.5425988277</v>
      </c>
      <c r="BN4366" s="8">
        <v>0</v>
      </c>
      <c r="BO4366" s="8">
        <v>2943711.5425988277</v>
      </c>
      <c r="BP4366" s="8">
        <v>2395581.7715335134</v>
      </c>
      <c r="BQ4366" s="8">
        <v>-548129.7710653143</v>
      </c>
      <c r="BR4366" s="8" t="str">
        <v>Yes</v>
      </c>
    </row>
    <row r="4367" spans="54:70" x14ac:dyDescent="0.2">
      <c r="BB4367" s="94"/>
      <c r="BL4367" s="8">
        <v>4318</v>
      </c>
      <c r="BM4367" s="8">
        <v>5822363.6189928111</v>
      </c>
      <c r="BN4367" s="8">
        <v>0</v>
      </c>
      <c r="BO4367" s="8">
        <v>5822363.6189928111</v>
      </c>
      <c r="BP4367" s="8">
        <v>6115429.0407958636</v>
      </c>
      <c r="BQ4367" s="8">
        <v>293065.42180305254</v>
      </c>
      <c r="BR4367" s="8" t="str">
        <v>No</v>
      </c>
    </row>
    <row r="4368" spans="54:70" x14ac:dyDescent="0.2">
      <c r="BB4368" s="94"/>
      <c r="BL4368" s="8">
        <v>4319</v>
      </c>
      <c r="BM4368" s="8">
        <v>2341098.4017284312</v>
      </c>
      <c r="BN4368" s="8">
        <v>2331666.4605461289</v>
      </c>
      <c r="BO4368" s="8">
        <v>4672764.8622745601</v>
      </c>
      <c r="BP4368" s="8">
        <v>2314817.6268064184</v>
      </c>
      <c r="BQ4368" s="8">
        <v>-2357947.2354681417</v>
      </c>
      <c r="BR4368" s="8" t="str">
        <v>Yes</v>
      </c>
    </row>
    <row r="4369" spans="54:70" x14ac:dyDescent="0.2">
      <c r="BB4369" s="94"/>
      <c r="BL4369" s="8">
        <v>4320</v>
      </c>
      <c r="BM4369" s="8">
        <v>1863944.3411258166</v>
      </c>
      <c r="BN4369" s="8">
        <v>1555429.5563981228</v>
      </c>
      <c r="BO4369" s="8">
        <v>3419373.8975239396</v>
      </c>
      <c r="BP4369" s="8">
        <v>2275461.1359341145</v>
      </c>
      <c r="BQ4369" s="8">
        <v>-1143912.7615898252</v>
      </c>
      <c r="BR4369" s="8" t="str">
        <v>Yes</v>
      </c>
    </row>
    <row r="4370" spans="54:70" x14ac:dyDescent="0.2">
      <c r="BB4370" s="94"/>
      <c r="BL4370" s="8">
        <v>4321</v>
      </c>
      <c r="BM4370" s="8">
        <v>13636821.741879536</v>
      </c>
      <c r="BN4370" s="8">
        <v>0</v>
      </c>
      <c r="BO4370" s="8">
        <v>13636821.741879536</v>
      </c>
      <c r="BP4370" s="8">
        <v>4421499.1915856022</v>
      </c>
      <c r="BQ4370" s="8">
        <v>-9215322.5502939336</v>
      </c>
      <c r="BR4370" s="8" t="str">
        <v>Yes</v>
      </c>
    </row>
    <row r="4371" spans="54:70" x14ac:dyDescent="0.2">
      <c r="BB4371" s="94"/>
      <c r="BL4371" s="8">
        <v>4322</v>
      </c>
      <c r="BM4371" s="8">
        <v>6433947.0673442278</v>
      </c>
      <c r="BN4371" s="8">
        <v>6237332.4094369831</v>
      </c>
      <c r="BO4371" s="8">
        <v>12671279.476781212</v>
      </c>
      <c r="BP4371" s="8">
        <v>6455626.2490422316</v>
      </c>
      <c r="BQ4371" s="8">
        <v>-6215653.2277389802</v>
      </c>
      <c r="BR4371" s="8" t="str">
        <v>Yes</v>
      </c>
    </row>
    <row r="4372" spans="54:70" x14ac:dyDescent="0.2">
      <c r="BB4372" s="94"/>
      <c r="BL4372" s="8">
        <v>4323</v>
      </c>
      <c r="BM4372" s="8">
        <v>3838873.5362560367</v>
      </c>
      <c r="BN4372" s="8">
        <v>0</v>
      </c>
      <c r="BO4372" s="8">
        <v>3838873.5362560367</v>
      </c>
      <c r="BP4372" s="8">
        <v>3282517.0692265374</v>
      </c>
      <c r="BQ4372" s="8">
        <v>-556356.46702949936</v>
      </c>
      <c r="BR4372" s="8" t="str">
        <v>Yes</v>
      </c>
    </row>
    <row r="4373" spans="54:70" x14ac:dyDescent="0.2">
      <c r="BB4373" s="94"/>
      <c r="BL4373" s="8">
        <v>4324</v>
      </c>
      <c r="BM4373" s="8">
        <v>6503773.2225115253</v>
      </c>
      <c r="BN4373" s="8">
        <v>8129919.6347654238</v>
      </c>
      <c r="BO4373" s="8">
        <v>14633692.85727695</v>
      </c>
      <c r="BP4373" s="8">
        <v>2471062.3791414099</v>
      </c>
      <c r="BQ4373" s="8">
        <v>-12162630.478135541</v>
      </c>
      <c r="BR4373" s="8" t="str">
        <v>Yes</v>
      </c>
    </row>
    <row r="4374" spans="54:70" x14ac:dyDescent="0.2">
      <c r="BB4374" s="94"/>
      <c r="BL4374" s="8">
        <v>4325</v>
      </c>
      <c r="BM4374" s="8">
        <v>2310864.3216285212</v>
      </c>
      <c r="BN4374" s="8">
        <v>2633800.714896284</v>
      </c>
      <c r="BO4374" s="8">
        <v>4944665.0365248052</v>
      </c>
      <c r="BP4374" s="8">
        <v>2257727.2497045193</v>
      </c>
      <c r="BQ4374" s="8">
        <v>-2686937.786820286</v>
      </c>
      <c r="BR4374" s="8" t="str">
        <v>Yes</v>
      </c>
    </row>
    <row r="4375" spans="54:70" x14ac:dyDescent="0.2">
      <c r="BB4375" s="94"/>
      <c r="BL4375" s="8">
        <v>4326</v>
      </c>
      <c r="BM4375" s="8">
        <v>3144511.7579390234</v>
      </c>
      <c r="BN4375" s="8">
        <v>474953.29377417447</v>
      </c>
      <c r="BO4375" s="8">
        <v>3619465.051713198</v>
      </c>
      <c r="BP4375" s="8">
        <v>5955617.4910197873</v>
      </c>
      <c r="BQ4375" s="8">
        <v>2336152.4393065893</v>
      </c>
      <c r="BR4375" s="8" t="str">
        <v>No</v>
      </c>
    </row>
    <row r="4376" spans="54:70" x14ac:dyDescent="0.2">
      <c r="BB4376" s="94"/>
      <c r="BL4376" s="8">
        <v>4327</v>
      </c>
      <c r="BM4376" s="8">
        <v>3875529.7181857424</v>
      </c>
      <c r="BN4376" s="8">
        <v>0</v>
      </c>
      <c r="BO4376" s="8">
        <v>3875529.7181857424</v>
      </c>
      <c r="BP4376" s="8">
        <v>6136199.2749772035</v>
      </c>
      <c r="BQ4376" s="8">
        <v>2260669.5567914611</v>
      </c>
      <c r="BR4376" s="8" t="str">
        <v>No</v>
      </c>
    </row>
    <row r="4377" spans="54:70" x14ac:dyDescent="0.2">
      <c r="BB4377" s="94"/>
      <c r="BL4377" s="8">
        <v>4328</v>
      </c>
      <c r="BM4377" s="8">
        <v>3895127.1869377983</v>
      </c>
      <c r="BN4377" s="8">
        <v>0</v>
      </c>
      <c r="BO4377" s="8">
        <v>3895127.1869377983</v>
      </c>
      <c r="BP4377" s="8">
        <v>4100014.0600743964</v>
      </c>
      <c r="BQ4377" s="8">
        <v>204886.87313659815</v>
      </c>
      <c r="BR4377" s="8" t="str">
        <v>No</v>
      </c>
    </row>
    <row r="4378" spans="54:70" x14ac:dyDescent="0.2">
      <c r="BB4378" s="94"/>
      <c r="BL4378" s="8">
        <v>4329</v>
      </c>
      <c r="BM4378" s="8">
        <v>4344668.2456004536</v>
      </c>
      <c r="BN4378" s="8">
        <v>0</v>
      </c>
      <c r="BO4378" s="8">
        <v>4344668.2456004536</v>
      </c>
      <c r="BP4378" s="8">
        <v>6329167.8961569462</v>
      </c>
      <c r="BQ4378" s="8">
        <v>1984499.6505564926</v>
      </c>
      <c r="BR4378" s="8" t="str">
        <v>No</v>
      </c>
    </row>
    <row r="4379" spans="54:70" x14ac:dyDescent="0.2">
      <c r="BB4379" s="94"/>
      <c r="BL4379" s="8">
        <v>4330</v>
      </c>
      <c r="BM4379" s="8">
        <v>2380923.2192501416</v>
      </c>
      <c r="BN4379" s="8">
        <v>0</v>
      </c>
      <c r="BO4379" s="8">
        <v>2380923.2192501416</v>
      </c>
      <c r="BP4379" s="8">
        <v>3154625.7081711823</v>
      </c>
      <c r="BQ4379" s="8">
        <v>773702.48892104067</v>
      </c>
      <c r="BR4379" s="8" t="str">
        <v>No</v>
      </c>
    </row>
    <row r="4380" spans="54:70" x14ac:dyDescent="0.2">
      <c r="BB4380" s="94"/>
      <c r="BL4380" s="8">
        <v>4331</v>
      </c>
      <c r="BM4380" s="8">
        <v>7283814.7189617893</v>
      </c>
      <c r="BN4380" s="8">
        <v>0</v>
      </c>
      <c r="BO4380" s="8">
        <v>7283814.7189617893</v>
      </c>
      <c r="BP4380" s="8">
        <v>4080809.4674755819</v>
      </c>
      <c r="BQ4380" s="8">
        <v>-3203005.2514862074</v>
      </c>
      <c r="BR4380" s="8" t="str">
        <v>Yes</v>
      </c>
    </row>
    <row r="4381" spans="54:70" x14ac:dyDescent="0.2">
      <c r="BB4381" s="94"/>
      <c r="BL4381" s="8">
        <v>4332</v>
      </c>
      <c r="BM4381" s="8">
        <v>4213507.2424131716</v>
      </c>
      <c r="BN4381" s="8">
        <v>0</v>
      </c>
      <c r="BO4381" s="8">
        <v>4213507.2424131716</v>
      </c>
      <c r="BP4381" s="8">
        <v>4504440.5633125296</v>
      </c>
      <c r="BQ4381" s="8">
        <v>290933.32089935802</v>
      </c>
      <c r="BR4381" s="8" t="str">
        <v>No</v>
      </c>
    </row>
    <row r="4382" spans="54:70" x14ac:dyDescent="0.2">
      <c r="BB4382" s="94"/>
      <c r="BL4382" s="8">
        <v>4333</v>
      </c>
      <c r="BM4382" s="8">
        <v>5106852.3815537533</v>
      </c>
      <c r="BN4382" s="8">
        <v>0</v>
      </c>
      <c r="BO4382" s="8">
        <v>5106852.3815537533</v>
      </c>
      <c r="BP4382" s="8">
        <v>3860307.1452429607</v>
      </c>
      <c r="BQ4382" s="8">
        <v>-1246545.2363107926</v>
      </c>
      <c r="BR4382" s="8" t="str">
        <v>Yes</v>
      </c>
    </row>
    <row r="4383" spans="54:70" x14ac:dyDescent="0.2">
      <c r="BB4383" s="94"/>
      <c r="BL4383" s="8">
        <v>4334</v>
      </c>
      <c r="BM4383" s="8">
        <v>5537831.0342051145</v>
      </c>
      <c r="BN4383" s="8">
        <v>9793911.1743509863</v>
      </c>
      <c r="BO4383" s="8">
        <v>15331742.208556101</v>
      </c>
      <c r="BP4383" s="8">
        <v>4247497.5913120173</v>
      </c>
      <c r="BQ4383" s="8">
        <v>-11084244.617244083</v>
      </c>
      <c r="BR4383" s="8" t="str">
        <v>Yes</v>
      </c>
    </row>
    <row r="4384" spans="54:70" x14ac:dyDescent="0.2">
      <c r="BB4384" s="94"/>
      <c r="BL4384" s="8">
        <v>4335</v>
      </c>
      <c r="BM4384" s="8">
        <v>2393207.3724616226</v>
      </c>
      <c r="BN4384" s="8">
        <v>0</v>
      </c>
      <c r="BO4384" s="8">
        <v>2393207.3724616226</v>
      </c>
      <c r="BP4384" s="8">
        <v>5818202.8329249863</v>
      </c>
      <c r="BQ4384" s="8">
        <v>3424995.4604633637</v>
      </c>
      <c r="BR4384" s="8" t="str">
        <v>No</v>
      </c>
    </row>
    <row r="4385" spans="54:70" x14ac:dyDescent="0.2">
      <c r="BB4385" s="94"/>
      <c r="BL4385" s="8">
        <v>4336</v>
      </c>
      <c r="BM4385" s="8">
        <v>3466433.8866429492</v>
      </c>
      <c r="BN4385" s="8">
        <v>0</v>
      </c>
      <c r="BO4385" s="8">
        <v>3466433.8866429492</v>
      </c>
      <c r="BP4385" s="8">
        <v>6400406.562796521</v>
      </c>
      <c r="BQ4385" s="8">
        <v>2933972.6761535718</v>
      </c>
      <c r="BR4385" s="8" t="str">
        <v>No</v>
      </c>
    </row>
    <row r="4386" spans="54:70" x14ac:dyDescent="0.2">
      <c r="BB4386" s="94"/>
      <c r="BL4386" s="8">
        <v>4337</v>
      </c>
      <c r="BM4386" s="8">
        <v>3591231.4093572926</v>
      </c>
      <c r="BN4386" s="8">
        <v>2565423.0890123546</v>
      </c>
      <c r="BO4386" s="8">
        <v>6156654.4983696472</v>
      </c>
      <c r="BP4386" s="8">
        <v>3296202.2816960309</v>
      </c>
      <c r="BQ4386" s="8">
        <v>-2860452.2166736163</v>
      </c>
      <c r="BR4386" s="8" t="str">
        <v>Yes</v>
      </c>
    </row>
    <row r="4387" spans="54:70" x14ac:dyDescent="0.2">
      <c r="BB4387" s="94"/>
      <c r="BL4387" s="8">
        <v>4338</v>
      </c>
      <c r="BM4387" s="8">
        <v>6142900.9281451162</v>
      </c>
      <c r="BN4387" s="8">
        <v>9498097.1365598105</v>
      </c>
      <c r="BO4387" s="8">
        <v>15640998.064704927</v>
      </c>
      <c r="BP4387" s="8">
        <v>6502746.2833419992</v>
      </c>
      <c r="BQ4387" s="8">
        <v>-9138251.7813629285</v>
      </c>
      <c r="BR4387" s="8" t="str">
        <v>Yes</v>
      </c>
    </row>
    <row r="4388" spans="54:70" x14ac:dyDescent="0.2">
      <c r="BB4388" s="94"/>
      <c r="BL4388" s="8">
        <v>4339</v>
      </c>
      <c r="BM4388" s="8">
        <v>2512060.5670498796</v>
      </c>
      <c r="BN4388" s="8">
        <v>0</v>
      </c>
      <c r="BO4388" s="8">
        <v>2512060.5670498796</v>
      </c>
      <c r="BP4388" s="8">
        <v>6260356.4776406335</v>
      </c>
      <c r="BQ4388" s="8">
        <v>3748295.9105907539</v>
      </c>
      <c r="BR4388" s="8" t="str">
        <v>No</v>
      </c>
    </row>
    <row r="4389" spans="54:70" x14ac:dyDescent="0.2">
      <c r="BB4389" s="94"/>
      <c r="BL4389" s="8">
        <v>4340</v>
      </c>
      <c r="BM4389" s="8">
        <v>5690227.8333338145</v>
      </c>
      <c r="BN4389" s="8">
        <v>9080074.2999941818</v>
      </c>
      <c r="BO4389" s="8">
        <v>14770302.133327996</v>
      </c>
      <c r="BP4389" s="8">
        <v>2315390.1769666877</v>
      </c>
      <c r="BQ4389" s="8">
        <v>-12454911.956361309</v>
      </c>
      <c r="BR4389" s="8" t="str">
        <v>Yes</v>
      </c>
    </row>
    <row r="4390" spans="54:70" x14ac:dyDescent="0.2">
      <c r="BB4390" s="94"/>
      <c r="BL4390" s="8">
        <v>4341</v>
      </c>
      <c r="BM4390" s="8">
        <v>2141424.9739124649</v>
      </c>
      <c r="BN4390" s="8">
        <v>0</v>
      </c>
      <c r="BO4390" s="8">
        <v>2141424.9739124649</v>
      </c>
      <c r="BP4390" s="8">
        <v>3320635.4294027956</v>
      </c>
      <c r="BQ4390" s="8">
        <v>1179210.4554903307</v>
      </c>
      <c r="BR4390" s="8" t="str">
        <v>No</v>
      </c>
    </row>
    <row r="4391" spans="54:70" x14ac:dyDescent="0.2">
      <c r="BB4391" s="94"/>
      <c r="BL4391" s="8">
        <v>4342</v>
      </c>
      <c r="BM4391" s="8">
        <v>7644385.3104567686</v>
      </c>
      <c r="BN4391" s="8">
        <v>0</v>
      </c>
      <c r="BO4391" s="8">
        <v>7644385.3104567686</v>
      </c>
      <c r="BP4391" s="8">
        <v>5728449.229869741</v>
      </c>
      <c r="BQ4391" s="8">
        <v>-1915936.0805870276</v>
      </c>
      <c r="BR4391" s="8" t="str">
        <v>Yes</v>
      </c>
    </row>
    <row r="4392" spans="54:70" x14ac:dyDescent="0.2">
      <c r="BB4392" s="94"/>
      <c r="BL4392" s="8">
        <v>4343</v>
      </c>
      <c r="BM4392" s="8">
        <v>5757560.5461675515</v>
      </c>
      <c r="BN4392" s="8">
        <v>8494330.108353883</v>
      </c>
      <c r="BO4392" s="8">
        <v>14251890.654521435</v>
      </c>
      <c r="BP4392" s="8">
        <v>6263718.5123629011</v>
      </c>
      <c r="BQ4392" s="8">
        <v>-7988172.1421585344</v>
      </c>
      <c r="BR4392" s="8" t="str">
        <v>Yes</v>
      </c>
    </row>
    <row r="4393" spans="54:70" x14ac:dyDescent="0.2">
      <c r="BB4393" s="94"/>
      <c r="BL4393" s="8">
        <v>4344</v>
      </c>
      <c r="BM4393" s="8">
        <v>5360496.0315841399</v>
      </c>
      <c r="BN4393" s="8">
        <v>3103722.0089615332</v>
      </c>
      <c r="BO4393" s="8">
        <v>8464218.0405456722</v>
      </c>
      <c r="BP4393" s="8">
        <v>6423666.8010296198</v>
      </c>
      <c r="BQ4393" s="8">
        <v>-2040551.2395160524</v>
      </c>
      <c r="BR4393" s="8" t="str">
        <v>Yes</v>
      </c>
    </row>
    <row r="4394" spans="54:70" x14ac:dyDescent="0.2">
      <c r="BB4394" s="94"/>
      <c r="BL4394" s="8">
        <v>4345</v>
      </c>
      <c r="BM4394" s="8">
        <v>5996262.3146272609</v>
      </c>
      <c r="BN4394" s="8">
        <v>0</v>
      </c>
      <c r="BO4394" s="8">
        <v>5996262.3146272609</v>
      </c>
      <c r="BP4394" s="8">
        <v>3462570.9083876265</v>
      </c>
      <c r="BQ4394" s="8">
        <v>-2533691.4062396344</v>
      </c>
      <c r="BR4394" s="8" t="str">
        <v>Yes</v>
      </c>
    </row>
    <row r="4395" spans="54:70" x14ac:dyDescent="0.2">
      <c r="BB4395" s="94"/>
      <c r="BL4395" s="8">
        <v>4346</v>
      </c>
      <c r="BM4395" s="8">
        <v>3565144.7458202951</v>
      </c>
      <c r="BN4395" s="8">
        <v>1719278.7595038153</v>
      </c>
      <c r="BO4395" s="8">
        <v>5284423.5053241104</v>
      </c>
      <c r="BP4395" s="8">
        <v>6167709.0323335798</v>
      </c>
      <c r="BQ4395" s="8">
        <v>883285.52700946946</v>
      </c>
      <c r="BR4395" s="8" t="str">
        <v>No</v>
      </c>
    </row>
    <row r="4396" spans="54:70" x14ac:dyDescent="0.2">
      <c r="BB4396" s="94"/>
      <c r="BL4396" s="8">
        <v>4347</v>
      </c>
      <c r="BM4396" s="8">
        <v>4846665.5961299445</v>
      </c>
      <c r="BN4396" s="8">
        <v>0</v>
      </c>
      <c r="BO4396" s="8">
        <v>4846665.5961299445</v>
      </c>
      <c r="BP4396" s="8">
        <v>2204428.2294763527</v>
      </c>
      <c r="BQ4396" s="8">
        <v>-2642237.3666535919</v>
      </c>
      <c r="BR4396" s="8" t="str">
        <v>Yes</v>
      </c>
    </row>
    <row r="4397" spans="54:70" x14ac:dyDescent="0.2">
      <c r="BB4397" s="94"/>
      <c r="BL4397" s="8">
        <v>4348</v>
      </c>
      <c r="BM4397" s="8">
        <v>9829859.3114981949</v>
      </c>
      <c r="BN4397" s="8">
        <v>9042641.8514686469</v>
      </c>
      <c r="BO4397" s="8">
        <v>18872501.16296684</v>
      </c>
      <c r="BP4397" s="8">
        <v>3521606.9197764061</v>
      </c>
      <c r="BQ4397" s="8">
        <v>-15350894.243190434</v>
      </c>
      <c r="BR4397" s="8" t="str">
        <v>Yes</v>
      </c>
    </row>
    <row r="4398" spans="54:70" x14ac:dyDescent="0.2">
      <c r="BB4398" s="94"/>
      <c r="BL4398" s="8">
        <v>4349</v>
      </c>
      <c r="BM4398" s="8">
        <v>3020078.69733008</v>
      </c>
      <c r="BN4398" s="8">
        <v>0</v>
      </c>
      <c r="BO4398" s="8">
        <v>3020078.69733008</v>
      </c>
      <c r="BP4398" s="8">
        <v>4103436.6219620248</v>
      </c>
      <c r="BQ4398" s="8">
        <v>1083357.9246319449</v>
      </c>
      <c r="BR4398" s="8" t="str">
        <v>No</v>
      </c>
    </row>
    <row r="4399" spans="54:70" x14ac:dyDescent="0.2">
      <c r="BB4399" s="94"/>
      <c r="BL4399" s="8">
        <v>4350</v>
      </c>
      <c r="BM4399" s="8">
        <v>10888649.625080526</v>
      </c>
      <c r="BN4399" s="8">
        <v>0</v>
      </c>
      <c r="BO4399" s="8">
        <v>10888649.625080526</v>
      </c>
      <c r="BP4399" s="8">
        <v>4172381.4717220552</v>
      </c>
      <c r="BQ4399" s="8">
        <v>-6716268.1533584706</v>
      </c>
      <c r="BR4399" s="8" t="str">
        <v>Yes</v>
      </c>
    </row>
    <row r="4400" spans="54:70" x14ac:dyDescent="0.2">
      <c r="BB4400" s="94"/>
      <c r="BL4400" s="8">
        <v>4351</v>
      </c>
      <c r="BM4400" s="8">
        <v>6812474.7189487899</v>
      </c>
      <c r="BN4400" s="8">
        <v>8202460.0123698832</v>
      </c>
      <c r="BO4400" s="8">
        <v>15014934.731318673</v>
      </c>
      <c r="BP4400" s="8">
        <v>2448355.5208392343</v>
      </c>
      <c r="BQ4400" s="8">
        <v>-12566579.210479438</v>
      </c>
      <c r="BR4400" s="8" t="str">
        <v>Yes</v>
      </c>
    </row>
    <row r="4401" spans="54:70" x14ac:dyDescent="0.2">
      <c r="BB4401" s="94"/>
      <c r="BL4401" s="8">
        <v>4352</v>
      </c>
      <c r="BM4401" s="8">
        <v>4485686.7621825235</v>
      </c>
      <c r="BN4401" s="8">
        <v>6957126.1339067044</v>
      </c>
      <c r="BO4401" s="8">
        <v>11442812.896089228</v>
      </c>
      <c r="BP4401" s="8">
        <v>3555226.6862457693</v>
      </c>
      <c r="BQ4401" s="8">
        <v>-7887586.2098434586</v>
      </c>
      <c r="BR4401" s="8" t="str">
        <v>Yes</v>
      </c>
    </row>
    <row r="4402" spans="54:70" x14ac:dyDescent="0.2">
      <c r="BB4402" s="94"/>
      <c r="BL4402" s="8">
        <v>4353</v>
      </c>
      <c r="BM4402" s="8">
        <v>2381946.3143020463</v>
      </c>
      <c r="BN4402" s="8">
        <v>0</v>
      </c>
      <c r="BO4402" s="8">
        <v>2381946.3143020463</v>
      </c>
      <c r="BP4402" s="8">
        <v>2376519.4683827613</v>
      </c>
      <c r="BQ4402" s="8">
        <v>-5426.8459192849696</v>
      </c>
      <c r="BR4402" s="8" t="str">
        <v>Yes</v>
      </c>
    </row>
    <row r="4403" spans="54:70" x14ac:dyDescent="0.2">
      <c r="BB4403" s="94"/>
      <c r="BL4403" s="8">
        <v>4354</v>
      </c>
      <c r="BM4403" s="8">
        <v>3204600.1227738685</v>
      </c>
      <c r="BN4403" s="8">
        <v>0</v>
      </c>
      <c r="BO4403" s="8">
        <v>3204600.1227738685</v>
      </c>
      <c r="BP4403" s="8">
        <v>3632058.3614867646</v>
      </c>
      <c r="BQ4403" s="8">
        <v>427458.23871289613</v>
      </c>
      <c r="BR4403" s="8" t="str">
        <v>No</v>
      </c>
    </row>
    <row r="4404" spans="54:70" x14ac:dyDescent="0.2">
      <c r="BB4404" s="94"/>
      <c r="BL4404" s="8">
        <v>4355</v>
      </c>
      <c r="BM4404" s="8">
        <v>3408374.4035073482</v>
      </c>
      <c r="BN4404" s="8">
        <v>0</v>
      </c>
      <c r="BO4404" s="8">
        <v>3408374.4035073482</v>
      </c>
      <c r="BP4404" s="8">
        <v>3278392.7504800144</v>
      </c>
      <c r="BQ4404" s="8">
        <v>-129981.65302733378</v>
      </c>
      <c r="BR4404" s="8" t="str">
        <v>Yes</v>
      </c>
    </row>
    <row r="4405" spans="54:70" x14ac:dyDescent="0.2">
      <c r="BB4405" s="94"/>
      <c r="BL4405" s="8">
        <v>4356</v>
      </c>
      <c r="BM4405" s="8">
        <v>6371712.3167741997</v>
      </c>
      <c r="BN4405" s="8">
        <v>0</v>
      </c>
      <c r="BO4405" s="8">
        <v>6371712.3167741997</v>
      </c>
      <c r="BP4405" s="8">
        <v>3377975.6144968551</v>
      </c>
      <c r="BQ4405" s="8">
        <v>-2993736.7022773447</v>
      </c>
      <c r="BR4405" s="8" t="str">
        <v>Yes</v>
      </c>
    </row>
    <row r="4406" spans="54:70" x14ac:dyDescent="0.2">
      <c r="BB4406" s="94"/>
      <c r="BL4406" s="8">
        <v>4357</v>
      </c>
      <c r="BM4406" s="8">
        <v>4377586.8921267372</v>
      </c>
      <c r="BN4406" s="8">
        <v>5145855.5528908949</v>
      </c>
      <c r="BO4406" s="8">
        <v>9523442.4450176321</v>
      </c>
      <c r="BP4406" s="8">
        <v>3306875.5661812229</v>
      </c>
      <c r="BQ4406" s="8">
        <v>-6216566.8788364092</v>
      </c>
      <c r="BR4406" s="8" t="str">
        <v>Yes</v>
      </c>
    </row>
    <row r="4407" spans="54:70" x14ac:dyDescent="0.2">
      <c r="BB4407" s="94"/>
      <c r="BL4407" s="8">
        <v>4358</v>
      </c>
      <c r="BM4407" s="8">
        <v>3958661.8746443982</v>
      </c>
      <c r="BN4407" s="8">
        <v>0</v>
      </c>
      <c r="BO4407" s="8">
        <v>3958661.8746443982</v>
      </c>
      <c r="BP4407" s="8">
        <v>3422921.7913460149</v>
      </c>
      <c r="BQ4407" s="8">
        <v>-535740.08329838328</v>
      </c>
      <c r="BR4407" s="8" t="str">
        <v>Yes</v>
      </c>
    </row>
    <row r="4408" spans="54:70" x14ac:dyDescent="0.2">
      <c r="BB4408" s="94"/>
      <c r="BL4408" s="8">
        <v>4359</v>
      </c>
      <c r="BM4408" s="8">
        <v>6964707.0584189044</v>
      </c>
      <c r="BN4408" s="8">
        <v>10553764.009481698</v>
      </c>
      <c r="BO4408" s="8">
        <v>17518471.067900602</v>
      </c>
      <c r="BP4408" s="8">
        <v>2115269.2330005625</v>
      </c>
      <c r="BQ4408" s="8">
        <v>-15403201.83490004</v>
      </c>
      <c r="BR4408" s="8" t="str">
        <v>Yes</v>
      </c>
    </row>
    <row r="4409" spans="54:70" x14ac:dyDescent="0.2">
      <c r="BB4409" s="94"/>
      <c r="BL4409" s="8">
        <v>4360</v>
      </c>
      <c r="BM4409" s="8">
        <v>2909397.0529933991</v>
      </c>
      <c r="BN4409" s="8">
        <v>0</v>
      </c>
      <c r="BO4409" s="8">
        <v>2909397.0529933991</v>
      </c>
      <c r="BP4409" s="8">
        <v>6213243.1993735377</v>
      </c>
      <c r="BQ4409" s="8">
        <v>3303846.1463801386</v>
      </c>
      <c r="BR4409" s="8" t="str">
        <v>No</v>
      </c>
    </row>
    <row r="4410" spans="54:70" x14ac:dyDescent="0.2">
      <c r="BB4410" s="94"/>
      <c r="BL4410" s="8">
        <v>4361</v>
      </c>
      <c r="BM4410" s="8">
        <v>2889597.8859886415</v>
      </c>
      <c r="BN4410" s="8">
        <v>0</v>
      </c>
      <c r="BO4410" s="8">
        <v>2889597.8859886415</v>
      </c>
      <c r="BP4410" s="8">
        <v>4515372.8497252315</v>
      </c>
      <c r="BQ4410" s="8">
        <v>1625774.96373659</v>
      </c>
      <c r="BR4410" s="8" t="str">
        <v>No</v>
      </c>
    </row>
    <row r="4411" spans="54:70" x14ac:dyDescent="0.2">
      <c r="BB4411" s="94"/>
      <c r="BL4411" s="8">
        <v>4362</v>
      </c>
      <c r="BM4411" s="8">
        <v>4024228.7477563787</v>
      </c>
      <c r="BN4411" s="8">
        <v>0</v>
      </c>
      <c r="BO4411" s="8">
        <v>4024228.7477563787</v>
      </c>
      <c r="BP4411" s="8">
        <v>3420393.5015584361</v>
      </c>
      <c r="BQ4411" s="8">
        <v>-603835.24619794264</v>
      </c>
      <c r="BR4411" s="8" t="str">
        <v>Yes</v>
      </c>
    </row>
    <row r="4412" spans="54:70" x14ac:dyDescent="0.2">
      <c r="BB4412" s="94"/>
      <c r="BL4412" s="8">
        <v>4363</v>
      </c>
      <c r="BM4412" s="8">
        <v>3886422.2136774347</v>
      </c>
      <c r="BN4412" s="8">
        <v>0</v>
      </c>
      <c r="BO4412" s="8">
        <v>3886422.2136774347</v>
      </c>
      <c r="BP4412" s="8">
        <v>2164265.1518959198</v>
      </c>
      <c r="BQ4412" s="8">
        <v>-1722157.0617815149</v>
      </c>
      <c r="BR4412" s="8" t="str">
        <v>Yes</v>
      </c>
    </row>
    <row r="4413" spans="54:70" x14ac:dyDescent="0.2">
      <c r="BB4413" s="94"/>
      <c r="BL4413" s="8">
        <v>4364</v>
      </c>
      <c r="BM4413" s="8">
        <v>5608370.7646913538</v>
      </c>
      <c r="BN4413" s="8">
        <v>0</v>
      </c>
      <c r="BO4413" s="8">
        <v>5608370.7646913538</v>
      </c>
      <c r="BP4413" s="8">
        <v>5638996.3827790087</v>
      </c>
      <c r="BQ4413" s="8">
        <v>30625.618087654933</v>
      </c>
      <c r="BR4413" s="8" t="str">
        <v>No</v>
      </c>
    </row>
    <row r="4414" spans="54:70" x14ac:dyDescent="0.2">
      <c r="BB4414" s="94"/>
      <c r="BL4414" s="8">
        <v>4365</v>
      </c>
      <c r="BM4414" s="8">
        <v>5934607.2944036778</v>
      </c>
      <c r="BN4414" s="8">
        <v>2565527.2658952666</v>
      </c>
      <c r="BO4414" s="8">
        <v>8500134.5602989439</v>
      </c>
      <c r="BP4414" s="8">
        <v>4555412.7134188805</v>
      </c>
      <c r="BQ4414" s="8">
        <v>-3944721.8468800634</v>
      </c>
      <c r="BR4414" s="8" t="str">
        <v>Yes</v>
      </c>
    </row>
    <row r="4415" spans="54:70" x14ac:dyDescent="0.2">
      <c r="BB4415" s="94"/>
      <c r="BL4415" s="8">
        <v>4366</v>
      </c>
      <c r="BM4415" s="8">
        <v>3743920.3799171965</v>
      </c>
      <c r="BN4415" s="8">
        <v>0</v>
      </c>
      <c r="BO4415" s="8">
        <v>3743920.3799171965</v>
      </c>
      <c r="BP4415" s="8">
        <v>3365322.6121220998</v>
      </c>
      <c r="BQ4415" s="8">
        <v>-378597.76779509662</v>
      </c>
      <c r="BR4415" s="8" t="str">
        <v>Yes</v>
      </c>
    </row>
    <row r="4416" spans="54:70" x14ac:dyDescent="0.2">
      <c r="BB4416" s="94"/>
      <c r="BL4416" s="8">
        <v>4367</v>
      </c>
      <c r="BM4416" s="8">
        <v>4472366.040996396</v>
      </c>
      <c r="BN4416" s="8">
        <v>4145338.8334027515</v>
      </c>
      <c r="BO4416" s="8">
        <v>8617704.8743991479</v>
      </c>
      <c r="BP4416" s="8">
        <v>2505703.4113917113</v>
      </c>
      <c r="BQ4416" s="8">
        <v>-6112001.4630074371</v>
      </c>
      <c r="BR4416" s="8" t="str">
        <v>Yes</v>
      </c>
    </row>
    <row r="4417" spans="54:70" x14ac:dyDescent="0.2">
      <c r="BB4417" s="94"/>
      <c r="BL4417" s="8">
        <v>4368</v>
      </c>
      <c r="BM4417" s="8">
        <v>5381258.2530295812</v>
      </c>
      <c r="BN4417" s="8">
        <v>6698199.9245983893</v>
      </c>
      <c r="BO4417" s="8">
        <v>12079458.17762797</v>
      </c>
      <c r="BP4417" s="8">
        <v>4198242.9604914952</v>
      </c>
      <c r="BQ4417" s="8">
        <v>-7881215.2171364743</v>
      </c>
      <c r="BR4417" s="8" t="str">
        <v>Yes</v>
      </c>
    </row>
    <row r="4418" spans="54:70" x14ac:dyDescent="0.2">
      <c r="BB4418" s="94"/>
      <c r="BL4418" s="8">
        <v>4369</v>
      </c>
      <c r="BM4418" s="8">
        <v>2709697.1686997591</v>
      </c>
      <c r="BN4418" s="8">
        <v>0</v>
      </c>
      <c r="BO4418" s="8">
        <v>2709697.1686997591</v>
      </c>
      <c r="BP4418" s="8">
        <v>3467648.2270496925</v>
      </c>
      <c r="BQ4418" s="8">
        <v>757951.05834993348</v>
      </c>
      <c r="BR4418" s="8" t="str">
        <v>No</v>
      </c>
    </row>
    <row r="4419" spans="54:70" x14ac:dyDescent="0.2">
      <c r="BB4419" s="94"/>
      <c r="BL4419" s="8">
        <v>4370</v>
      </c>
      <c r="BM4419" s="8">
        <v>4210421.7703952165</v>
      </c>
      <c r="BN4419" s="8">
        <v>0</v>
      </c>
      <c r="BO4419" s="8">
        <v>4210421.7703952165</v>
      </c>
      <c r="BP4419" s="8">
        <v>4242652.5050633037</v>
      </c>
      <c r="BQ4419" s="8">
        <v>32230.734668087214</v>
      </c>
      <c r="BR4419" s="8" t="str">
        <v>No</v>
      </c>
    </row>
    <row r="4420" spans="54:70" x14ac:dyDescent="0.2">
      <c r="BB4420" s="94"/>
      <c r="BL4420" s="8">
        <v>4371</v>
      </c>
      <c r="BM4420" s="8">
        <v>2840055.9051216664</v>
      </c>
      <c r="BN4420" s="8">
        <v>0</v>
      </c>
      <c r="BO4420" s="8">
        <v>2840055.9051216664</v>
      </c>
      <c r="BP4420" s="8">
        <v>3318240.8459944823</v>
      </c>
      <c r="BQ4420" s="8">
        <v>478184.9408728159</v>
      </c>
      <c r="BR4420" s="8" t="str">
        <v>No</v>
      </c>
    </row>
    <row r="4421" spans="54:70" x14ac:dyDescent="0.2">
      <c r="BB4421" s="94"/>
      <c r="BL4421" s="8">
        <v>4372</v>
      </c>
      <c r="BM4421" s="8">
        <v>2347970.8886331087</v>
      </c>
      <c r="BN4421" s="8">
        <v>0</v>
      </c>
      <c r="BO4421" s="8">
        <v>2347970.8886331087</v>
      </c>
      <c r="BP4421" s="8">
        <v>3335259.0950419507</v>
      </c>
      <c r="BQ4421" s="8">
        <v>987288.206408842</v>
      </c>
      <c r="BR4421" s="8" t="str">
        <v>No</v>
      </c>
    </row>
    <row r="4422" spans="54:70" x14ac:dyDescent="0.2">
      <c r="BB4422" s="94"/>
      <c r="BL4422" s="8">
        <v>4373</v>
      </c>
      <c r="BM4422" s="8">
        <v>2250800.3714901465</v>
      </c>
      <c r="BN4422" s="8">
        <v>0</v>
      </c>
      <c r="BO4422" s="8">
        <v>2250800.3714901465</v>
      </c>
      <c r="BP4422" s="8">
        <v>2877673.4776847153</v>
      </c>
      <c r="BQ4422" s="8">
        <v>626873.1061945688</v>
      </c>
      <c r="BR4422" s="8" t="str">
        <v>No</v>
      </c>
    </row>
    <row r="4423" spans="54:70" x14ac:dyDescent="0.2">
      <c r="BB4423" s="94"/>
      <c r="BL4423" s="8">
        <v>4374</v>
      </c>
      <c r="BM4423" s="8">
        <v>4019799.2736844523</v>
      </c>
      <c r="BN4423" s="8">
        <v>1296257.3265717241</v>
      </c>
      <c r="BO4423" s="8">
        <v>5316056.6002561767</v>
      </c>
      <c r="BP4423" s="8">
        <v>4853962.4026538348</v>
      </c>
      <c r="BQ4423" s="8">
        <v>-462094.19760234188</v>
      </c>
      <c r="BR4423" s="8" t="str">
        <v>Yes</v>
      </c>
    </row>
    <row r="4424" spans="54:70" x14ac:dyDescent="0.2">
      <c r="BB4424" s="94"/>
      <c r="BL4424" s="8">
        <v>4375</v>
      </c>
      <c r="BM4424" s="8">
        <v>3435946.1958702859</v>
      </c>
      <c r="BN4424" s="8">
        <v>3238195.7897272273</v>
      </c>
      <c r="BO4424" s="8">
        <v>6674141.9855975136</v>
      </c>
      <c r="BP4424" s="8">
        <v>2174689.3224827889</v>
      </c>
      <c r="BQ4424" s="8">
        <v>-4499452.6631147247</v>
      </c>
      <c r="BR4424" s="8" t="str">
        <v>Yes</v>
      </c>
    </row>
    <row r="4425" spans="54:70" x14ac:dyDescent="0.2">
      <c r="BB4425" s="94"/>
      <c r="BL4425" s="8">
        <v>4376</v>
      </c>
      <c r="BM4425" s="8">
        <v>3142537.4928827453</v>
      </c>
      <c r="BN4425" s="8">
        <v>1265894.1291053044</v>
      </c>
      <c r="BO4425" s="8">
        <v>4408431.6219880497</v>
      </c>
      <c r="BP4425" s="8">
        <v>3301906.6948888623</v>
      </c>
      <c r="BQ4425" s="8">
        <v>-1106524.9270991874</v>
      </c>
      <c r="BR4425" s="8" t="str">
        <v>Yes</v>
      </c>
    </row>
    <row r="4426" spans="54:70" x14ac:dyDescent="0.2">
      <c r="BB4426" s="94"/>
      <c r="BL4426" s="8">
        <v>4377</v>
      </c>
      <c r="BM4426" s="8">
        <v>2576573.0189131545</v>
      </c>
      <c r="BN4426" s="8">
        <v>0</v>
      </c>
      <c r="BO4426" s="8">
        <v>2576573.0189131545</v>
      </c>
      <c r="BP4426" s="8">
        <v>3461724.7188416221</v>
      </c>
      <c r="BQ4426" s="8">
        <v>885151.69992846763</v>
      </c>
      <c r="BR4426" s="8" t="str">
        <v>No</v>
      </c>
    </row>
    <row r="4427" spans="54:70" x14ac:dyDescent="0.2">
      <c r="BB4427" s="94"/>
      <c r="BL4427" s="8">
        <v>4378</v>
      </c>
      <c r="BM4427" s="8">
        <v>2542905.6763934996</v>
      </c>
      <c r="BN4427" s="8">
        <v>0</v>
      </c>
      <c r="BO4427" s="8">
        <v>2542905.6763934996</v>
      </c>
      <c r="BP4427" s="8">
        <v>2288077.9939118773</v>
      </c>
      <c r="BQ4427" s="8">
        <v>-254827.68248162232</v>
      </c>
      <c r="BR4427" s="8" t="str">
        <v>Yes</v>
      </c>
    </row>
    <row r="4428" spans="54:70" x14ac:dyDescent="0.2">
      <c r="BB4428" s="94"/>
      <c r="BL4428" s="8">
        <v>4379</v>
      </c>
      <c r="BM4428" s="8">
        <v>2324511.8747572657</v>
      </c>
      <c r="BN4428" s="8">
        <v>0</v>
      </c>
      <c r="BO4428" s="8">
        <v>2324511.8747572657</v>
      </c>
      <c r="BP4428" s="8">
        <v>4018431.6391486172</v>
      </c>
      <c r="BQ4428" s="8">
        <v>1693919.7643913515</v>
      </c>
      <c r="BR4428" s="8" t="str">
        <v>No</v>
      </c>
    </row>
    <row r="4429" spans="54:70" x14ac:dyDescent="0.2">
      <c r="BB4429" s="94"/>
      <c r="BL4429" s="8">
        <v>4380</v>
      </c>
      <c r="BM4429" s="8">
        <v>4561268.4503102293</v>
      </c>
      <c r="BN4429" s="8">
        <v>3475605.3239964042</v>
      </c>
      <c r="BO4429" s="8">
        <v>8036873.7743066335</v>
      </c>
      <c r="BP4429" s="8">
        <v>3324453.2142708413</v>
      </c>
      <c r="BQ4429" s="8">
        <v>-4712420.5600357922</v>
      </c>
      <c r="BR4429" s="8" t="str">
        <v>Yes</v>
      </c>
    </row>
    <row r="4430" spans="54:70" x14ac:dyDescent="0.2">
      <c r="BB4430" s="94"/>
      <c r="BL4430" s="8">
        <v>4381</v>
      </c>
      <c r="BM4430" s="8">
        <v>2112099.3364679748</v>
      </c>
      <c r="BN4430" s="8">
        <v>1395727.6320467594</v>
      </c>
      <c r="BO4430" s="8">
        <v>3507826.9685147339</v>
      </c>
      <c r="BP4430" s="8">
        <v>4106184.6744820029</v>
      </c>
      <c r="BQ4430" s="8">
        <v>598357.70596726891</v>
      </c>
      <c r="BR4430" s="8" t="str">
        <v>No</v>
      </c>
    </row>
    <row r="4431" spans="54:70" x14ac:dyDescent="0.2">
      <c r="BB4431" s="94"/>
      <c r="BL4431" s="8">
        <v>4382</v>
      </c>
      <c r="BM4431" s="8">
        <v>11236551.308271578</v>
      </c>
      <c r="BN4431" s="8">
        <v>10090149.054082876</v>
      </c>
      <c r="BO4431" s="8">
        <v>21326700.362354454</v>
      </c>
      <c r="BP4431" s="8">
        <v>6650319.7834336851</v>
      </c>
      <c r="BQ4431" s="8">
        <v>-14676380.578920769</v>
      </c>
      <c r="BR4431" s="8" t="str">
        <v>Yes</v>
      </c>
    </row>
    <row r="4432" spans="54:70" x14ac:dyDescent="0.2">
      <c r="BB4432" s="94"/>
      <c r="BL4432" s="8">
        <v>4383</v>
      </c>
      <c r="BM4432" s="8">
        <v>2494404.9895784119</v>
      </c>
      <c r="BN4432" s="8">
        <v>0</v>
      </c>
      <c r="BO4432" s="8">
        <v>2494404.9895784119</v>
      </c>
      <c r="BP4432" s="8">
        <v>4476593.3869570084</v>
      </c>
      <c r="BQ4432" s="8">
        <v>1982188.3973785965</v>
      </c>
      <c r="BR4432" s="8" t="str">
        <v>No</v>
      </c>
    </row>
    <row r="4433" spans="54:70" x14ac:dyDescent="0.2">
      <c r="BB4433" s="94"/>
      <c r="BL4433" s="8">
        <v>4384</v>
      </c>
      <c r="BM4433" s="8">
        <v>9827330.5642151125</v>
      </c>
      <c r="BN4433" s="8">
        <v>11738901.850680884</v>
      </c>
      <c r="BO4433" s="8">
        <v>21566232.414895996</v>
      </c>
      <c r="BP4433" s="8">
        <v>4245886.9384066788</v>
      </c>
      <c r="BQ4433" s="8">
        <v>-17320345.476489317</v>
      </c>
      <c r="BR4433" s="8" t="str">
        <v>Yes</v>
      </c>
    </row>
    <row r="4434" spans="54:70" x14ac:dyDescent="0.2">
      <c r="BB4434" s="94"/>
      <c r="BL4434" s="8">
        <v>4385</v>
      </c>
      <c r="BM4434" s="8">
        <v>6308125.9358069077</v>
      </c>
      <c r="BN4434" s="8">
        <v>0</v>
      </c>
      <c r="BO4434" s="8">
        <v>6308125.9358069077</v>
      </c>
      <c r="BP4434" s="8">
        <v>2317869.7812729799</v>
      </c>
      <c r="BQ4434" s="8">
        <v>-3990256.1545339278</v>
      </c>
      <c r="BR4434" s="8" t="str">
        <v>Yes</v>
      </c>
    </row>
    <row r="4435" spans="54:70" x14ac:dyDescent="0.2">
      <c r="BB4435" s="94"/>
      <c r="BL4435" s="8">
        <v>4386</v>
      </c>
      <c r="BM4435" s="8">
        <v>7483147.1689081267</v>
      </c>
      <c r="BN4435" s="8">
        <v>0</v>
      </c>
      <c r="BO4435" s="8">
        <v>7483147.1689081267</v>
      </c>
      <c r="BP4435" s="8">
        <v>2242316.3117610873</v>
      </c>
      <c r="BQ4435" s="8">
        <v>-5240830.8571470398</v>
      </c>
      <c r="BR4435" s="8" t="str">
        <v>Yes</v>
      </c>
    </row>
    <row r="4436" spans="54:70" x14ac:dyDescent="0.2">
      <c r="BB4436" s="94"/>
      <c r="BL4436" s="8">
        <v>4387</v>
      </c>
      <c r="BM4436" s="8">
        <v>2601316.0897942684</v>
      </c>
      <c r="BN4436" s="8">
        <v>3892003.7323784921</v>
      </c>
      <c r="BO4436" s="8">
        <v>6493319.822172761</v>
      </c>
      <c r="BP4436" s="8">
        <v>3405135.9765952048</v>
      </c>
      <c r="BQ4436" s="8">
        <v>-3088183.8455775562</v>
      </c>
      <c r="BR4436" s="8" t="str">
        <v>Yes</v>
      </c>
    </row>
    <row r="4437" spans="54:70" x14ac:dyDescent="0.2">
      <c r="BB4437" s="94"/>
      <c r="BL4437" s="8">
        <v>4388</v>
      </c>
      <c r="BM4437" s="8">
        <v>5708053.9795759702</v>
      </c>
      <c r="BN4437" s="8">
        <v>0</v>
      </c>
      <c r="BO4437" s="8">
        <v>5708053.9795759702</v>
      </c>
      <c r="BP4437" s="8">
        <v>1977527.5304723815</v>
      </c>
      <c r="BQ4437" s="8">
        <v>-3730526.4491035887</v>
      </c>
      <c r="BR4437" s="8" t="str">
        <v>Yes</v>
      </c>
    </row>
    <row r="4438" spans="54:70" x14ac:dyDescent="0.2">
      <c r="BB4438" s="94"/>
      <c r="BL4438" s="8">
        <v>4389</v>
      </c>
      <c r="BM4438" s="8">
        <v>4982769.4201854542</v>
      </c>
      <c r="BN4438" s="8">
        <v>0</v>
      </c>
      <c r="BO4438" s="8">
        <v>4982769.4201854542</v>
      </c>
      <c r="BP4438" s="8">
        <v>2389293.1032733303</v>
      </c>
      <c r="BQ4438" s="8">
        <v>-2593476.3169121239</v>
      </c>
      <c r="BR4438" s="8" t="str">
        <v>Yes</v>
      </c>
    </row>
    <row r="4439" spans="54:70" x14ac:dyDescent="0.2">
      <c r="BB4439" s="94"/>
      <c r="BL4439" s="8">
        <v>4390</v>
      </c>
      <c r="BM4439" s="8">
        <v>7527947.7094267039</v>
      </c>
      <c r="BN4439" s="8">
        <v>0</v>
      </c>
      <c r="BO4439" s="8">
        <v>7527947.7094267039</v>
      </c>
      <c r="BP4439" s="8">
        <v>6252028.4524345668</v>
      </c>
      <c r="BQ4439" s="8">
        <v>-1275919.2569921371</v>
      </c>
      <c r="BR4439" s="8" t="str">
        <v>Yes</v>
      </c>
    </row>
    <row r="4440" spans="54:70" x14ac:dyDescent="0.2">
      <c r="BB4440" s="94"/>
      <c r="BL4440" s="8">
        <v>4391</v>
      </c>
      <c r="BM4440" s="8">
        <v>2121321.7415382504</v>
      </c>
      <c r="BN4440" s="8">
        <v>0</v>
      </c>
      <c r="BO4440" s="8">
        <v>2121321.7415382504</v>
      </c>
      <c r="BP4440" s="8">
        <v>3549793.2424246501</v>
      </c>
      <c r="BQ4440" s="8">
        <v>1428471.5008863998</v>
      </c>
      <c r="BR4440" s="8" t="str">
        <v>No</v>
      </c>
    </row>
    <row r="4441" spans="54:70" x14ac:dyDescent="0.2">
      <c r="BB4441" s="94"/>
      <c r="BL4441" s="8">
        <v>4392</v>
      </c>
      <c r="BM4441" s="8">
        <v>5440066.4184730686</v>
      </c>
      <c r="BN4441" s="8">
        <v>0</v>
      </c>
      <c r="BO4441" s="8">
        <v>5440066.4184730686</v>
      </c>
      <c r="BP4441" s="8">
        <v>4110632.9138069702</v>
      </c>
      <c r="BQ4441" s="8">
        <v>-1329433.5046660984</v>
      </c>
      <c r="BR4441" s="8" t="str">
        <v>Yes</v>
      </c>
    </row>
    <row r="4442" spans="54:70" x14ac:dyDescent="0.2">
      <c r="BB4442" s="94"/>
      <c r="BL4442" s="8">
        <v>4393</v>
      </c>
      <c r="BM4442" s="8">
        <v>9201428.0175080597</v>
      </c>
      <c r="BN4442" s="8">
        <v>10084107.947231976</v>
      </c>
      <c r="BO4442" s="8">
        <v>19285535.964740038</v>
      </c>
      <c r="BP4442" s="8">
        <v>3265388.7639775397</v>
      </c>
      <c r="BQ4442" s="8">
        <v>-16020147.200762499</v>
      </c>
      <c r="BR4442" s="8" t="str">
        <v>Yes</v>
      </c>
    </row>
    <row r="4443" spans="54:70" x14ac:dyDescent="0.2">
      <c r="BB4443" s="94"/>
      <c r="BL4443" s="8">
        <v>4394</v>
      </c>
      <c r="BM4443" s="8">
        <v>2778926.0215450283</v>
      </c>
      <c r="BN4443" s="8">
        <v>0</v>
      </c>
      <c r="BO4443" s="8">
        <v>2778926.0215450283</v>
      </c>
      <c r="BP4443" s="8">
        <v>4584439.2016555881</v>
      </c>
      <c r="BQ4443" s="8">
        <v>1805513.1801105598</v>
      </c>
      <c r="BR4443" s="8" t="str">
        <v>No</v>
      </c>
    </row>
    <row r="4444" spans="54:70" x14ac:dyDescent="0.2">
      <c r="BB4444" s="94"/>
      <c r="BL4444" s="8">
        <v>4395</v>
      </c>
      <c r="BM4444" s="8">
        <v>1968497.2018191728</v>
      </c>
      <c r="BN4444" s="8">
        <v>1725811.30612671</v>
      </c>
      <c r="BO4444" s="8">
        <v>3694308.5079458831</v>
      </c>
      <c r="BP4444" s="8">
        <v>2247974.9923019335</v>
      </c>
      <c r="BQ4444" s="8">
        <v>-1446333.5156439496</v>
      </c>
      <c r="BR4444" s="8" t="str">
        <v>Yes</v>
      </c>
    </row>
    <row r="4445" spans="54:70" x14ac:dyDescent="0.2">
      <c r="BB4445" s="94"/>
      <c r="BL4445" s="8">
        <v>4396</v>
      </c>
      <c r="BM4445" s="8">
        <v>5438707.1875354704</v>
      </c>
      <c r="BN4445" s="8">
        <v>0</v>
      </c>
      <c r="BO4445" s="8">
        <v>5438707.1875354704</v>
      </c>
      <c r="BP4445" s="8">
        <v>6759051.9901885372</v>
      </c>
      <c r="BQ4445" s="8">
        <v>1320344.8026530668</v>
      </c>
      <c r="BR4445" s="8" t="str">
        <v>No</v>
      </c>
    </row>
    <row r="4446" spans="54:70" x14ac:dyDescent="0.2">
      <c r="BB4446" s="94"/>
      <c r="BL4446" s="8">
        <v>4397</v>
      </c>
      <c r="BM4446" s="8">
        <v>10162303.309313962</v>
      </c>
      <c r="BN4446" s="8">
        <v>0</v>
      </c>
      <c r="BO4446" s="8">
        <v>10162303.309313962</v>
      </c>
      <c r="BP4446" s="8">
        <v>3548986.8392230719</v>
      </c>
      <c r="BQ4446" s="8">
        <v>-6613316.4700908903</v>
      </c>
      <c r="BR4446" s="8" t="str">
        <v>Yes</v>
      </c>
    </row>
    <row r="4447" spans="54:70" x14ac:dyDescent="0.2">
      <c r="BB4447" s="94"/>
      <c r="BL4447" s="8">
        <v>4398</v>
      </c>
      <c r="BM4447" s="8">
        <v>3331886.6313203191</v>
      </c>
      <c r="BN4447" s="8">
        <v>3731156.3374864059</v>
      </c>
      <c r="BO4447" s="8">
        <v>7063042.968806725</v>
      </c>
      <c r="BP4447" s="8">
        <v>3339139.6704694158</v>
      </c>
      <c r="BQ4447" s="8">
        <v>-3723903.2983373092</v>
      </c>
      <c r="BR4447" s="8" t="str">
        <v>Yes</v>
      </c>
    </row>
    <row r="4448" spans="54:70" x14ac:dyDescent="0.2">
      <c r="BB4448" s="94"/>
      <c r="BL4448" s="8">
        <v>4399</v>
      </c>
      <c r="BM4448" s="8">
        <v>4142214.3933390696</v>
      </c>
      <c r="BN4448" s="8">
        <v>0</v>
      </c>
      <c r="BO4448" s="8">
        <v>4142214.3933390696</v>
      </c>
      <c r="BP4448" s="8">
        <v>6312771.1657634741</v>
      </c>
      <c r="BQ4448" s="8">
        <v>2170556.7724244045</v>
      </c>
      <c r="BR4448" s="8" t="str">
        <v>No</v>
      </c>
    </row>
    <row r="4449" spans="54:70" x14ac:dyDescent="0.2">
      <c r="BB4449" s="94"/>
      <c r="BL4449" s="8">
        <v>4400</v>
      </c>
      <c r="BM4449" s="8">
        <v>4292362.0934687695</v>
      </c>
      <c r="BN4449" s="8">
        <v>0</v>
      </c>
      <c r="BO4449" s="8">
        <v>4292362.0934687695</v>
      </c>
      <c r="BP4449" s="8">
        <v>6010177.4519562442</v>
      </c>
      <c r="BQ4449" s="8">
        <v>1717815.3584874747</v>
      </c>
      <c r="BR4449" s="8" t="str">
        <v>No</v>
      </c>
    </row>
    <row r="4450" spans="54:70" x14ac:dyDescent="0.2">
      <c r="BB4450" s="94"/>
      <c r="BL4450" s="8">
        <v>4401</v>
      </c>
      <c r="BM4450" s="8">
        <v>3875976.5008348217</v>
      </c>
      <c r="BN4450" s="8">
        <v>5012083.8049748857</v>
      </c>
      <c r="BO4450" s="8">
        <v>8888060.3058097064</v>
      </c>
      <c r="BP4450" s="8">
        <v>4588511.6840423914</v>
      </c>
      <c r="BQ4450" s="8">
        <v>-4299548.6217673151</v>
      </c>
      <c r="BR4450" s="8" t="str">
        <v>Yes</v>
      </c>
    </row>
    <row r="4451" spans="54:70" x14ac:dyDescent="0.2">
      <c r="BB4451" s="94"/>
      <c r="BL4451" s="8">
        <v>4402</v>
      </c>
      <c r="BM4451" s="8">
        <v>5429791.3429022375</v>
      </c>
      <c r="BN4451" s="8">
        <v>0</v>
      </c>
      <c r="BO4451" s="8">
        <v>5429791.3429022375</v>
      </c>
      <c r="BP4451" s="8">
        <v>5845777.9433116503</v>
      </c>
      <c r="BQ4451" s="8">
        <v>415986.60040941276</v>
      </c>
      <c r="BR4451" s="8" t="str">
        <v>No</v>
      </c>
    </row>
    <row r="4452" spans="54:70" x14ac:dyDescent="0.2">
      <c r="BB4452" s="94"/>
      <c r="BL4452" s="8">
        <v>4403</v>
      </c>
      <c r="BM4452" s="8">
        <v>18183844.914975531</v>
      </c>
      <c r="BN4452" s="8">
        <v>10651840.659791492</v>
      </c>
      <c r="BO4452" s="8">
        <v>28835685.574767023</v>
      </c>
      <c r="BP4452" s="8">
        <v>6599683.5345254317</v>
      </c>
      <c r="BQ4452" s="8">
        <v>-22236002.040241592</v>
      </c>
      <c r="BR4452" s="8" t="str">
        <v>Yes</v>
      </c>
    </row>
    <row r="4453" spans="54:70" x14ac:dyDescent="0.2">
      <c r="BB4453" s="94"/>
      <c r="BL4453" s="8">
        <v>4404</v>
      </c>
      <c r="BM4453" s="8">
        <v>4043174.6695737578</v>
      </c>
      <c r="BN4453" s="8">
        <v>3640184.6695301905</v>
      </c>
      <c r="BO4453" s="8">
        <v>7683359.3391039483</v>
      </c>
      <c r="BP4453" s="8">
        <v>4308037.6816749666</v>
      </c>
      <c r="BQ4453" s="8">
        <v>-3375321.6574289817</v>
      </c>
      <c r="BR4453" s="8" t="str">
        <v>Yes</v>
      </c>
    </row>
    <row r="4454" spans="54:70" x14ac:dyDescent="0.2">
      <c r="BB4454" s="94"/>
      <c r="BL4454" s="8">
        <v>4405</v>
      </c>
      <c r="BM4454" s="8">
        <v>5678782.1529904539</v>
      </c>
      <c r="BN4454" s="8">
        <v>4725260.1916051498</v>
      </c>
      <c r="BO4454" s="8">
        <v>10404042.344595604</v>
      </c>
      <c r="BP4454" s="8">
        <v>4099266.8072696645</v>
      </c>
      <c r="BQ4454" s="8">
        <v>-6304775.5373259392</v>
      </c>
      <c r="BR4454" s="8" t="str">
        <v>Yes</v>
      </c>
    </row>
    <row r="4455" spans="54:70" x14ac:dyDescent="0.2">
      <c r="BB4455" s="94"/>
      <c r="BL4455" s="8">
        <v>4406</v>
      </c>
      <c r="BM4455" s="8">
        <v>2463378.1099919844</v>
      </c>
      <c r="BN4455" s="8">
        <v>1087620.7646756023</v>
      </c>
      <c r="BO4455" s="8">
        <v>3550998.8746675868</v>
      </c>
      <c r="BP4455" s="8">
        <v>5843455.9669997217</v>
      </c>
      <c r="BQ4455" s="8">
        <v>2292457.092332135</v>
      </c>
      <c r="BR4455" s="8" t="str">
        <v>No</v>
      </c>
    </row>
    <row r="4456" spans="54:70" x14ac:dyDescent="0.2">
      <c r="BB4456" s="94"/>
      <c r="BL4456" s="8">
        <v>4407</v>
      </c>
      <c r="BM4456" s="8">
        <v>4938432.4645696115</v>
      </c>
      <c r="BN4456" s="8">
        <v>4362073.6936493069</v>
      </c>
      <c r="BO4456" s="8">
        <v>9300506.1582189184</v>
      </c>
      <c r="BP4456" s="8">
        <v>2272238.1631504404</v>
      </c>
      <c r="BQ4456" s="8">
        <v>-7028267.9950684775</v>
      </c>
      <c r="BR4456" s="8" t="str">
        <v>Yes</v>
      </c>
    </row>
    <row r="4457" spans="54:70" x14ac:dyDescent="0.2">
      <c r="BB4457" s="94"/>
      <c r="BL4457" s="8">
        <v>4408</v>
      </c>
      <c r="BM4457" s="8">
        <v>6101946.5578379799</v>
      </c>
      <c r="BN4457" s="8">
        <v>0</v>
      </c>
      <c r="BO4457" s="8">
        <v>6101946.5578379799</v>
      </c>
      <c r="BP4457" s="8">
        <v>3094333.59130794</v>
      </c>
      <c r="BQ4457" s="8">
        <v>-3007612.9665300399</v>
      </c>
      <c r="BR4457" s="8" t="str">
        <v>Yes</v>
      </c>
    </row>
    <row r="4458" spans="54:70" x14ac:dyDescent="0.2">
      <c r="BB4458" s="94"/>
      <c r="BL4458" s="8">
        <v>4409</v>
      </c>
      <c r="BM4458" s="8">
        <v>3894401.3332660859</v>
      </c>
      <c r="BN4458" s="8">
        <v>2937472.3516446454</v>
      </c>
      <c r="BO4458" s="8">
        <v>6831873.6849107314</v>
      </c>
      <c r="BP4458" s="8">
        <v>3328911.586717166</v>
      </c>
      <c r="BQ4458" s="8">
        <v>-3502962.0981935654</v>
      </c>
      <c r="BR4458" s="8" t="str">
        <v>Yes</v>
      </c>
    </row>
    <row r="4459" spans="54:70" x14ac:dyDescent="0.2">
      <c r="BB4459" s="94"/>
      <c r="BL4459" s="8">
        <v>4410</v>
      </c>
      <c r="BM4459" s="8">
        <v>3842529.4049893953</v>
      </c>
      <c r="BN4459" s="8">
        <v>0</v>
      </c>
      <c r="BO4459" s="8">
        <v>3842529.4049893953</v>
      </c>
      <c r="BP4459" s="8">
        <v>5814798.8714905698</v>
      </c>
      <c r="BQ4459" s="8">
        <v>1972269.4665011745</v>
      </c>
      <c r="BR4459" s="8" t="str">
        <v>No</v>
      </c>
    </row>
    <row r="4460" spans="54:70" x14ac:dyDescent="0.2">
      <c r="BB4460" s="94"/>
      <c r="BL4460" s="8">
        <v>4411</v>
      </c>
      <c r="BM4460" s="8">
        <v>4064298.0535836406</v>
      </c>
      <c r="BN4460" s="8">
        <v>1285307.9103484876</v>
      </c>
      <c r="BO4460" s="8">
        <v>5349605.9639321286</v>
      </c>
      <c r="BP4460" s="8">
        <v>4282724.414620446</v>
      </c>
      <c r="BQ4460" s="8">
        <v>-1066881.5493116826</v>
      </c>
      <c r="BR4460" s="8" t="str">
        <v>Yes</v>
      </c>
    </row>
    <row r="4461" spans="54:70" x14ac:dyDescent="0.2">
      <c r="BB4461" s="94"/>
      <c r="BL4461" s="8">
        <v>4412</v>
      </c>
      <c r="BM4461" s="8">
        <v>4323547.3432810791</v>
      </c>
      <c r="BN4461" s="8">
        <v>0</v>
      </c>
      <c r="BO4461" s="8">
        <v>4323547.3432810791</v>
      </c>
      <c r="BP4461" s="8">
        <v>3857376.0469163149</v>
      </c>
      <c r="BQ4461" s="8">
        <v>-466171.29636476422</v>
      </c>
      <c r="BR4461" s="8" t="str">
        <v>Yes</v>
      </c>
    </row>
    <row r="4462" spans="54:70" x14ac:dyDescent="0.2">
      <c r="BB4462" s="94"/>
      <c r="BL4462" s="8">
        <v>4413</v>
      </c>
      <c r="BM4462" s="8">
        <v>1939256.387206478</v>
      </c>
      <c r="BN4462" s="8">
        <v>0</v>
      </c>
      <c r="BO4462" s="8">
        <v>1939256.387206478</v>
      </c>
      <c r="BP4462" s="8">
        <v>5791391.4984482285</v>
      </c>
      <c r="BQ4462" s="8">
        <v>3852135.1112417504</v>
      </c>
      <c r="BR4462" s="8" t="str">
        <v>No</v>
      </c>
    </row>
    <row r="4463" spans="54:70" x14ac:dyDescent="0.2">
      <c r="BB4463" s="94"/>
      <c r="BL4463" s="8">
        <v>4414</v>
      </c>
      <c r="BM4463" s="8">
        <v>5290322.2591163265</v>
      </c>
      <c r="BN4463" s="8">
        <v>0</v>
      </c>
      <c r="BO4463" s="8">
        <v>5290322.2591163265</v>
      </c>
      <c r="BP4463" s="8">
        <v>4101187.0027626343</v>
      </c>
      <c r="BQ4463" s="8">
        <v>-1189135.2563536922</v>
      </c>
      <c r="BR4463" s="8" t="str">
        <v>Yes</v>
      </c>
    </row>
    <row r="4464" spans="54:70" x14ac:dyDescent="0.2">
      <c r="BB4464" s="94"/>
      <c r="BL4464" s="8">
        <v>4415</v>
      </c>
      <c r="BM4464" s="8">
        <v>7720512.9246613542</v>
      </c>
      <c r="BN4464" s="8">
        <v>0</v>
      </c>
      <c r="BO4464" s="8">
        <v>7720512.9246613542</v>
      </c>
      <c r="BP4464" s="8">
        <v>6290867.9963671183</v>
      </c>
      <c r="BQ4464" s="8">
        <v>-1429644.9282942358</v>
      </c>
      <c r="BR4464" s="8" t="str">
        <v>Yes</v>
      </c>
    </row>
    <row r="4465" spans="54:70" x14ac:dyDescent="0.2">
      <c r="BB4465" s="94"/>
      <c r="BL4465" s="8">
        <v>4416</v>
      </c>
      <c r="BM4465" s="8">
        <v>5165317.5840310901</v>
      </c>
      <c r="BN4465" s="8">
        <v>5963090.834615374</v>
      </c>
      <c r="BO4465" s="8">
        <v>11128408.418646464</v>
      </c>
      <c r="BP4465" s="8">
        <v>3737355.2274237196</v>
      </c>
      <c r="BQ4465" s="8">
        <v>-7391053.1912227441</v>
      </c>
      <c r="BR4465" s="8" t="str">
        <v>Yes</v>
      </c>
    </row>
    <row r="4466" spans="54:70" x14ac:dyDescent="0.2">
      <c r="BB4466" s="94"/>
      <c r="BL4466" s="8">
        <v>4417</v>
      </c>
      <c r="BM4466" s="8">
        <v>5154874.7129594488</v>
      </c>
      <c r="BN4466" s="8">
        <v>3672381.4639444221</v>
      </c>
      <c r="BO4466" s="8">
        <v>8827256.17690387</v>
      </c>
      <c r="BP4466" s="8">
        <v>2266227.777204819</v>
      </c>
      <c r="BQ4466" s="8">
        <v>-6561028.3996990509</v>
      </c>
      <c r="BR4466" s="8" t="str">
        <v>Yes</v>
      </c>
    </row>
    <row r="4467" spans="54:70" x14ac:dyDescent="0.2">
      <c r="BB4467" s="94"/>
      <c r="BL4467" s="8">
        <v>4418</v>
      </c>
      <c r="BM4467" s="8">
        <v>7306157.7900947556</v>
      </c>
      <c r="BN4467" s="8">
        <v>6861938.3128777593</v>
      </c>
      <c r="BO4467" s="8">
        <v>14168096.102972515</v>
      </c>
      <c r="BP4467" s="8">
        <v>2542442.0967952926</v>
      </c>
      <c r="BQ4467" s="8">
        <v>-11625654.006177222</v>
      </c>
      <c r="BR4467" s="8" t="str">
        <v>Yes</v>
      </c>
    </row>
    <row r="4468" spans="54:70" x14ac:dyDescent="0.2">
      <c r="BB4468" s="94"/>
      <c r="BL4468" s="8">
        <v>4419</v>
      </c>
      <c r="BM4468" s="8">
        <v>11881280.946511894</v>
      </c>
      <c r="BN4468" s="8">
        <v>11460302.990878161</v>
      </c>
      <c r="BO4468" s="8">
        <v>23341583.937390056</v>
      </c>
      <c r="BP4468" s="8">
        <v>4177130.31495655</v>
      </c>
      <c r="BQ4468" s="8">
        <v>-19164453.622433506</v>
      </c>
      <c r="BR4468" s="8" t="str">
        <v>Yes</v>
      </c>
    </row>
    <row r="4469" spans="54:70" x14ac:dyDescent="0.2">
      <c r="BB4469" s="94"/>
      <c r="BL4469" s="8">
        <v>4420</v>
      </c>
      <c r="BM4469" s="8">
        <v>2959997.3963918881</v>
      </c>
      <c r="BN4469" s="8">
        <v>0</v>
      </c>
      <c r="BO4469" s="8">
        <v>2959997.3963918881</v>
      </c>
      <c r="BP4469" s="8">
        <v>4063865.5617255983</v>
      </c>
      <c r="BQ4469" s="8">
        <v>1103868.1653337101</v>
      </c>
      <c r="BR4469" s="8" t="str">
        <v>No</v>
      </c>
    </row>
    <row r="4470" spans="54:70" x14ac:dyDescent="0.2">
      <c r="BB4470" s="94"/>
      <c r="BL4470" s="8">
        <v>4421</v>
      </c>
      <c r="BM4470" s="8">
        <v>3435004.6751090288</v>
      </c>
      <c r="BN4470" s="8">
        <v>0</v>
      </c>
      <c r="BO4470" s="8">
        <v>3435004.6751090288</v>
      </c>
      <c r="BP4470" s="8">
        <v>3069232.5391657231</v>
      </c>
      <c r="BQ4470" s="8">
        <v>-365772.13594330568</v>
      </c>
      <c r="BR4470" s="8" t="str">
        <v>Yes</v>
      </c>
    </row>
    <row r="4471" spans="54:70" x14ac:dyDescent="0.2">
      <c r="BB4471" s="94"/>
      <c r="BL4471" s="8">
        <v>4422</v>
      </c>
      <c r="BM4471" s="8">
        <v>4018600.4684503423</v>
      </c>
      <c r="BN4471" s="8">
        <v>0</v>
      </c>
      <c r="BO4471" s="8">
        <v>4018600.4684503423</v>
      </c>
      <c r="BP4471" s="8">
        <v>6512282.8407432986</v>
      </c>
      <c r="BQ4471" s="8">
        <v>2493682.3722929563</v>
      </c>
      <c r="BR4471" s="8" t="str">
        <v>No</v>
      </c>
    </row>
    <row r="4472" spans="54:70" x14ac:dyDescent="0.2">
      <c r="BB4472" s="94"/>
      <c r="BL4472" s="8">
        <v>4423</v>
      </c>
      <c r="BM4472" s="8">
        <v>3151004.8312538438</v>
      </c>
      <c r="BN4472" s="8">
        <v>0</v>
      </c>
      <c r="BO4472" s="8">
        <v>3151004.8312538438</v>
      </c>
      <c r="BP4472" s="8">
        <v>3402509.9040707699</v>
      </c>
      <c r="BQ4472" s="8">
        <v>251505.07281692605</v>
      </c>
      <c r="BR4472" s="8" t="str">
        <v>No</v>
      </c>
    </row>
    <row r="4473" spans="54:70" x14ac:dyDescent="0.2">
      <c r="BB4473" s="94"/>
      <c r="BL4473" s="8">
        <v>4424</v>
      </c>
      <c r="BM4473" s="8">
        <v>4400134.8739034534</v>
      </c>
      <c r="BN4473" s="8">
        <v>0</v>
      </c>
      <c r="BO4473" s="8">
        <v>4400134.8739034534</v>
      </c>
      <c r="BP4473" s="8">
        <v>2256853.2025938882</v>
      </c>
      <c r="BQ4473" s="8">
        <v>-2143281.6713095652</v>
      </c>
      <c r="BR4473" s="8" t="str">
        <v>Yes</v>
      </c>
    </row>
    <row r="4474" spans="54:70" x14ac:dyDescent="0.2">
      <c r="BB4474" s="94"/>
      <c r="BL4474" s="8">
        <v>4425</v>
      </c>
      <c r="BM4474" s="8">
        <v>4547747.8047195515</v>
      </c>
      <c r="BN4474" s="8">
        <v>0</v>
      </c>
      <c r="BO4474" s="8">
        <v>4547747.8047195515</v>
      </c>
      <c r="BP4474" s="8">
        <v>2305337.2619823623</v>
      </c>
      <c r="BQ4474" s="8">
        <v>-2242410.5427371892</v>
      </c>
      <c r="BR4474" s="8" t="str">
        <v>Yes</v>
      </c>
    </row>
    <row r="4475" spans="54:70" x14ac:dyDescent="0.2">
      <c r="BB4475" s="94"/>
      <c r="BL4475" s="8">
        <v>4426</v>
      </c>
      <c r="BM4475" s="8">
        <v>4613502.2698521987</v>
      </c>
      <c r="BN4475" s="8">
        <v>0</v>
      </c>
      <c r="BO4475" s="8">
        <v>4613502.2698521987</v>
      </c>
      <c r="BP4475" s="8">
        <v>2488859.0646096081</v>
      </c>
      <c r="BQ4475" s="8">
        <v>-2124643.2052425905</v>
      </c>
      <c r="BR4475" s="8" t="str">
        <v>Yes</v>
      </c>
    </row>
    <row r="4476" spans="54:70" x14ac:dyDescent="0.2">
      <c r="BB4476" s="94"/>
      <c r="BL4476" s="8">
        <v>4427</v>
      </c>
      <c r="BM4476" s="8">
        <v>3618162.9471965134</v>
      </c>
      <c r="BN4476" s="8">
        <v>0</v>
      </c>
      <c r="BO4476" s="8">
        <v>3618162.9471965134</v>
      </c>
      <c r="BP4476" s="8">
        <v>2236648.0516315456</v>
      </c>
      <c r="BQ4476" s="8">
        <v>-1381514.8955649678</v>
      </c>
      <c r="BR4476" s="8" t="str">
        <v>Yes</v>
      </c>
    </row>
    <row r="4477" spans="54:70" x14ac:dyDescent="0.2">
      <c r="BB4477" s="94"/>
      <c r="BL4477" s="8">
        <v>4428</v>
      </c>
      <c r="BM4477" s="8">
        <v>4112548.8881737674</v>
      </c>
      <c r="BN4477" s="8">
        <v>0</v>
      </c>
      <c r="BO4477" s="8">
        <v>4112548.8881737674</v>
      </c>
      <c r="BP4477" s="8">
        <v>4219544.619895881</v>
      </c>
      <c r="BQ4477" s="8">
        <v>106995.73172211368</v>
      </c>
      <c r="BR4477" s="8" t="str">
        <v>No</v>
      </c>
    </row>
    <row r="4478" spans="54:70" x14ac:dyDescent="0.2">
      <c r="BB4478" s="94"/>
      <c r="BL4478" s="8">
        <v>4429</v>
      </c>
      <c r="BM4478" s="8">
        <v>6932228.7416211255</v>
      </c>
      <c r="BN4478" s="8">
        <v>0</v>
      </c>
      <c r="BO4478" s="8">
        <v>6932228.7416211255</v>
      </c>
      <c r="BP4478" s="8">
        <v>2261619.5521197561</v>
      </c>
      <c r="BQ4478" s="8">
        <v>-4670609.1895013694</v>
      </c>
      <c r="BR4478" s="8" t="str">
        <v>Yes</v>
      </c>
    </row>
    <row r="4479" spans="54:70" x14ac:dyDescent="0.2">
      <c r="BB4479" s="94"/>
      <c r="BL4479" s="8">
        <v>4430</v>
      </c>
      <c r="BM4479" s="8">
        <v>6098021.6266727895</v>
      </c>
      <c r="BN4479" s="8">
        <v>0</v>
      </c>
      <c r="BO4479" s="8">
        <v>6098021.6266727895</v>
      </c>
      <c r="BP4479" s="8">
        <v>2219187.2929970017</v>
      </c>
      <c r="BQ4479" s="8">
        <v>-3878834.3336757878</v>
      </c>
      <c r="BR4479" s="8" t="str">
        <v>Yes</v>
      </c>
    </row>
    <row r="4480" spans="54:70" x14ac:dyDescent="0.2">
      <c r="BB4480" s="94"/>
      <c r="BL4480" s="8">
        <v>4431</v>
      </c>
      <c r="BM4480" s="8">
        <v>5794970.60297482</v>
      </c>
      <c r="BN4480" s="8">
        <v>0</v>
      </c>
      <c r="BO4480" s="8">
        <v>5794970.60297482</v>
      </c>
      <c r="BP4480" s="8">
        <v>4253964.1057107979</v>
      </c>
      <c r="BQ4480" s="8">
        <v>-1541006.497264022</v>
      </c>
      <c r="BR4480" s="8" t="str">
        <v>Yes</v>
      </c>
    </row>
    <row r="4481" spans="54:70" x14ac:dyDescent="0.2">
      <c r="BB4481" s="94"/>
      <c r="BL4481" s="8">
        <v>4432</v>
      </c>
      <c r="BM4481" s="8">
        <v>3914449.3365776623</v>
      </c>
      <c r="BN4481" s="8">
        <v>0</v>
      </c>
      <c r="BO4481" s="8">
        <v>3914449.3365776623</v>
      </c>
      <c r="BP4481" s="8">
        <v>4177264.2993106567</v>
      </c>
      <c r="BQ4481" s="8">
        <v>262814.96273299446</v>
      </c>
      <c r="BR4481" s="8" t="str">
        <v>No</v>
      </c>
    </row>
    <row r="4482" spans="54:70" x14ac:dyDescent="0.2">
      <c r="BB4482" s="94"/>
      <c r="BL4482" s="8">
        <v>4433</v>
      </c>
      <c r="BM4482" s="8">
        <v>2700228.6471051062</v>
      </c>
      <c r="BN4482" s="8">
        <v>0</v>
      </c>
      <c r="BO4482" s="8">
        <v>2700228.6471051062</v>
      </c>
      <c r="BP4482" s="8">
        <v>3437282.433440356</v>
      </c>
      <c r="BQ4482" s="8">
        <v>737053.7863352499</v>
      </c>
      <c r="BR4482" s="8" t="str">
        <v>No</v>
      </c>
    </row>
    <row r="4483" spans="54:70" x14ac:dyDescent="0.2">
      <c r="BB4483" s="94"/>
      <c r="BL4483" s="8">
        <v>4434</v>
      </c>
      <c r="BM4483" s="8">
        <v>3004522.7152017034</v>
      </c>
      <c r="BN4483" s="8">
        <v>1366096.222523673</v>
      </c>
      <c r="BO4483" s="8">
        <v>4370618.9377253763</v>
      </c>
      <c r="BP4483" s="8">
        <v>6390480.4270699145</v>
      </c>
      <c r="BQ4483" s="8">
        <v>2019861.4893445382</v>
      </c>
      <c r="BR4483" s="8" t="str">
        <v>No</v>
      </c>
    </row>
    <row r="4484" spans="54:70" x14ac:dyDescent="0.2">
      <c r="BB4484" s="94"/>
      <c r="BL4484" s="8">
        <v>4435</v>
      </c>
      <c r="BM4484" s="8">
        <v>4760750.472109776</v>
      </c>
      <c r="BN4484" s="8">
        <v>5334115.8372034468</v>
      </c>
      <c r="BO4484" s="8">
        <v>10094866.309313223</v>
      </c>
      <c r="BP4484" s="8">
        <v>4015022.2345763808</v>
      </c>
      <c r="BQ4484" s="8">
        <v>-6079844.074736842</v>
      </c>
      <c r="BR4484" s="8" t="str">
        <v>Yes</v>
      </c>
    </row>
    <row r="4485" spans="54:70" x14ac:dyDescent="0.2">
      <c r="BB4485" s="94"/>
      <c r="BL4485" s="8">
        <v>4436</v>
      </c>
      <c r="BM4485" s="8">
        <v>2850271.2209717557</v>
      </c>
      <c r="BN4485" s="8">
        <v>0</v>
      </c>
      <c r="BO4485" s="8">
        <v>2850271.2209717557</v>
      </c>
      <c r="BP4485" s="8">
        <v>3410611.7603953769</v>
      </c>
      <c r="BQ4485" s="8">
        <v>560340.53942362126</v>
      </c>
      <c r="BR4485" s="8" t="str">
        <v>No</v>
      </c>
    </row>
    <row r="4486" spans="54:70" x14ac:dyDescent="0.2">
      <c r="BB4486" s="94"/>
      <c r="BL4486" s="8">
        <v>4437</v>
      </c>
      <c r="BM4486" s="8">
        <v>5563543.9188146275</v>
      </c>
      <c r="BN4486" s="8">
        <v>0</v>
      </c>
      <c r="BO4486" s="8">
        <v>5563543.9188146275</v>
      </c>
      <c r="BP4486" s="8">
        <v>2244044.0051273741</v>
      </c>
      <c r="BQ4486" s="8">
        <v>-3319499.9136872534</v>
      </c>
      <c r="BR4486" s="8" t="str">
        <v>Yes</v>
      </c>
    </row>
    <row r="4487" spans="54:70" x14ac:dyDescent="0.2">
      <c r="BB4487" s="94"/>
      <c r="BL4487" s="8">
        <v>4438</v>
      </c>
      <c r="BM4487" s="8">
        <v>5493656.7890270622</v>
      </c>
      <c r="BN4487" s="8">
        <v>0</v>
      </c>
      <c r="BO4487" s="8">
        <v>5493656.7890270622</v>
      </c>
      <c r="BP4487" s="8">
        <v>4319772.3279565834</v>
      </c>
      <c r="BQ4487" s="8">
        <v>-1173884.4610704789</v>
      </c>
      <c r="BR4487" s="8" t="str">
        <v>Yes</v>
      </c>
    </row>
    <row r="4488" spans="54:70" x14ac:dyDescent="0.2">
      <c r="BB4488" s="94"/>
      <c r="BL4488" s="8">
        <v>4439</v>
      </c>
      <c r="BM4488" s="8">
        <v>3436626.4253796916</v>
      </c>
      <c r="BN4488" s="8">
        <v>0</v>
      </c>
      <c r="BO4488" s="8">
        <v>3436626.4253796916</v>
      </c>
      <c r="BP4488" s="8">
        <v>3389657.1069309195</v>
      </c>
      <c r="BQ4488" s="8">
        <v>-46969.318448772188</v>
      </c>
      <c r="BR4488" s="8" t="str">
        <v>Yes</v>
      </c>
    </row>
    <row r="4489" spans="54:70" x14ac:dyDescent="0.2">
      <c r="BB4489" s="94"/>
      <c r="BL4489" s="8">
        <v>4440</v>
      </c>
      <c r="BM4489" s="8">
        <v>3771067.8573502898</v>
      </c>
      <c r="BN4489" s="8">
        <v>1146312.8675077381</v>
      </c>
      <c r="BO4489" s="8">
        <v>4917380.7248580279</v>
      </c>
      <c r="BP4489" s="8">
        <v>5908114.0252258917</v>
      </c>
      <c r="BQ4489" s="8">
        <v>990733.30036786385</v>
      </c>
      <c r="BR4489" s="8" t="str">
        <v>No</v>
      </c>
    </row>
    <row r="4490" spans="54:70" x14ac:dyDescent="0.2">
      <c r="BB4490" s="94"/>
      <c r="BL4490" s="8">
        <v>4441</v>
      </c>
      <c r="BM4490" s="8">
        <v>2131547.9332141313</v>
      </c>
      <c r="BN4490" s="8">
        <v>0</v>
      </c>
      <c r="BO4490" s="8">
        <v>2131547.9332141313</v>
      </c>
      <c r="BP4490" s="8">
        <v>3385874.386828321</v>
      </c>
      <c r="BQ4490" s="8">
        <v>1254326.4536141898</v>
      </c>
      <c r="BR4490" s="8" t="str">
        <v>No</v>
      </c>
    </row>
    <row r="4491" spans="54:70" x14ac:dyDescent="0.2">
      <c r="BB4491" s="94"/>
      <c r="BL4491" s="8">
        <v>4442</v>
      </c>
      <c r="BM4491" s="8">
        <v>5972204.1366295451</v>
      </c>
      <c r="BN4491" s="8">
        <v>0</v>
      </c>
      <c r="BO4491" s="8">
        <v>5972204.1366295451</v>
      </c>
      <c r="BP4491" s="8">
        <v>2342540.3268018295</v>
      </c>
      <c r="BQ4491" s="8">
        <v>-3629663.8098277156</v>
      </c>
      <c r="BR4491" s="8" t="str">
        <v>Yes</v>
      </c>
    </row>
    <row r="4492" spans="54:70" x14ac:dyDescent="0.2">
      <c r="BB4492" s="94"/>
      <c r="BL4492" s="8">
        <v>4443</v>
      </c>
      <c r="BM4492" s="8">
        <v>2526588.7002852294</v>
      </c>
      <c r="BN4492" s="8">
        <v>0</v>
      </c>
      <c r="BO4492" s="8">
        <v>2526588.7002852294</v>
      </c>
      <c r="BP4492" s="8">
        <v>6082806.498673968</v>
      </c>
      <c r="BQ4492" s="8">
        <v>3556217.7983887387</v>
      </c>
      <c r="BR4492" s="8" t="str">
        <v>No</v>
      </c>
    </row>
    <row r="4493" spans="54:70" x14ac:dyDescent="0.2">
      <c r="BB4493" s="94"/>
      <c r="BL4493" s="8">
        <v>4444</v>
      </c>
      <c r="BM4493" s="8">
        <v>4125907.7236145018</v>
      </c>
      <c r="BN4493" s="8">
        <v>5644039.5601085648</v>
      </c>
      <c r="BO4493" s="8">
        <v>9769947.2837230675</v>
      </c>
      <c r="BP4493" s="8">
        <v>4342191.219688002</v>
      </c>
      <c r="BQ4493" s="8">
        <v>-5427756.0640350655</v>
      </c>
      <c r="BR4493" s="8" t="str">
        <v>Yes</v>
      </c>
    </row>
    <row r="4494" spans="54:70" x14ac:dyDescent="0.2">
      <c r="BB4494" s="94"/>
      <c r="BL4494" s="8">
        <v>4445</v>
      </c>
      <c r="BM4494" s="8">
        <v>3675493.1055293903</v>
      </c>
      <c r="BN4494" s="8">
        <v>3946237.1798358755</v>
      </c>
      <c r="BO4494" s="8">
        <v>7621730.2853652658</v>
      </c>
      <c r="BP4494" s="8">
        <v>3417108.137098379</v>
      </c>
      <c r="BQ4494" s="8">
        <v>-4204622.1482668873</v>
      </c>
      <c r="BR4494" s="8" t="str">
        <v>Yes</v>
      </c>
    </row>
    <row r="4495" spans="54:70" x14ac:dyDescent="0.2">
      <c r="BB4495" s="94"/>
      <c r="BL4495" s="8">
        <v>4446</v>
      </c>
      <c r="BM4495" s="8">
        <v>3366743.099761487</v>
      </c>
      <c r="BN4495" s="8">
        <v>4959434.3797679367</v>
      </c>
      <c r="BO4495" s="8">
        <v>8326177.4795294236</v>
      </c>
      <c r="BP4495" s="8">
        <v>2540768.1254340657</v>
      </c>
      <c r="BQ4495" s="8">
        <v>-5785409.3540953584</v>
      </c>
      <c r="BR4495" s="8" t="str">
        <v>Yes</v>
      </c>
    </row>
    <row r="4496" spans="54:70" x14ac:dyDescent="0.2">
      <c r="BB4496" s="94"/>
      <c r="BL4496" s="8">
        <v>4447</v>
      </c>
      <c r="BM4496" s="8">
        <v>1220307.8422160218</v>
      </c>
      <c r="BN4496" s="8">
        <v>1816965.1779762525</v>
      </c>
      <c r="BO4496" s="8">
        <v>3037273.0201922744</v>
      </c>
      <c r="BP4496" s="8">
        <v>2392319.8679245375</v>
      </c>
      <c r="BQ4496" s="8">
        <v>-644953.15226773685</v>
      </c>
      <c r="BR4496" s="8" t="str">
        <v>Yes</v>
      </c>
    </row>
    <row r="4497" spans="54:70" x14ac:dyDescent="0.2">
      <c r="BB4497" s="94"/>
      <c r="BL4497" s="8">
        <v>4448</v>
      </c>
      <c r="BM4497" s="8">
        <v>9910932.5039266162</v>
      </c>
      <c r="BN4497" s="8">
        <v>10425233.657948291</v>
      </c>
      <c r="BO4497" s="8">
        <v>20336166.161874905</v>
      </c>
      <c r="BP4497" s="8">
        <v>3939965.8280308112</v>
      </c>
      <c r="BQ4497" s="8">
        <v>-16396200.333844094</v>
      </c>
      <c r="BR4497" s="8" t="str">
        <v>Yes</v>
      </c>
    </row>
    <row r="4498" spans="54:70" x14ac:dyDescent="0.2">
      <c r="BB4498" s="94"/>
      <c r="BL4498" s="8">
        <v>4449</v>
      </c>
      <c r="BM4498" s="8">
        <v>4128802.6278592385</v>
      </c>
      <c r="BN4498" s="8">
        <v>5980728.5267884899</v>
      </c>
      <c r="BO4498" s="8">
        <v>10109531.154647728</v>
      </c>
      <c r="BP4498" s="8">
        <v>2285010.6572705111</v>
      </c>
      <c r="BQ4498" s="8">
        <v>-7824520.4973772168</v>
      </c>
      <c r="BR4498" s="8" t="str">
        <v>Yes</v>
      </c>
    </row>
    <row r="4499" spans="54:70" x14ac:dyDescent="0.2">
      <c r="BB4499" s="94"/>
      <c r="BL4499" s="8">
        <v>4450</v>
      </c>
      <c r="BM4499" s="8">
        <v>10294192.399397207</v>
      </c>
      <c r="BN4499" s="8">
        <v>0</v>
      </c>
      <c r="BO4499" s="8">
        <v>10294192.399397207</v>
      </c>
      <c r="BP4499" s="8">
        <v>4011183.7247438757</v>
      </c>
      <c r="BQ4499" s="8">
        <v>-6283008.6746533317</v>
      </c>
      <c r="BR4499" s="8" t="str">
        <v>Yes</v>
      </c>
    </row>
    <row r="4500" spans="54:70" x14ac:dyDescent="0.2">
      <c r="BB4500" s="94"/>
      <c r="BL4500" s="8">
        <v>4451</v>
      </c>
      <c r="BM4500" s="8">
        <v>2796198.6588847609</v>
      </c>
      <c r="BN4500" s="8">
        <v>2660312.951483476</v>
      </c>
      <c r="BO4500" s="8">
        <v>5456511.6103682369</v>
      </c>
      <c r="BP4500" s="8">
        <v>3523610.9979266627</v>
      </c>
      <c r="BQ4500" s="8">
        <v>-1932900.6124415742</v>
      </c>
      <c r="BR4500" s="8" t="str">
        <v>Yes</v>
      </c>
    </row>
    <row r="4501" spans="54:70" x14ac:dyDescent="0.2">
      <c r="BB4501" s="94"/>
      <c r="BL4501" s="8">
        <v>4452</v>
      </c>
      <c r="BM4501" s="8">
        <v>11866654.785680629</v>
      </c>
      <c r="BN4501" s="8">
        <v>0</v>
      </c>
      <c r="BO4501" s="8">
        <v>11866654.785680629</v>
      </c>
      <c r="BP4501" s="8">
        <v>6610525.569793324</v>
      </c>
      <c r="BQ4501" s="8">
        <v>-5256129.2158873053</v>
      </c>
      <c r="BR4501" s="8" t="str">
        <v>Yes</v>
      </c>
    </row>
    <row r="4502" spans="54:70" x14ac:dyDescent="0.2">
      <c r="BB4502" s="94"/>
      <c r="BL4502" s="8">
        <v>4453</v>
      </c>
      <c r="BM4502" s="8">
        <v>3948122.0551831033</v>
      </c>
      <c r="BN4502" s="8">
        <v>0</v>
      </c>
      <c r="BO4502" s="8">
        <v>3948122.0551831033</v>
      </c>
      <c r="BP4502" s="8">
        <v>3462821.31021968</v>
      </c>
      <c r="BQ4502" s="8">
        <v>-485300.74496342335</v>
      </c>
      <c r="BR4502" s="8" t="str">
        <v>Yes</v>
      </c>
    </row>
    <row r="4503" spans="54:70" x14ac:dyDescent="0.2">
      <c r="BB4503" s="94"/>
      <c r="BL4503" s="8">
        <v>4454</v>
      </c>
      <c r="BM4503" s="8">
        <v>4053227.1483422993</v>
      </c>
      <c r="BN4503" s="8">
        <v>4362764.4418238495</v>
      </c>
      <c r="BO4503" s="8">
        <v>8415991.5901661478</v>
      </c>
      <c r="BP4503" s="8">
        <v>3461343.4720871863</v>
      </c>
      <c r="BQ4503" s="8">
        <v>-4954648.118078962</v>
      </c>
      <c r="BR4503" s="8" t="str">
        <v>Yes</v>
      </c>
    </row>
    <row r="4504" spans="54:70" x14ac:dyDescent="0.2">
      <c r="BB4504" s="94"/>
      <c r="BL4504" s="8">
        <v>4455</v>
      </c>
      <c r="BM4504" s="8">
        <v>2113351.2576274369</v>
      </c>
      <c r="BN4504" s="8">
        <v>2227127.5522634545</v>
      </c>
      <c r="BO4504" s="8">
        <v>4340478.8098908914</v>
      </c>
      <c r="BP4504" s="8">
        <v>3255210.2445892915</v>
      </c>
      <c r="BQ4504" s="8">
        <v>-1085268.5653015999</v>
      </c>
      <c r="BR4504" s="8" t="str">
        <v>Yes</v>
      </c>
    </row>
    <row r="4505" spans="54:70" x14ac:dyDescent="0.2">
      <c r="BB4505" s="94"/>
      <c r="BL4505" s="8">
        <v>4456</v>
      </c>
      <c r="BM4505" s="8">
        <v>5238543.3079696074</v>
      </c>
      <c r="BN4505" s="8">
        <v>5477596.76919684</v>
      </c>
      <c r="BO4505" s="8">
        <v>10716140.077166447</v>
      </c>
      <c r="BP4505" s="8">
        <v>2293587.0413290109</v>
      </c>
      <c r="BQ4505" s="8">
        <v>-8422553.0358374361</v>
      </c>
      <c r="BR4505" s="8" t="str">
        <v>Yes</v>
      </c>
    </row>
    <row r="4506" spans="54:70" x14ac:dyDescent="0.2">
      <c r="BB4506" s="94"/>
      <c r="BL4506" s="8">
        <v>4457</v>
      </c>
      <c r="BM4506" s="8">
        <v>3115840.3664747914</v>
      </c>
      <c r="BN4506" s="8">
        <v>0</v>
      </c>
      <c r="BO4506" s="8">
        <v>3115840.3664747914</v>
      </c>
      <c r="BP4506" s="8">
        <v>6166136.0475091245</v>
      </c>
      <c r="BQ4506" s="8">
        <v>3050295.6810343331</v>
      </c>
      <c r="BR4506" s="8" t="str">
        <v>No</v>
      </c>
    </row>
    <row r="4507" spans="54:70" x14ac:dyDescent="0.2">
      <c r="BB4507" s="94"/>
      <c r="BL4507" s="8">
        <v>4458</v>
      </c>
      <c r="BM4507" s="8">
        <v>2554701.8700755439</v>
      </c>
      <c r="BN4507" s="8">
        <v>1797116.2789638471</v>
      </c>
      <c r="BO4507" s="8">
        <v>4351818.1490393914</v>
      </c>
      <c r="BP4507" s="8">
        <v>2224711.7967792689</v>
      </c>
      <c r="BQ4507" s="8">
        <v>-2127106.3522601225</v>
      </c>
      <c r="BR4507" s="8" t="str">
        <v>Yes</v>
      </c>
    </row>
    <row r="4508" spans="54:70" x14ac:dyDescent="0.2">
      <c r="BB4508" s="94"/>
      <c r="BL4508" s="8">
        <v>4459</v>
      </c>
      <c r="BM4508" s="8">
        <v>6574931.81679116</v>
      </c>
      <c r="BN4508" s="8">
        <v>0</v>
      </c>
      <c r="BO4508" s="8">
        <v>6574931.81679116</v>
      </c>
      <c r="BP4508" s="8">
        <v>2220313.5045097047</v>
      </c>
      <c r="BQ4508" s="8">
        <v>-4354618.3122814558</v>
      </c>
      <c r="BR4508" s="8" t="str">
        <v>Yes</v>
      </c>
    </row>
    <row r="4509" spans="54:70" x14ac:dyDescent="0.2">
      <c r="BB4509" s="94"/>
      <c r="BL4509" s="8">
        <v>4460</v>
      </c>
      <c r="BM4509" s="8">
        <v>5943883.1438980401</v>
      </c>
      <c r="BN4509" s="8">
        <v>1821356.422671542</v>
      </c>
      <c r="BO4509" s="8">
        <v>7765239.5665695816</v>
      </c>
      <c r="BP4509" s="8">
        <v>5987755.9753573835</v>
      </c>
      <c r="BQ4509" s="8">
        <v>-1777483.5912121981</v>
      </c>
      <c r="BR4509" s="8" t="str">
        <v>Yes</v>
      </c>
    </row>
    <row r="4510" spans="54:70" x14ac:dyDescent="0.2">
      <c r="BB4510" s="94"/>
      <c r="BL4510" s="8">
        <v>4461</v>
      </c>
      <c r="BM4510" s="8">
        <v>5304994.5413554236</v>
      </c>
      <c r="BN4510" s="8">
        <v>5562433.2764741499</v>
      </c>
      <c r="BO4510" s="8">
        <v>10867427.817829574</v>
      </c>
      <c r="BP4510" s="8">
        <v>4323554.0549635971</v>
      </c>
      <c r="BQ4510" s="8">
        <v>-6543873.7628659764</v>
      </c>
      <c r="BR4510" s="8" t="str">
        <v>Yes</v>
      </c>
    </row>
    <row r="4511" spans="54:70" x14ac:dyDescent="0.2">
      <c r="BB4511" s="94"/>
      <c r="BL4511" s="8">
        <v>4462</v>
      </c>
      <c r="BM4511" s="8">
        <v>5443533.0455348436</v>
      </c>
      <c r="BN4511" s="8">
        <v>0</v>
      </c>
      <c r="BO4511" s="8">
        <v>5443533.0455348436</v>
      </c>
      <c r="BP4511" s="8">
        <v>4216809.3645747555</v>
      </c>
      <c r="BQ4511" s="8">
        <v>-1226723.680960088</v>
      </c>
      <c r="BR4511" s="8" t="str">
        <v>Yes</v>
      </c>
    </row>
    <row r="4512" spans="54:70" x14ac:dyDescent="0.2">
      <c r="BB4512" s="94"/>
      <c r="BL4512" s="8">
        <v>4463</v>
      </c>
      <c r="BM4512" s="8">
        <v>3621270.5560493628</v>
      </c>
      <c r="BN4512" s="8">
        <v>0</v>
      </c>
      <c r="BO4512" s="8">
        <v>3621270.5560493628</v>
      </c>
      <c r="BP4512" s="8">
        <v>6181826.2184189204</v>
      </c>
      <c r="BQ4512" s="8">
        <v>2560555.6623695577</v>
      </c>
      <c r="BR4512" s="8" t="str">
        <v>No</v>
      </c>
    </row>
    <row r="4513" spans="54:70" x14ac:dyDescent="0.2">
      <c r="BB4513" s="94"/>
      <c r="BL4513" s="8">
        <v>4464</v>
      </c>
      <c r="BM4513" s="8">
        <v>1602352.7404922973</v>
      </c>
      <c r="BN4513" s="8">
        <v>-437145.93169424048</v>
      </c>
      <c r="BO4513" s="8">
        <v>1165206.8087980568</v>
      </c>
      <c r="BP4513" s="8">
        <v>5996676.0082671056</v>
      </c>
      <c r="BQ4513" s="8">
        <v>4831469.1994690485</v>
      </c>
      <c r="BR4513" s="8" t="str">
        <v>No</v>
      </c>
    </row>
    <row r="4514" spans="54:70" x14ac:dyDescent="0.2">
      <c r="BB4514" s="94"/>
      <c r="BL4514" s="8">
        <v>4465</v>
      </c>
      <c r="BM4514" s="8">
        <v>5468955.3850899646</v>
      </c>
      <c r="BN4514" s="8">
        <v>5640074.8971599061</v>
      </c>
      <c r="BO4514" s="8">
        <v>11109030.282249872</v>
      </c>
      <c r="BP4514" s="8">
        <v>2258346.419951519</v>
      </c>
      <c r="BQ4514" s="8">
        <v>-8850683.8622983526</v>
      </c>
      <c r="BR4514" s="8" t="str">
        <v>Yes</v>
      </c>
    </row>
    <row r="4515" spans="54:70" x14ac:dyDescent="0.2">
      <c r="BB4515" s="94"/>
      <c r="BL4515" s="8">
        <v>4466</v>
      </c>
      <c r="BM4515" s="8">
        <v>4970350.1062310804</v>
      </c>
      <c r="BN4515" s="8">
        <v>4055564.747913898</v>
      </c>
      <c r="BO4515" s="8">
        <v>9025914.8541449793</v>
      </c>
      <c r="BP4515" s="8">
        <v>4642149.2005377365</v>
      </c>
      <c r="BQ4515" s="8">
        <v>-4383765.6536072427</v>
      </c>
      <c r="BR4515" s="8" t="str">
        <v>Yes</v>
      </c>
    </row>
    <row r="4516" spans="54:70" x14ac:dyDescent="0.2">
      <c r="BB4516" s="94"/>
      <c r="BL4516" s="8">
        <v>4467</v>
      </c>
      <c r="BM4516" s="8">
        <v>3623648.6819004193</v>
      </c>
      <c r="BN4516" s="8">
        <v>0</v>
      </c>
      <c r="BO4516" s="8">
        <v>3623648.6819004193</v>
      </c>
      <c r="BP4516" s="8">
        <v>2255180.7234691042</v>
      </c>
      <c r="BQ4516" s="8">
        <v>-1368467.9584313151</v>
      </c>
      <c r="BR4516" s="8" t="str">
        <v>Yes</v>
      </c>
    </row>
    <row r="4517" spans="54:70" x14ac:dyDescent="0.2">
      <c r="BB4517" s="94"/>
      <c r="BL4517" s="8">
        <v>4468</v>
      </c>
      <c r="BM4517" s="8">
        <v>4575745.9088452701</v>
      </c>
      <c r="BN4517" s="8">
        <v>2868418.7296876842</v>
      </c>
      <c r="BO4517" s="8">
        <v>7444164.6385329543</v>
      </c>
      <c r="BP4517" s="8">
        <v>6316646.6586186038</v>
      </c>
      <c r="BQ4517" s="8">
        <v>-1127517.9799143504</v>
      </c>
      <c r="BR4517" s="8" t="str">
        <v>Yes</v>
      </c>
    </row>
    <row r="4518" spans="54:70" x14ac:dyDescent="0.2">
      <c r="BB4518" s="94"/>
      <c r="BL4518" s="8">
        <v>4469</v>
      </c>
      <c r="BM4518" s="8">
        <v>9887737.9888400249</v>
      </c>
      <c r="BN4518" s="8">
        <v>0</v>
      </c>
      <c r="BO4518" s="8">
        <v>9887737.9888400249</v>
      </c>
      <c r="BP4518" s="8">
        <v>6650238.2793465611</v>
      </c>
      <c r="BQ4518" s="8">
        <v>-3237499.7094934639</v>
      </c>
      <c r="BR4518" s="8" t="str">
        <v>Yes</v>
      </c>
    </row>
    <row r="4519" spans="54:70" x14ac:dyDescent="0.2">
      <c r="BB4519" s="94"/>
      <c r="BL4519" s="8">
        <v>4470</v>
      </c>
      <c r="BM4519" s="8">
        <v>3251885.1168899145</v>
      </c>
      <c r="BN4519" s="8">
        <v>0</v>
      </c>
      <c r="BO4519" s="8">
        <v>3251885.1168899145</v>
      </c>
      <c r="BP4519" s="8">
        <v>6141549.315013621</v>
      </c>
      <c r="BQ4519" s="8">
        <v>2889664.1981237065</v>
      </c>
      <c r="BR4519" s="8" t="str">
        <v>No</v>
      </c>
    </row>
    <row r="4520" spans="54:70" x14ac:dyDescent="0.2">
      <c r="BB4520" s="94"/>
      <c r="BL4520" s="8">
        <v>4471</v>
      </c>
      <c r="BM4520" s="8">
        <v>5294336.6284290915</v>
      </c>
      <c r="BN4520" s="8">
        <v>0</v>
      </c>
      <c r="BO4520" s="8">
        <v>5294336.6284290915</v>
      </c>
      <c r="BP4520" s="8">
        <v>3369605.4242270105</v>
      </c>
      <c r="BQ4520" s="8">
        <v>-1924731.2042020811</v>
      </c>
      <c r="BR4520" s="8" t="str">
        <v>Yes</v>
      </c>
    </row>
    <row r="4521" spans="54:70" x14ac:dyDescent="0.2">
      <c r="BB4521" s="94"/>
      <c r="BL4521" s="8">
        <v>4472</v>
      </c>
      <c r="BM4521" s="8">
        <v>5262785.2088604756</v>
      </c>
      <c r="BN4521" s="8">
        <v>0</v>
      </c>
      <c r="BO4521" s="8">
        <v>5262785.2088604756</v>
      </c>
      <c r="BP4521" s="8">
        <v>3365410.8428883189</v>
      </c>
      <c r="BQ4521" s="8">
        <v>-1897374.3659721566</v>
      </c>
      <c r="BR4521" s="8" t="str">
        <v>Yes</v>
      </c>
    </row>
    <row r="4522" spans="54:70" x14ac:dyDescent="0.2">
      <c r="BB4522" s="94"/>
      <c r="BL4522" s="8">
        <v>4473</v>
      </c>
      <c r="BM4522" s="8">
        <v>8160800.9395477064</v>
      </c>
      <c r="BN4522" s="8">
        <v>7600677.3915295871</v>
      </c>
      <c r="BO4522" s="8">
        <v>15761478.331077293</v>
      </c>
      <c r="BP4522" s="8">
        <v>6612106.2618379304</v>
      </c>
      <c r="BQ4522" s="8">
        <v>-9149372.0692393631</v>
      </c>
      <c r="BR4522" s="8" t="str">
        <v>Yes</v>
      </c>
    </row>
    <row r="4523" spans="54:70" x14ac:dyDescent="0.2">
      <c r="BB4523" s="94"/>
      <c r="BL4523" s="8">
        <v>4474</v>
      </c>
      <c r="BM4523" s="8">
        <v>3815935.3907340737</v>
      </c>
      <c r="BN4523" s="8">
        <v>4873494.4287456004</v>
      </c>
      <c r="BO4523" s="8">
        <v>8689429.8194796741</v>
      </c>
      <c r="BP4523" s="8">
        <v>2220303.5804216694</v>
      </c>
      <c r="BQ4523" s="8">
        <v>-6469126.2390580047</v>
      </c>
      <c r="BR4523" s="8" t="str">
        <v>Yes</v>
      </c>
    </row>
    <row r="4524" spans="54:70" x14ac:dyDescent="0.2">
      <c r="BB4524" s="94"/>
      <c r="BL4524" s="8">
        <v>4475</v>
      </c>
      <c r="BM4524" s="8">
        <v>2777162.5254687811</v>
      </c>
      <c r="BN4524" s="8">
        <v>1508413.1749544512</v>
      </c>
      <c r="BO4524" s="8">
        <v>4285575.7004232323</v>
      </c>
      <c r="BP4524" s="8">
        <v>7109813.7950789249</v>
      </c>
      <c r="BQ4524" s="8">
        <v>2824238.0946556926</v>
      </c>
      <c r="BR4524" s="8" t="str">
        <v>No</v>
      </c>
    </row>
    <row r="4525" spans="54:70" x14ac:dyDescent="0.2">
      <c r="BB4525" s="94"/>
      <c r="BL4525" s="8">
        <v>4476</v>
      </c>
      <c r="BM4525" s="8">
        <v>5768439.6683483487</v>
      </c>
      <c r="BN4525" s="8">
        <v>7509126.3198429747</v>
      </c>
      <c r="BO4525" s="8">
        <v>13277565.988191323</v>
      </c>
      <c r="BP4525" s="8">
        <v>6680432.1135999784</v>
      </c>
      <c r="BQ4525" s="8">
        <v>-6597133.874591345</v>
      </c>
      <c r="BR4525" s="8" t="str">
        <v>Yes</v>
      </c>
    </row>
    <row r="4526" spans="54:70" x14ac:dyDescent="0.2">
      <c r="BB4526" s="94"/>
      <c r="BL4526" s="8">
        <v>4477</v>
      </c>
      <c r="BM4526" s="8">
        <v>3476304.4873052519</v>
      </c>
      <c r="BN4526" s="8">
        <v>0</v>
      </c>
      <c r="BO4526" s="8">
        <v>3476304.4873052519</v>
      </c>
      <c r="BP4526" s="8">
        <v>6054332.6114261905</v>
      </c>
      <c r="BQ4526" s="8">
        <v>2578028.1241209386</v>
      </c>
      <c r="BR4526" s="8" t="str">
        <v>No</v>
      </c>
    </row>
    <row r="4527" spans="54:70" x14ac:dyDescent="0.2">
      <c r="BB4527" s="94"/>
      <c r="BL4527" s="8">
        <v>4478</v>
      </c>
      <c r="BM4527" s="8">
        <v>3579690.2808181252</v>
      </c>
      <c r="BN4527" s="8">
        <v>0</v>
      </c>
      <c r="BO4527" s="8">
        <v>3579690.2808181252</v>
      </c>
      <c r="BP4527" s="8">
        <v>2283903.3174637728</v>
      </c>
      <c r="BQ4527" s="8">
        <v>-1295786.9633543524</v>
      </c>
      <c r="BR4527" s="8" t="str">
        <v>Yes</v>
      </c>
    </row>
    <row r="4528" spans="54:70" x14ac:dyDescent="0.2">
      <c r="BB4528" s="94"/>
      <c r="BL4528" s="8">
        <v>4479</v>
      </c>
      <c r="BM4528" s="8">
        <v>4050389.3413683856</v>
      </c>
      <c r="BN4528" s="8">
        <v>2440037.196741228</v>
      </c>
      <c r="BO4528" s="8">
        <v>6490426.5381096136</v>
      </c>
      <c r="BP4528" s="8">
        <v>2178282.2090622028</v>
      </c>
      <c r="BQ4528" s="8">
        <v>-4312144.3290474107</v>
      </c>
      <c r="BR4528" s="8" t="str">
        <v>Yes</v>
      </c>
    </row>
    <row r="4529" spans="54:70" x14ac:dyDescent="0.2">
      <c r="BB4529" s="94"/>
      <c r="BL4529" s="8">
        <v>4480</v>
      </c>
      <c r="BM4529" s="8">
        <v>6216134.9110746933</v>
      </c>
      <c r="BN4529" s="8">
        <v>0</v>
      </c>
      <c r="BO4529" s="8">
        <v>6216134.9110746933</v>
      </c>
      <c r="BP4529" s="8">
        <v>3968925.2123742425</v>
      </c>
      <c r="BQ4529" s="8">
        <v>-2247209.6987004508</v>
      </c>
      <c r="BR4529" s="8" t="str">
        <v>Yes</v>
      </c>
    </row>
    <row r="4530" spans="54:70" x14ac:dyDescent="0.2">
      <c r="BB4530" s="94"/>
      <c r="BL4530" s="8">
        <v>4481</v>
      </c>
      <c r="BM4530" s="8">
        <v>6611447.2719627209</v>
      </c>
      <c r="BN4530" s="8">
        <v>1172416.1645852197</v>
      </c>
      <c r="BO4530" s="8">
        <v>7783863.4365479406</v>
      </c>
      <c r="BP4530" s="8">
        <v>4161172.1503591384</v>
      </c>
      <c r="BQ4530" s="8">
        <v>-3622691.2861888022</v>
      </c>
      <c r="BR4530" s="8" t="str">
        <v>Yes</v>
      </c>
    </row>
    <row r="4531" spans="54:70" x14ac:dyDescent="0.2">
      <c r="BB4531" s="94"/>
      <c r="BL4531" s="8">
        <v>4482</v>
      </c>
      <c r="BM4531" s="8">
        <v>3602530.4484222764</v>
      </c>
      <c r="BN4531" s="8">
        <v>2799814.3339592749</v>
      </c>
      <c r="BO4531" s="8">
        <v>6402344.7823815513</v>
      </c>
      <c r="BP4531" s="8">
        <v>2295167.6293998947</v>
      </c>
      <c r="BQ4531" s="8">
        <v>-4107177.1529816566</v>
      </c>
      <c r="BR4531" s="8" t="str">
        <v>Yes</v>
      </c>
    </row>
    <row r="4532" spans="54:70" x14ac:dyDescent="0.2">
      <c r="BB4532" s="94"/>
      <c r="BL4532" s="8">
        <v>4483</v>
      </c>
      <c r="BM4532" s="8">
        <v>2641964.3548619132</v>
      </c>
      <c r="BN4532" s="8">
        <v>0</v>
      </c>
      <c r="BO4532" s="8">
        <v>2641964.3548619132</v>
      </c>
      <c r="BP4532" s="8">
        <v>3229859.8619050477</v>
      </c>
      <c r="BQ4532" s="8">
        <v>587895.50704313442</v>
      </c>
      <c r="BR4532" s="8" t="str">
        <v>No</v>
      </c>
    </row>
    <row r="4533" spans="54:70" x14ac:dyDescent="0.2">
      <c r="BB4533" s="94"/>
      <c r="BL4533" s="8">
        <v>4484</v>
      </c>
      <c r="BM4533" s="8">
        <v>12976842.763469074</v>
      </c>
      <c r="BN4533" s="8">
        <v>14713151.021290503</v>
      </c>
      <c r="BO4533" s="8">
        <v>27689993.784759577</v>
      </c>
      <c r="BP4533" s="8">
        <v>6710492.5529922685</v>
      </c>
      <c r="BQ4533" s="8">
        <v>-20979501.231767308</v>
      </c>
      <c r="BR4533" s="8" t="str">
        <v>Yes</v>
      </c>
    </row>
    <row r="4534" spans="54:70" x14ac:dyDescent="0.2">
      <c r="BB4534" s="94"/>
      <c r="BL4534" s="8">
        <v>4485</v>
      </c>
      <c r="BM4534" s="8">
        <v>6243405.9759636382</v>
      </c>
      <c r="BN4534" s="8">
        <v>0</v>
      </c>
      <c r="BO4534" s="8">
        <v>6243405.9759636382</v>
      </c>
      <c r="BP4534" s="8">
        <v>6117906.9762024907</v>
      </c>
      <c r="BQ4534" s="8">
        <v>-125498.99976114742</v>
      </c>
      <c r="BR4534" s="8" t="str">
        <v>Yes</v>
      </c>
    </row>
    <row r="4535" spans="54:70" x14ac:dyDescent="0.2">
      <c r="BB4535" s="94"/>
      <c r="BL4535" s="8">
        <v>4486</v>
      </c>
      <c r="BM4535" s="8">
        <v>2019493.7928535435</v>
      </c>
      <c r="BN4535" s="8">
        <v>0</v>
      </c>
      <c r="BO4535" s="8">
        <v>2019493.7928535435</v>
      </c>
      <c r="BP4535" s="8">
        <v>6438692.3192346022</v>
      </c>
      <c r="BQ4535" s="8">
        <v>4419198.5263810586</v>
      </c>
      <c r="BR4535" s="8" t="str">
        <v>No</v>
      </c>
    </row>
    <row r="4536" spans="54:70" x14ac:dyDescent="0.2">
      <c r="BB4536" s="94"/>
      <c r="BL4536" s="8">
        <v>4487</v>
      </c>
      <c r="BM4536" s="8">
        <v>2331548.8398561636</v>
      </c>
      <c r="BN4536" s="8">
        <v>1127459.7140836753</v>
      </c>
      <c r="BO4536" s="8">
        <v>3459008.5539398389</v>
      </c>
      <c r="BP4536" s="8">
        <v>4341101.7421558769</v>
      </c>
      <c r="BQ4536" s="8">
        <v>882093.18821603805</v>
      </c>
      <c r="BR4536" s="8" t="str">
        <v>No</v>
      </c>
    </row>
    <row r="4537" spans="54:70" x14ac:dyDescent="0.2">
      <c r="BB4537" s="94"/>
      <c r="BL4537" s="8">
        <v>4488</v>
      </c>
      <c r="BM4537" s="8">
        <v>3866394.1271826345</v>
      </c>
      <c r="BN4537" s="8">
        <v>0</v>
      </c>
      <c r="BO4537" s="8">
        <v>3866394.1271826345</v>
      </c>
      <c r="BP4537" s="8">
        <v>3225369.6858604946</v>
      </c>
      <c r="BQ4537" s="8">
        <v>-641024.44132213993</v>
      </c>
      <c r="BR4537" s="8" t="str">
        <v>Yes</v>
      </c>
    </row>
    <row r="4538" spans="54:70" x14ac:dyDescent="0.2">
      <c r="BB4538" s="94"/>
      <c r="BL4538" s="8">
        <v>4489</v>
      </c>
      <c r="BM4538" s="8">
        <v>3368033.0901387241</v>
      </c>
      <c r="BN4538" s="8">
        <v>2781515.9021183681</v>
      </c>
      <c r="BO4538" s="8">
        <v>6149548.9922570921</v>
      </c>
      <c r="BP4538" s="8">
        <v>3192470.3483387264</v>
      </c>
      <c r="BQ4538" s="8">
        <v>-2957078.6439183657</v>
      </c>
      <c r="BR4538" s="8" t="str">
        <v>Yes</v>
      </c>
    </row>
    <row r="4539" spans="54:70" x14ac:dyDescent="0.2">
      <c r="BB4539" s="94"/>
      <c r="BL4539" s="8">
        <v>4490</v>
      </c>
      <c r="BM4539" s="8">
        <v>1473456.120037613</v>
      </c>
      <c r="BN4539" s="8">
        <v>0</v>
      </c>
      <c r="BO4539" s="8">
        <v>1473456.120037613</v>
      </c>
      <c r="BP4539" s="8">
        <v>3467782.5991932377</v>
      </c>
      <c r="BQ4539" s="8">
        <v>1994326.4791556248</v>
      </c>
      <c r="BR4539" s="8" t="str">
        <v>No</v>
      </c>
    </row>
    <row r="4540" spans="54:70" x14ac:dyDescent="0.2">
      <c r="BB4540" s="94"/>
      <c r="BL4540" s="8">
        <v>4491</v>
      </c>
      <c r="BM4540" s="8">
        <v>1904933.6672855511</v>
      </c>
      <c r="BN4540" s="8">
        <v>0</v>
      </c>
      <c r="BO4540" s="8">
        <v>1904933.6672855511</v>
      </c>
      <c r="BP4540" s="8">
        <v>6109641.7934326148</v>
      </c>
      <c r="BQ4540" s="8">
        <v>4204708.1261470634</v>
      </c>
      <c r="BR4540" s="8" t="str">
        <v>No</v>
      </c>
    </row>
    <row r="4541" spans="54:70" x14ac:dyDescent="0.2">
      <c r="BB4541" s="94"/>
      <c r="BL4541" s="8">
        <v>4492</v>
      </c>
      <c r="BM4541" s="8">
        <v>10175968.529436005</v>
      </c>
      <c r="BN4541" s="8">
        <v>6962568.8969279844</v>
      </c>
      <c r="BO4541" s="8">
        <v>17138537.42636399</v>
      </c>
      <c r="BP4541" s="8">
        <v>6059149.4046754204</v>
      </c>
      <c r="BQ4541" s="8">
        <v>-11079388.021688569</v>
      </c>
      <c r="BR4541" s="8" t="str">
        <v>Yes</v>
      </c>
    </row>
    <row r="4542" spans="54:70" x14ac:dyDescent="0.2">
      <c r="BB4542" s="94"/>
      <c r="BL4542" s="8">
        <v>4493</v>
      </c>
      <c r="BM4542" s="8">
        <v>3525088.8072561361</v>
      </c>
      <c r="BN4542" s="8">
        <v>2303297.2209326904</v>
      </c>
      <c r="BO4542" s="8">
        <v>5828386.0281888265</v>
      </c>
      <c r="BP4542" s="8">
        <v>2519375.2173471898</v>
      </c>
      <c r="BQ4542" s="8">
        <v>-3309010.8108416367</v>
      </c>
      <c r="BR4542" s="8" t="str">
        <v>Yes</v>
      </c>
    </row>
    <row r="4543" spans="54:70" x14ac:dyDescent="0.2">
      <c r="BB4543" s="94"/>
      <c r="BL4543" s="8">
        <v>4494</v>
      </c>
      <c r="BM4543" s="8">
        <v>3906923.0447014766</v>
      </c>
      <c r="BN4543" s="8">
        <v>0</v>
      </c>
      <c r="BO4543" s="8">
        <v>3906923.0447014766</v>
      </c>
      <c r="BP4543" s="8">
        <v>3426958.9830875196</v>
      </c>
      <c r="BQ4543" s="8">
        <v>-479964.06161395693</v>
      </c>
      <c r="BR4543" s="8" t="str">
        <v>Yes</v>
      </c>
    </row>
    <row r="4544" spans="54:70" x14ac:dyDescent="0.2">
      <c r="BB4544" s="94"/>
      <c r="BL4544" s="8">
        <v>4495</v>
      </c>
      <c r="BM4544" s="8">
        <v>4754364.278872624</v>
      </c>
      <c r="BN4544" s="8">
        <v>0</v>
      </c>
      <c r="BO4544" s="8">
        <v>4754364.278872624</v>
      </c>
      <c r="BP4544" s="8">
        <v>3317877.8797773905</v>
      </c>
      <c r="BQ4544" s="8">
        <v>-1436486.3990952335</v>
      </c>
      <c r="BR4544" s="8" t="str">
        <v>Yes</v>
      </c>
    </row>
    <row r="4545" spans="54:70" x14ac:dyDescent="0.2">
      <c r="BB4545" s="94"/>
      <c r="BL4545" s="8">
        <v>4496</v>
      </c>
      <c r="BM4545" s="8">
        <v>4287836.3858171953</v>
      </c>
      <c r="BN4545" s="8">
        <v>3411370.3095201929</v>
      </c>
      <c r="BO4545" s="8">
        <v>7699206.6953373887</v>
      </c>
      <c r="BP4545" s="8">
        <v>4355133.7376957405</v>
      </c>
      <c r="BQ4545" s="8">
        <v>-3344072.9576416481</v>
      </c>
      <c r="BR4545" s="8" t="str">
        <v>Yes</v>
      </c>
    </row>
    <row r="4546" spans="54:70" x14ac:dyDescent="0.2">
      <c r="BB4546" s="94"/>
      <c r="BL4546" s="8">
        <v>4497</v>
      </c>
      <c r="BM4546" s="8">
        <v>5340774.9557224419</v>
      </c>
      <c r="BN4546" s="8">
        <v>4808985.5980649218</v>
      </c>
      <c r="BO4546" s="8">
        <v>10149760.553787364</v>
      </c>
      <c r="BP4546" s="8">
        <v>6538068.2179723261</v>
      </c>
      <c r="BQ4546" s="8">
        <v>-3611692.3358150376</v>
      </c>
      <c r="BR4546" s="8" t="str">
        <v>Yes</v>
      </c>
    </row>
    <row r="4547" spans="54:70" x14ac:dyDescent="0.2">
      <c r="BB4547" s="94"/>
      <c r="BL4547" s="8">
        <v>4498</v>
      </c>
      <c r="BM4547" s="8">
        <v>3613229.3502680412</v>
      </c>
      <c r="BN4547" s="8">
        <v>2175625.7363386797</v>
      </c>
      <c r="BO4547" s="8">
        <v>5788855.0866067205</v>
      </c>
      <c r="BP4547" s="8">
        <v>5094421.243304844</v>
      </c>
      <c r="BQ4547" s="8">
        <v>-694433.84330187645</v>
      </c>
      <c r="BR4547" s="8" t="str">
        <v>Yes</v>
      </c>
    </row>
    <row r="4548" spans="54:70" x14ac:dyDescent="0.2">
      <c r="BB4548" s="94"/>
      <c r="BL4548" s="8">
        <v>4499</v>
      </c>
      <c r="BM4548" s="8">
        <v>6148635.086050923</v>
      </c>
      <c r="BN4548" s="8">
        <v>4882158.0973160742</v>
      </c>
      <c r="BO4548" s="8">
        <v>11030793.183366997</v>
      </c>
      <c r="BP4548" s="8">
        <v>4257769.5527661238</v>
      </c>
      <c r="BQ4548" s="8">
        <v>-6773023.6306008734</v>
      </c>
      <c r="BR4548" s="8" t="str">
        <v>Yes</v>
      </c>
    </row>
    <row r="4549" spans="54:70" x14ac:dyDescent="0.2">
      <c r="BB4549" s="94"/>
      <c r="BL4549" s="8">
        <v>4500</v>
      </c>
      <c r="BM4549" s="8">
        <v>5478622.0768289352</v>
      </c>
      <c r="BN4549" s="8">
        <v>5694208.9290019749</v>
      </c>
      <c r="BO4549" s="8">
        <v>11172831.00583091</v>
      </c>
      <c r="BP4549" s="8">
        <v>7070695.2124529053</v>
      </c>
      <c r="BQ4549" s="8">
        <v>-4102135.7933780048</v>
      </c>
      <c r="BR4549" s="8" t="str">
        <v>Yes</v>
      </c>
    </row>
    <row r="4550" spans="54:70" x14ac:dyDescent="0.2">
      <c r="BB4550" s="94"/>
      <c r="BL4550" s="8">
        <v>4501</v>
      </c>
      <c r="BM4550" s="8">
        <v>4340297.4171089325</v>
      </c>
      <c r="BN4550" s="8">
        <v>0</v>
      </c>
      <c r="BO4550" s="8">
        <v>4340297.4171089325</v>
      </c>
      <c r="BP4550" s="8">
        <v>2242536.8421381135</v>
      </c>
      <c r="BQ4550" s="8">
        <v>-2097760.5749708191</v>
      </c>
      <c r="BR4550" s="8" t="str">
        <v>Yes</v>
      </c>
    </row>
    <row r="4551" spans="54:70" x14ac:dyDescent="0.2">
      <c r="BB4551" s="94"/>
      <c r="BL4551" s="8">
        <v>4502</v>
      </c>
      <c r="BM4551" s="8">
        <v>2663758.2741622571</v>
      </c>
      <c r="BN4551" s="8">
        <v>0</v>
      </c>
      <c r="BO4551" s="8">
        <v>2663758.2741622571</v>
      </c>
      <c r="BP4551" s="8">
        <v>3566188.1150456965</v>
      </c>
      <c r="BQ4551" s="8">
        <v>902429.84088343941</v>
      </c>
      <c r="BR4551" s="8" t="str">
        <v>No</v>
      </c>
    </row>
    <row r="4552" spans="54:70" x14ac:dyDescent="0.2">
      <c r="BB4552" s="94"/>
      <c r="BL4552" s="8">
        <v>4503</v>
      </c>
      <c r="BM4552" s="8">
        <v>2270488.8043407695</v>
      </c>
      <c r="BN4552" s="8">
        <v>0</v>
      </c>
      <c r="BO4552" s="8">
        <v>2270488.8043407695</v>
      </c>
      <c r="BP4552" s="8">
        <v>5838639.3070526784</v>
      </c>
      <c r="BQ4552" s="8">
        <v>3568150.5027119089</v>
      </c>
      <c r="BR4552" s="8" t="str">
        <v>No</v>
      </c>
    </row>
    <row r="4553" spans="54:70" x14ac:dyDescent="0.2">
      <c r="BB4553" s="94"/>
      <c r="BL4553" s="8">
        <v>4504</v>
      </c>
      <c r="BM4553" s="8">
        <v>5765973.1699093655</v>
      </c>
      <c r="BN4553" s="8">
        <v>0</v>
      </c>
      <c r="BO4553" s="8">
        <v>5765973.1699093655</v>
      </c>
      <c r="BP4553" s="8">
        <v>4540778.0713235531</v>
      </c>
      <c r="BQ4553" s="8">
        <v>-1225195.0985858124</v>
      </c>
      <c r="BR4553" s="8" t="str">
        <v>Yes</v>
      </c>
    </row>
    <row r="4554" spans="54:70" x14ac:dyDescent="0.2">
      <c r="BB4554" s="94"/>
      <c r="BL4554" s="8">
        <v>4505</v>
      </c>
      <c r="BM4554" s="8">
        <v>2454955.0965988385</v>
      </c>
      <c r="BN4554" s="8">
        <v>3848382.7073436016</v>
      </c>
      <c r="BO4554" s="8">
        <v>6303337.8039424401</v>
      </c>
      <c r="BP4554" s="8">
        <v>2321280.809808651</v>
      </c>
      <c r="BQ4554" s="8">
        <v>-3982056.9941337891</v>
      </c>
      <c r="BR4554" s="8" t="str">
        <v>Yes</v>
      </c>
    </row>
    <row r="4555" spans="54:70" x14ac:dyDescent="0.2">
      <c r="BB4555" s="94"/>
      <c r="BL4555" s="8">
        <v>4506</v>
      </c>
      <c r="BM4555" s="8">
        <v>4156274.2533340426</v>
      </c>
      <c r="BN4555" s="8">
        <v>0</v>
      </c>
      <c r="BO4555" s="8">
        <v>4156274.2533340426</v>
      </c>
      <c r="BP4555" s="8">
        <v>2275271.0775871016</v>
      </c>
      <c r="BQ4555" s="8">
        <v>-1881003.175746941</v>
      </c>
      <c r="BR4555" s="8" t="str">
        <v>Yes</v>
      </c>
    </row>
    <row r="4556" spans="54:70" x14ac:dyDescent="0.2">
      <c r="BB4556" s="94"/>
      <c r="BL4556" s="8">
        <v>4507</v>
      </c>
      <c r="BM4556" s="8">
        <v>6625017.6846516691</v>
      </c>
      <c r="BN4556" s="8">
        <v>0</v>
      </c>
      <c r="BO4556" s="8">
        <v>6625017.6846516691</v>
      </c>
      <c r="BP4556" s="8">
        <v>6269050.243726369</v>
      </c>
      <c r="BQ4556" s="8">
        <v>-355967.44092530012</v>
      </c>
      <c r="BR4556" s="8" t="str">
        <v>Yes</v>
      </c>
    </row>
    <row r="4557" spans="54:70" x14ac:dyDescent="0.2">
      <c r="BB4557" s="94"/>
      <c r="BL4557" s="8">
        <v>4508</v>
      </c>
      <c r="BM4557" s="8">
        <v>1351005.649675132</v>
      </c>
      <c r="BN4557" s="8">
        <v>0</v>
      </c>
      <c r="BO4557" s="8">
        <v>1351005.649675132</v>
      </c>
      <c r="BP4557" s="8">
        <v>2291054.8329632753</v>
      </c>
      <c r="BQ4557" s="8">
        <v>940049.18328814325</v>
      </c>
      <c r="BR4557" s="8" t="str">
        <v>No</v>
      </c>
    </row>
    <row r="4558" spans="54:70" x14ac:dyDescent="0.2">
      <c r="BB4558" s="94"/>
      <c r="BL4558" s="8">
        <v>4509</v>
      </c>
      <c r="BM4558" s="8">
        <v>3884381.2381796492</v>
      </c>
      <c r="BN4558" s="8">
        <v>0</v>
      </c>
      <c r="BO4558" s="8">
        <v>3884381.2381796492</v>
      </c>
      <c r="BP4558" s="8">
        <v>4323101.0348653812</v>
      </c>
      <c r="BQ4558" s="8">
        <v>438719.79668573197</v>
      </c>
      <c r="BR4558" s="8" t="str">
        <v>No</v>
      </c>
    </row>
    <row r="4559" spans="54:70" x14ac:dyDescent="0.2">
      <c r="BB4559" s="94"/>
      <c r="BL4559" s="8">
        <v>4510</v>
      </c>
      <c r="BM4559" s="8">
        <v>10472516.228083877</v>
      </c>
      <c r="BN4559" s="8">
        <v>6993391.1382335713</v>
      </c>
      <c r="BO4559" s="8">
        <v>17465907.366317447</v>
      </c>
      <c r="BP4559" s="8">
        <v>2905970.3455107044</v>
      </c>
      <c r="BQ4559" s="8">
        <v>-14559937.020806743</v>
      </c>
      <c r="BR4559" s="8" t="str">
        <v>Yes</v>
      </c>
    </row>
    <row r="4560" spans="54:70" x14ac:dyDescent="0.2">
      <c r="BB4560" s="94"/>
      <c r="BL4560" s="8">
        <v>4511</v>
      </c>
      <c r="BM4560" s="8">
        <v>3484222.7759716706</v>
      </c>
      <c r="BN4560" s="8">
        <v>0</v>
      </c>
      <c r="BO4560" s="8">
        <v>3484222.7759716706</v>
      </c>
      <c r="BP4560" s="8">
        <v>6284423.4362019105</v>
      </c>
      <c r="BQ4560" s="8">
        <v>2800200.6602302399</v>
      </c>
      <c r="BR4560" s="8" t="str">
        <v>No</v>
      </c>
    </row>
    <row r="4561" spans="54:70" x14ac:dyDescent="0.2">
      <c r="BB4561" s="94"/>
      <c r="BL4561" s="8">
        <v>4512</v>
      </c>
      <c r="BM4561" s="8">
        <v>8180009.8511330457</v>
      </c>
      <c r="BN4561" s="8">
        <v>0</v>
      </c>
      <c r="BO4561" s="8">
        <v>8180009.8511330457</v>
      </c>
      <c r="BP4561" s="8">
        <v>3323106.6541341948</v>
      </c>
      <c r="BQ4561" s="8">
        <v>-4856903.1969988514</v>
      </c>
      <c r="BR4561" s="8" t="str">
        <v>Yes</v>
      </c>
    </row>
    <row r="4562" spans="54:70" x14ac:dyDescent="0.2">
      <c r="BB4562" s="94"/>
      <c r="BL4562" s="8">
        <v>4513</v>
      </c>
      <c r="BM4562" s="8">
        <v>10544211.542758908</v>
      </c>
      <c r="BN4562" s="8">
        <v>9021078.1159650758</v>
      </c>
      <c r="BO4562" s="8">
        <v>19565289.658723984</v>
      </c>
      <c r="BP4562" s="8">
        <v>3292205.3331270954</v>
      </c>
      <c r="BQ4562" s="8">
        <v>-16273084.325596888</v>
      </c>
      <c r="BR4562" s="8" t="str">
        <v>Yes</v>
      </c>
    </row>
    <row r="4563" spans="54:70" x14ac:dyDescent="0.2">
      <c r="BB4563" s="94"/>
      <c r="BL4563" s="8">
        <v>4514</v>
      </c>
      <c r="BM4563" s="8">
        <v>5029235.8121234272</v>
      </c>
      <c r="BN4563" s="8">
        <v>0</v>
      </c>
      <c r="BO4563" s="8">
        <v>5029235.8121234272</v>
      </c>
      <c r="BP4563" s="8">
        <v>2169548.2897612704</v>
      </c>
      <c r="BQ4563" s="8">
        <v>-2859687.5223621568</v>
      </c>
      <c r="BR4563" s="8" t="str">
        <v>Yes</v>
      </c>
    </row>
    <row r="4564" spans="54:70" x14ac:dyDescent="0.2">
      <c r="BB4564" s="94"/>
      <c r="BL4564" s="8">
        <v>4515</v>
      </c>
      <c r="BM4564" s="8">
        <v>13936149.048083376</v>
      </c>
      <c r="BN4564" s="8">
        <v>0</v>
      </c>
      <c r="BO4564" s="8">
        <v>13936149.048083376</v>
      </c>
      <c r="BP4564" s="8">
        <v>6614059.2751323413</v>
      </c>
      <c r="BQ4564" s="8">
        <v>-7322089.7729510348</v>
      </c>
      <c r="BR4564" s="8" t="str">
        <v>Yes</v>
      </c>
    </row>
    <row r="4565" spans="54:70" x14ac:dyDescent="0.2">
      <c r="BB4565" s="94"/>
      <c r="BL4565" s="8">
        <v>4516</v>
      </c>
      <c r="BM4565" s="8">
        <v>2077378.7830862594</v>
      </c>
      <c r="BN4565" s="8">
        <v>0</v>
      </c>
      <c r="BO4565" s="8">
        <v>2077378.7830862594</v>
      </c>
      <c r="BP4565" s="8">
        <v>2301061.0414195983</v>
      </c>
      <c r="BQ4565" s="8">
        <v>223682.25833333889</v>
      </c>
      <c r="BR4565" s="8" t="str">
        <v>No</v>
      </c>
    </row>
    <row r="4566" spans="54:70" x14ac:dyDescent="0.2">
      <c r="BB4566" s="94"/>
      <c r="BL4566" s="8">
        <v>4517</v>
      </c>
      <c r="BM4566" s="8">
        <v>5373033.9194954904</v>
      </c>
      <c r="BN4566" s="8">
        <v>3094927.8746366245</v>
      </c>
      <c r="BO4566" s="8">
        <v>8467961.7941321153</v>
      </c>
      <c r="BP4566" s="8">
        <v>6224164.2284243843</v>
      </c>
      <c r="BQ4566" s="8">
        <v>-2243797.5657077311</v>
      </c>
      <c r="BR4566" s="8" t="str">
        <v>Yes</v>
      </c>
    </row>
    <row r="4567" spans="54:70" x14ac:dyDescent="0.2">
      <c r="BB4567" s="94"/>
      <c r="BL4567" s="8">
        <v>4518</v>
      </c>
      <c r="BM4567" s="8">
        <v>4749511.5136359166</v>
      </c>
      <c r="BN4567" s="8">
        <v>0</v>
      </c>
      <c r="BO4567" s="8">
        <v>4749511.5136359166</v>
      </c>
      <c r="BP4567" s="8">
        <v>6145741.6168823065</v>
      </c>
      <c r="BQ4567" s="8">
        <v>1396230.1032463899</v>
      </c>
      <c r="BR4567" s="8" t="str">
        <v>No</v>
      </c>
    </row>
    <row r="4568" spans="54:70" x14ac:dyDescent="0.2">
      <c r="BB4568" s="94"/>
      <c r="BL4568" s="8">
        <v>4519</v>
      </c>
      <c r="BM4568" s="8">
        <v>4214421.2824775809</v>
      </c>
      <c r="BN4568" s="8">
        <v>0</v>
      </c>
      <c r="BO4568" s="8">
        <v>4214421.2824775809</v>
      </c>
      <c r="BP4568" s="8">
        <v>6018057.4260286847</v>
      </c>
      <c r="BQ4568" s="8">
        <v>1803636.1435511038</v>
      </c>
      <c r="BR4568" s="8" t="str">
        <v>No</v>
      </c>
    </row>
    <row r="4569" spans="54:70" x14ac:dyDescent="0.2">
      <c r="BB4569" s="94"/>
      <c r="BL4569" s="8">
        <v>4520</v>
      </c>
      <c r="BM4569" s="8">
        <v>4982562.9743420891</v>
      </c>
      <c r="BN4569" s="8">
        <v>1917858.6503022078</v>
      </c>
      <c r="BO4569" s="8">
        <v>6900421.6246442972</v>
      </c>
      <c r="BP4569" s="8">
        <v>2421816.5330620529</v>
      </c>
      <c r="BQ4569" s="8">
        <v>-4478605.0915822443</v>
      </c>
      <c r="BR4569" s="8" t="str">
        <v>Yes</v>
      </c>
    </row>
    <row r="4570" spans="54:70" x14ac:dyDescent="0.2">
      <c r="BB4570" s="94"/>
      <c r="BL4570" s="8">
        <v>4521</v>
      </c>
      <c r="BM4570" s="8">
        <v>4309856.1678567026</v>
      </c>
      <c r="BN4570" s="8">
        <v>0</v>
      </c>
      <c r="BO4570" s="8">
        <v>4309856.1678567026</v>
      </c>
      <c r="BP4570" s="8">
        <v>4186716.4056760427</v>
      </c>
      <c r="BQ4570" s="8">
        <v>-123139.76218065992</v>
      </c>
      <c r="BR4570" s="8" t="str">
        <v>Yes</v>
      </c>
    </row>
    <row r="4571" spans="54:70" x14ac:dyDescent="0.2">
      <c r="BB4571" s="94"/>
      <c r="BL4571" s="8">
        <v>4522</v>
      </c>
      <c r="BM4571" s="8">
        <v>8305525.3190453202</v>
      </c>
      <c r="BN4571" s="8">
        <v>0</v>
      </c>
      <c r="BO4571" s="8">
        <v>8305525.3190453202</v>
      </c>
      <c r="BP4571" s="8">
        <v>2023926.3221909902</v>
      </c>
      <c r="BQ4571" s="8">
        <v>-6281598.9968543295</v>
      </c>
      <c r="BR4571" s="8" t="str">
        <v>Yes</v>
      </c>
    </row>
    <row r="4572" spans="54:70" x14ac:dyDescent="0.2">
      <c r="BB4572" s="94"/>
      <c r="BL4572" s="8">
        <v>4523</v>
      </c>
      <c r="BM4572" s="8">
        <v>2280528.0909555736</v>
      </c>
      <c r="BN4572" s="8">
        <v>1787112.3337456414</v>
      </c>
      <c r="BO4572" s="8">
        <v>4067640.4247012148</v>
      </c>
      <c r="BP4572" s="8">
        <v>4566613.4676930597</v>
      </c>
      <c r="BQ4572" s="8">
        <v>498973.04299184494</v>
      </c>
      <c r="BR4572" s="8" t="str">
        <v>No</v>
      </c>
    </row>
    <row r="4573" spans="54:70" x14ac:dyDescent="0.2">
      <c r="BB4573" s="94"/>
      <c r="BL4573" s="8">
        <v>4524</v>
      </c>
      <c r="BM4573" s="8">
        <v>6865802.6978725484</v>
      </c>
      <c r="BN4573" s="8">
        <v>0</v>
      </c>
      <c r="BO4573" s="8">
        <v>6865802.6978725484</v>
      </c>
      <c r="BP4573" s="8">
        <v>4113304.8525272864</v>
      </c>
      <c r="BQ4573" s="8">
        <v>-2752497.845345262</v>
      </c>
      <c r="BR4573" s="8" t="str">
        <v>Yes</v>
      </c>
    </row>
    <row r="4574" spans="54:70" x14ac:dyDescent="0.2">
      <c r="BB4574" s="94"/>
      <c r="BL4574" s="8">
        <v>4525</v>
      </c>
      <c r="BM4574" s="8">
        <v>2788616.1734901033</v>
      </c>
      <c r="BN4574" s="8">
        <v>0</v>
      </c>
      <c r="BO4574" s="8">
        <v>2788616.1734901033</v>
      </c>
      <c r="BP4574" s="8">
        <v>6695349.9014599472</v>
      </c>
      <c r="BQ4574" s="8">
        <v>3906733.7279698439</v>
      </c>
      <c r="BR4574" s="8" t="str">
        <v>No</v>
      </c>
    </row>
    <row r="4575" spans="54:70" x14ac:dyDescent="0.2">
      <c r="BB4575" s="94"/>
      <c r="BL4575" s="8">
        <v>4526</v>
      </c>
      <c r="BM4575" s="8">
        <v>3141808.8455237313</v>
      </c>
      <c r="BN4575" s="8">
        <v>0</v>
      </c>
      <c r="BO4575" s="8">
        <v>3141808.8455237313</v>
      </c>
      <c r="BP4575" s="8">
        <v>3212054.7726902072</v>
      </c>
      <c r="BQ4575" s="8">
        <v>70245.927166475914</v>
      </c>
      <c r="BR4575" s="8" t="str">
        <v>No</v>
      </c>
    </row>
    <row r="4576" spans="54:70" x14ac:dyDescent="0.2">
      <c r="BB4576" s="94"/>
      <c r="BL4576" s="8">
        <v>4527</v>
      </c>
      <c r="BM4576" s="8">
        <v>5778127.9712130083</v>
      </c>
      <c r="BN4576" s="8">
        <v>0</v>
      </c>
      <c r="BO4576" s="8">
        <v>5778127.9712130083</v>
      </c>
      <c r="BP4576" s="8">
        <v>3348332.8068678505</v>
      </c>
      <c r="BQ4576" s="8">
        <v>-2429795.1643451578</v>
      </c>
      <c r="BR4576" s="8" t="str">
        <v>Yes</v>
      </c>
    </row>
    <row r="4577" spans="54:70" x14ac:dyDescent="0.2">
      <c r="BB4577" s="94"/>
      <c r="BL4577" s="8">
        <v>4528</v>
      </c>
      <c r="BM4577" s="8">
        <v>2800700.3090508687</v>
      </c>
      <c r="BN4577" s="8">
        <v>1129599.7416796514</v>
      </c>
      <c r="BO4577" s="8">
        <v>3930300.0507305199</v>
      </c>
      <c r="BP4577" s="8">
        <v>3383204.9500480643</v>
      </c>
      <c r="BQ4577" s="8">
        <v>-547095.10068245558</v>
      </c>
      <c r="BR4577" s="8" t="str">
        <v>Yes</v>
      </c>
    </row>
    <row r="4578" spans="54:70" x14ac:dyDescent="0.2">
      <c r="BB4578" s="94"/>
      <c r="BL4578" s="8">
        <v>4529</v>
      </c>
      <c r="BM4578" s="8">
        <v>4766897.0141069666</v>
      </c>
      <c r="BN4578" s="8">
        <v>2054127.3397667108</v>
      </c>
      <c r="BO4578" s="8">
        <v>6821024.3538736776</v>
      </c>
      <c r="BP4578" s="8">
        <v>6092968.3070607744</v>
      </c>
      <c r="BQ4578" s="8">
        <v>-728056.04681290314</v>
      </c>
      <c r="BR4578" s="8" t="str">
        <v>Yes</v>
      </c>
    </row>
    <row r="4579" spans="54:70" x14ac:dyDescent="0.2">
      <c r="BB4579" s="94"/>
      <c r="BL4579" s="8">
        <v>4530</v>
      </c>
      <c r="BM4579" s="8">
        <v>1248630.1277768444</v>
      </c>
      <c r="BN4579" s="8">
        <v>0</v>
      </c>
      <c r="BO4579" s="8">
        <v>1248630.1277768444</v>
      </c>
      <c r="BP4579" s="8">
        <v>3286511.0772615294</v>
      </c>
      <c r="BQ4579" s="8">
        <v>2037880.949484685</v>
      </c>
      <c r="BR4579" s="8" t="str">
        <v>No</v>
      </c>
    </row>
    <row r="4580" spans="54:70" x14ac:dyDescent="0.2">
      <c r="BB4580" s="94"/>
      <c r="BL4580" s="8">
        <v>4531</v>
      </c>
      <c r="BM4580" s="8">
        <v>3998323.5425491589</v>
      </c>
      <c r="BN4580" s="8">
        <v>2892575.2433222826</v>
      </c>
      <c r="BO4580" s="8">
        <v>6890898.7858714415</v>
      </c>
      <c r="BP4580" s="8">
        <v>4604164.9280691519</v>
      </c>
      <c r="BQ4580" s="8">
        <v>-2286733.8578022895</v>
      </c>
      <c r="BR4580" s="8" t="str">
        <v>Yes</v>
      </c>
    </row>
    <row r="4581" spans="54:70" x14ac:dyDescent="0.2">
      <c r="BB4581" s="94"/>
      <c r="BL4581" s="8">
        <v>4532</v>
      </c>
      <c r="BM4581" s="8">
        <v>3867663.1560532241</v>
      </c>
      <c r="BN4581" s="8">
        <v>1360775.2643613056</v>
      </c>
      <c r="BO4581" s="8">
        <v>5228438.4204145297</v>
      </c>
      <c r="BP4581" s="8">
        <v>6324594.0766657926</v>
      </c>
      <c r="BQ4581" s="8">
        <v>1096155.6562512629</v>
      </c>
      <c r="BR4581" s="8" t="str">
        <v>No</v>
      </c>
    </row>
    <row r="4582" spans="54:70" x14ac:dyDescent="0.2">
      <c r="BB4582" s="94"/>
      <c r="BL4582" s="8">
        <v>4533</v>
      </c>
      <c r="BM4582" s="8">
        <v>4113304.3784432262</v>
      </c>
      <c r="BN4582" s="8">
        <v>0</v>
      </c>
      <c r="BO4582" s="8">
        <v>4113304.3784432262</v>
      </c>
      <c r="BP4582" s="8">
        <v>2332615.0029488248</v>
      </c>
      <c r="BQ4582" s="8">
        <v>-1780689.3754944014</v>
      </c>
      <c r="BR4582" s="8" t="str">
        <v>Yes</v>
      </c>
    </row>
    <row r="4583" spans="54:70" x14ac:dyDescent="0.2">
      <c r="BB4583" s="94"/>
      <c r="BL4583" s="8">
        <v>4534</v>
      </c>
      <c r="BM4583" s="8">
        <v>5395752.3079967191</v>
      </c>
      <c r="BN4583" s="8">
        <v>0</v>
      </c>
      <c r="BO4583" s="8">
        <v>5395752.3079967191</v>
      </c>
      <c r="BP4583" s="8">
        <v>3508442.5956884087</v>
      </c>
      <c r="BQ4583" s="8">
        <v>-1887309.7123083104</v>
      </c>
      <c r="BR4583" s="8" t="str">
        <v>Yes</v>
      </c>
    </row>
    <row r="4584" spans="54:70" x14ac:dyDescent="0.2">
      <c r="BB4584" s="94"/>
      <c r="BL4584" s="8">
        <v>4535</v>
      </c>
      <c r="BM4584" s="8">
        <v>4239453.4402623279</v>
      </c>
      <c r="BN4584" s="8">
        <v>0</v>
      </c>
      <c r="BO4584" s="8">
        <v>4239453.4402623279</v>
      </c>
      <c r="BP4584" s="8">
        <v>3283467.5235377969</v>
      </c>
      <c r="BQ4584" s="8">
        <v>-955985.91672453098</v>
      </c>
      <c r="BR4584" s="8" t="str">
        <v>Yes</v>
      </c>
    </row>
    <row r="4585" spans="54:70" x14ac:dyDescent="0.2">
      <c r="BB4585" s="94"/>
      <c r="BL4585" s="8">
        <v>4536</v>
      </c>
      <c r="BM4585" s="8">
        <v>5780740.0049971147</v>
      </c>
      <c r="BN4585" s="8">
        <v>7265650.3527178559</v>
      </c>
      <c r="BO4585" s="8">
        <v>13046390.35771497</v>
      </c>
      <c r="BP4585" s="8">
        <v>3394964.7999519915</v>
      </c>
      <c r="BQ4585" s="8">
        <v>-9651425.5577629786</v>
      </c>
      <c r="BR4585" s="8" t="str">
        <v>Yes</v>
      </c>
    </row>
    <row r="4586" spans="54:70" x14ac:dyDescent="0.2">
      <c r="BB4586" s="94"/>
      <c r="BL4586" s="8">
        <v>4537</v>
      </c>
      <c r="BM4586" s="8">
        <v>3336125.8665401936</v>
      </c>
      <c r="BN4586" s="8">
        <v>0</v>
      </c>
      <c r="BO4586" s="8">
        <v>3336125.8665401936</v>
      </c>
      <c r="BP4586" s="8">
        <v>5972388.9244721383</v>
      </c>
      <c r="BQ4586" s="8">
        <v>2636263.0579319447</v>
      </c>
      <c r="BR4586" s="8" t="str">
        <v>No</v>
      </c>
    </row>
    <row r="4587" spans="54:70" x14ac:dyDescent="0.2">
      <c r="BB4587" s="94"/>
      <c r="BL4587" s="8">
        <v>4538</v>
      </c>
      <c r="BM4587" s="8">
        <v>1821960.6844703432</v>
      </c>
      <c r="BN4587" s="8">
        <v>1486824.6549426212</v>
      </c>
      <c r="BO4587" s="8">
        <v>3308785.3394129644</v>
      </c>
      <c r="BP4587" s="8">
        <v>2366273.2895058617</v>
      </c>
      <c r="BQ4587" s="8">
        <v>-942512.04990710272</v>
      </c>
      <c r="BR4587" s="8" t="str">
        <v>Yes</v>
      </c>
    </row>
    <row r="4588" spans="54:70" x14ac:dyDescent="0.2">
      <c r="BB4588" s="94"/>
      <c r="BL4588" s="8">
        <v>4539</v>
      </c>
      <c r="BM4588" s="8">
        <v>5852409.14178974</v>
      </c>
      <c r="BN4588" s="8">
        <v>0</v>
      </c>
      <c r="BO4588" s="8">
        <v>5852409.14178974</v>
      </c>
      <c r="BP4588" s="8">
        <v>3416673.6260192506</v>
      </c>
      <c r="BQ4588" s="8">
        <v>-2435735.5157704893</v>
      </c>
      <c r="BR4588" s="8" t="str">
        <v>Yes</v>
      </c>
    </row>
    <row r="4589" spans="54:70" x14ac:dyDescent="0.2">
      <c r="BB4589" s="94"/>
      <c r="BL4589" s="8">
        <v>4540</v>
      </c>
      <c r="BM4589" s="8">
        <v>3635017.9113973547</v>
      </c>
      <c r="BN4589" s="8">
        <v>1650335.0496217988</v>
      </c>
      <c r="BO4589" s="8">
        <v>5285352.9610191537</v>
      </c>
      <c r="BP4589" s="8">
        <v>6084288.9760367526</v>
      </c>
      <c r="BQ4589" s="8">
        <v>798936.01501759887</v>
      </c>
      <c r="BR4589" s="8" t="str">
        <v>No</v>
      </c>
    </row>
    <row r="4590" spans="54:70" x14ac:dyDescent="0.2">
      <c r="BB4590" s="94"/>
      <c r="BL4590" s="8">
        <v>4541</v>
      </c>
      <c r="BM4590" s="8">
        <v>2656706.1229580082</v>
      </c>
      <c r="BN4590" s="8">
        <v>0</v>
      </c>
      <c r="BO4590" s="8">
        <v>2656706.1229580082</v>
      </c>
      <c r="BP4590" s="8">
        <v>3180221.5138985123</v>
      </c>
      <c r="BQ4590" s="8">
        <v>523515.39094050415</v>
      </c>
      <c r="BR4590" s="8" t="str">
        <v>No</v>
      </c>
    </row>
    <row r="4591" spans="54:70" x14ac:dyDescent="0.2">
      <c r="BB4591" s="94"/>
      <c r="BL4591" s="8">
        <v>4542</v>
      </c>
      <c r="BM4591" s="8">
        <v>3925477.0241663111</v>
      </c>
      <c r="BN4591" s="8">
        <v>0</v>
      </c>
      <c r="BO4591" s="8">
        <v>3925477.0241663111</v>
      </c>
      <c r="BP4591" s="8">
        <v>2400936.879401952</v>
      </c>
      <c r="BQ4591" s="8">
        <v>-1524540.1447643591</v>
      </c>
      <c r="BR4591" s="8" t="str">
        <v>Yes</v>
      </c>
    </row>
    <row r="4592" spans="54:70" x14ac:dyDescent="0.2">
      <c r="BB4592" s="94"/>
      <c r="BL4592" s="8">
        <v>4543</v>
      </c>
      <c r="BM4592" s="8">
        <v>3152741.3642122298</v>
      </c>
      <c r="BN4592" s="8">
        <v>0</v>
      </c>
      <c r="BO4592" s="8">
        <v>3152741.3642122298</v>
      </c>
      <c r="BP4592" s="8">
        <v>6118852.6763570141</v>
      </c>
      <c r="BQ4592" s="8">
        <v>2966111.3121447843</v>
      </c>
      <c r="BR4592" s="8" t="str">
        <v>No</v>
      </c>
    </row>
    <row r="4593" spans="54:70" x14ac:dyDescent="0.2">
      <c r="BB4593" s="94"/>
      <c r="BL4593" s="8">
        <v>4544</v>
      </c>
      <c r="BM4593" s="8">
        <v>2996447.6444656448</v>
      </c>
      <c r="BN4593" s="8">
        <v>0</v>
      </c>
      <c r="BO4593" s="8">
        <v>2996447.6444656448</v>
      </c>
      <c r="BP4593" s="8">
        <v>3442874.0497749709</v>
      </c>
      <c r="BQ4593" s="8">
        <v>446426.40530932602</v>
      </c>
      <c r="BR4593" s="8" t="str">
        <v>No</v>
      </c>
    </row>
    <row r="4594" spans="54:70" x14ac:dyDescent="0.2">
      <c r="BB4594" s="94"/>
      <c r="BL4594" s="8">
        <v>4545</v>
      </c>
      <c r="BM4594" s="8">
        <v>4659563.2494066926</v>
      </c>
      <c r="BN4594" s="8">
        <v>0</v>
      </c>
      <c r="BO4594" s="8">
        <v>4659563.2494066926</v>
      </c>
      <c r="BP4594" s="8">
        <v>6776033.4569052309</v>
      </c>
      <c r="BQ4594" s="8">
        <v>2116470.2074985383</v>
      </c>
      <c r="BR4594" s="8" t="str">
        <v>No</v>
      </c>
    </row>
    <row r="4595" spans="54:70" x14ac:dyDescent="0.2">
      <c r="BB4595" s="94"/>
      <c r="BL4595" s="8">
        <v>4546</v>
      </c>
      <c r="BM4595" s="8">
        <v>1893984.8255184367</v>
      </c>
      <c r="BN4595" s="8">
        <v>802293.37159336405</v>
      </c>
      <c r="BO4595" s="8">
        <v>2696278.1971118008</v>
      </c>
      <c r="BP4595" s="8">
        <v>2359281.229833263</v>
      </c>
      <c r="BQ4595" s="8">
        <v>-336996.96727853781</v>
      </c>
      <c r="BR4595" s="8" t="str">
        <v>Yes</v>
      </c>
    </row>
    <row r="4596" spans="54:70" x14ac:dyDescent="0.2">
      <c r="BB4596" s="94"/>
      <c r="BL4596" s="8">
        <v>4547</v>
      </c>
      <c r="BM4596" s="8">
        <v>3074191.33790725</v>
      </c>
      <c r="BN4596" s="8">
        <v>3056676.4691274506</v>
      </c>
      <c r="BO4596" s="8">
        <v>6130867.8070347011</v>
      </c>
      <c r="BP4596" s="8">
        <v>3529756.6432582014</v>
      </c>
      <c r="BQ4596" s="8">
        <v>-2601111.1637764997</v>
      </c>
      <c r="BR4596" s="8" t="str">
        <v>Yes</v>
      </c>
    </row>
    <row r="4597" spans="54:70" x14ac:dyDescent="0.2">
      <c r="BB4597" s="94"/>
      <c r="BL4597" s="8">
        <v>4548</v>
      </c>
      <c r="BM4597" s="8">
        <v>3567378.1423596898</v>
      </c>
      <c r="BN4597" s="8">
        <v>0</v>
      </c>
      <c r="BO4597" s="8">
        <v>3567378.1423596898</v>
      </c>
      <c r="BP4597" s="8">
        <v>3576015.1441564481</v>
      </c>
      <c r="BQ4597" s="8">
        <v>8637.001796758268</v>
      </c>
      <c r="BR4597" s="8" t="str">
        <v>No</v>
      </c>
    </row>
    <row r="4598" spans="54:70" x14ac:dyDescent="0.2">
      <c r="BB4598" s="94"/>
      <c r="BL4598" s="8">
        <v>4549</v>
      </c>
      <c r="BM4598" s="8">
        <v>5060177.2509758901</v>
      </c>
      <c r="BN4598" s="8">
        <v>0</v>
      </c>
      <c r="BO4598" s="8">
        <v>5060177.2509758901</v>
      </c>
      <c r="BP4598" s="8">
        <v>4992210.3404323151</v>
      </c>
      <c r="BQ4598" s="8">
        <v>-67966.910543574952</v>
      </c>
      <c r="BR4598" s="8" t="str">
        <v>Yes</v>
      </c>
    </row>
    <row r="4599" spans="54:70" x14ac:dyDescent="0.2">
      <c r="BB4599" s="94"/>
      <c r="BL4599" s="8">
        <v>4550</v>
      </c>
      <c r="BM4599" s="8">
        <v>6530099.5855264682</v>
      </c>
      <c r="BN4599" s="8">
        <v>5119166.4954584697</v>
      </c>
      <c r="BO4599" s="8">
        <v>11649266.080984939</v>
      </c>
      <c r="BP4599" s="8">
        <v>4421509.0328470394</v>
      </c>
      <c r="BQ4599" s="8">
        <v>-7227757.0481378995</v>
      </c>
      <c r="BR4599" s="8" t="str">
        <v>Yes</v>
      </c>
    </row>
    <row r="4600" spans="54:70" x14ac:dyDescent="0.2">
      <c r="BB4600" s="94"/>
      <c r="BL4600" s="8">
        <v>4551</v>
      </c>
      <c r="BM4600" s="8">
        <v>7015236.0278946618</v>
      </c>
      <c r="BN4600" s="8">
        <v>5910484.2888881536</v>
      </c>
      <c r="BO4600" s="8">
        <v>12925720.316782815</v>
      </c>
      <c r="BP4600" s="8">
        <v>6407244.6284062015</v>
      </c>
      <c r="BQ4600" s="8">
        <v>-6518475.6883766139</v>
      </c>
      <c r="BR4600" s="8" t="str">
        <v>Yes</v>
      </c>
    </row>
    <row r="4601" spans="54:70" x14ac:dyDescent="0.2">
      <c r="BB4601" s="94"/>
      <c r="BL4601" s="8">
        <v>4552</v>
      </c>
      <c r="BM4601" s="8">
        <v>2045222.9753259388</v>
      </c>
      <c r="BN4601" s="8">
        <v>0</v>
      </c>
      <c r="BO4601" s="8">
        <v>2045222.9753259388</v>
      </c>
      <c r="BP4601" s="8">
        <v>4868689.3421725323</v>
      </c>
      <c r="BQ4601" s="8">
        <v>2823466.3668465936</v>
      </c>
      <c r="BR4601" s="8" t="str">
        <v>No</v>
      </c>
    </row>
    <row r="4602" spans="54:70" x14ac:dyDescent="0.2">
      <c r="BB4602" s="94"/>
      <c r="BL4602" s="8">
        <v>4553</v>
      </c>
      <c r="BM4602" s="8">
        <v>8160543.4159420095</v>
      </c>
      <c r="BN4602" s="8">
        <v>10220033.123534499</v>
      </c>
      <c r="BO4602" s="8">
        <v>18380576.539476506</v>
      </c>
      <c r="BP4602" s="8">
        <v>4253966.3982378505</v>
      </c>
      <c r="BQ4602" s="8">
        <v>-14126610.141238656</v>
      </c>
      <c r="BR4602" s="8" t="str">
        <v>Yes</v>
      </c>
    </row>
    <row r="4603" spans="54:70" x14ac:dyDescent="0.2">
      <c r="BB4603" s="94"/>
      <c r="BL4603" s="8">
        <v>4554</v>
      </c>
      <c r="BM4603" s="8">
        <v>10826493.163974985</v>
      </c>
      <c r="BN4603" s="8">
        <v>0</v>
      </c>
      <c r="BO4603" s="8">
        <v>10826493.163974985</v>
      </c>
      <c r="BP4603" s="8">
        <v>2302499.6110146027</v>
      </c>
      <c r="BQ4603" s="8">
        <v>-8523993.5529603828</v>
      </c>
      <c r="BR4603" s="8" t="str">
        <v>Yes</v>
      </c>
    </row>
    <row r="4604" spans="54:70" x14ac:dyDescent="0.2">
      <c r="BB4604" s="94"/>
      <c r="BL4604" s="8">
        <v>4555</v>
      </c>
      <c r="BM4604" s="8">
        <v>7104458.4895937098</v>
      </c>
      <c r="BN4604" s="8">
        <v>0</v>
      </c>
      <c r="BO4604" s="8">
        <v>7104458.4895937098</v>
      </c>
      <c r="BP4604" s="8">
        <v>3166980.0860469337</v>
      </c>
      <c r="BQ4604" s="8">
        <v>-3937478.4035467762</v>
      </c>
      <c r="BR4604" s="8" t="str">
        <v>Yes</v>
      </c>
    </row>
    <row r="4605" spans="54:70" x14ac:dyDescent="0.2">
      <c r="BB4605" s="94"/>
      <c r="BL4605" s="8">
        <v>4556</v>
      </c>
      <c r="BM4605" s="8">
        <v>10750223.991202237</v>
      </c>
      <c r="BN4605" s="8">
        <v>0</v>
      </c>
      <c r="BO4605" s="8">
        <v>10750223.991202237</v>
      </c>
      <c r="BP4605" s="8">
        <v>6543044.3002469772</v>
      </c>
      <c r="BQ4605" s="8">
        <v>-4207179.6909552598</v>
      </c>
      <c r="BR4605" s="8" t="str">
        <v>Yes</v>
      </c>
    </row>
    <row r="4606" spans="54:70" x14ac:dyDescent="0.2">
      <c r="BB4606" s="94"/>
      <c r="BL4606" s="8">
        <v>4557</v>
      </c>
      <c r="BM4606" s="8">
        <v>3413584.7790304879</v>
      </c>
      <c r="BN4606" s="8">
        <v>2696545.3010436264</v>
      </c>
      <c r="BO4606" s="8">
        <v>6110130.0800741147</v>
      </c>
      <c r="BP4606" s="8">
        <v>2186102.852200401</v>
      </c>
      <c r="BQ4606" s="8">
        <v>-3924027.2278737137</v>
      </c>
      <c r="BR4606" s="8" t="str">
        <v>Yes</v>
      </c>
    </row>
    <row r="4607" spans="54:70" x14ac:dyDescent="0.2">
      <c r="BB4607" s="94"/>
      <c r="BL4607" s="8">
        <v>4558</v>
      </c>
      <c r="BM4607" s="8">
        <v>2526815.8876261609</v>
      </c>
      <c r="BN4607" s="8">
        <v>0</v>
      </c>
      <c r="BO4607" s="8">
        <v>2526815.8876261609</v>
      </c>
      <c r="BP4607" s="8">
        <v>2155608.6778500737</v>
      </c>
      <c r="BQ4607" s="8">
        <v>-371207.2097760872</v>
      </c>
      <c r="BR4607" s="8" t="str">
        <v>Yes</v>
      </c>
    </row>
    <row r="4608" spans="54:70" x14ac:dyDescent="0.2">
      <c r="BB4608" s="94"/>
      <c r="BL4608" s="8">
        <v>4559</v>
      </c>
      <c r="BM4608" s="8">
        <v>1828487.2764464661</v>
      </c>
      <c r="BN4608" s="8">
        <v>1542392.178820808</v>
      </c>
      <c r="BO4608" s="8">
        <v>3370879.4552672738</v>
      </c>
      <c r="BP4608" s="8">
        <v>3239610.3573605637</v>
      </c>
      <c r="BQ4608" s="8">
        <v>-131269.09790671011</v>
      </c>
      <c r="BR4608" s="8" t="str">
        <v>Yes</v>
      </c>
    </row>
    <row r="4609" spans="54:70" x14ac:dyDescent="0.2">
      <c r="BB4609" s="94"/>
      <c r="BL4609" s="8">
        <v>4560</v>
      </c>
      <c r="BM4609" s="8">
        <v>4946381.9304420725</v>
      </c>
      <c r="BN4609" s="8">
        <v>0</v>
      </c>
      <c r="BO4609" s="8">
        <v>4946381.9304420725</v>
      </c>
      <c r="BP4609" s="8">
        <v>6375900.203076845</v>
      </c>
      <c r="BQ4609" s="8">
        <v>1429518.2726347726</v>
      </c>
      <c r="BR4609" s="8" t="str">
        <v>No</v>
      </c>
    </row>
    <row r="4610" spans="54:70" x14ac:dyDescent="0.2">
      <c r="BB4610" s="94"/>
      <c r="BL4610" s="8">
        <v>4561</v>
      </c>
      <c r="BM4610" s="8">
        <v>4671354.4565836135</v>
      </c>
      <c r="BN4610" s="8">
        <v>4767550.243342842</v>
      </c>
      <c r="BO4610" s="8">
        <v>9438904.6999264546</v>
      </c>
      <c r="BP4610" s="8">
        <v>3560170.1478217943</v>
      </c>
      <c r="BQ4610" s="8">
        <v>-5878734.5521046603</v>
      </c>
      <c r="BR4610" s="8" t="str">
        <v>Yes</v>
      </c>
    </row>
    <row r="4611" spans="54:70" x14ac:dyDescent="0.2">
      <c r="BB4611" s="94"/>
      <c r="BL4611" s="8">
        <v>4562</v>
      </c>
      <c r="BM4611" s="8">
        <v>5332004.3171447618</v>
      </c>
      <c r="BN4611" s="8">
        <v>0</v>
      </c>
      <c r="BO4611" s="8">
        <v>5332004.3171447618</v>
      </c>
      <c r="BP4611" s="8">
        <v>3400948.3182057259</v>
      </c>
      <c r="BQ4611" s="8">
        <v>-1931055.9989390359</v>
      </c>
      <c r="BR4611" s="8" t="str">
        <v>Yes</v>
      </c>
    </row>
    <row r="4612" spans="54:70" x14ac:dyDescent="0.2">
      <c r="BB4612" s="94"/>
      <c r="BL4612" s="8">
        <v>4563</v>
      </c>
      <c r="BM4612" s="8">
        <v>2809238.2366838288</v>
      </c>
      <c r="BN4612" s="8">
        <v>0</v>
      </c>
      <c r="BO4612" s="8">
        <v>2809238.2366838288</v>
      </c>
      <c r="BP4612" s="8">
        <v>6108879.0428053383</v>
      </c>
      <c r="BQ4612" s="8">
        <v>3299640.8061215095</v>
      </c>
      <c r="BR4612" s="8" t="str">
        <v>No</v>
      </c>
    </row>
    <row r="4613" spans="54:70" x14ac:dyDescent="0.2">
      <c r="BB4613" s="94"/>
      <c r="BL4613" s="8">
        <v>4564</v>
      </c>
      <c r="BM4613" s="8">
        <v>2733931.8887350187</v>
      </c>
      <c r="BN4613" s="8">
        <v>0</v>
      </c>
      <c r="BO4613" s="8">
        <v>2733931.8887350187</v>
      </c>
      <c r="BP4613" s="8">
        <v>3876174.0752115818</v>
      </c>
      <c r="BQ4613" s="8">
        <v>1142242.1864765631</v>
      </c>
      <c r="BR4613" s="8" t="str">
        <v>No</v>
      </c>
    </row>
    <row r="4614" spans="54:70" x14ac:dyDescent="0.2">
      <c r="BB4614" s="94"/>
      <c r="BL4614" s="8">
        <v>4565</v>
      </c>
      <c r="BM4614" s="8">
        <v>3705946.6888178643</v>
      </c>
      <c r="BN4614" s="8">
        <v>3927718.3435174148</v>
      </c>
      <c r="BO4614" s="8">
        <v>7633665.0323352795</v>
      </c>
      <c r="BP4614" s="8">
        <v>3362956.8661404247</v>
      </c>
      <c r="BQ4614" s="8">
        <v>-4270708.1661948543</v>
      </c>
      <c r="BR4614" s="8" t="str">
        <v>Yes</v>
      </c>
    </row>
    <row r="4615" spans="54:70" x14ac:dyDescent="0.2">
      <c r="BB4615" s="94"/>
      <c r="BL4615" s="8">
        <v>4566</v>
      </c>
      <c r="BM4615" s="8">
        <v>9617824.0198424533</v>
      </c>
      <c r="BN4615" s="8">
        <v>0</v>
      </c>
      <c r="BO4615" s="8">
        <v>9617824.0198424533</v>
      </c>
      <c r="BP4615" s="8">
        <v>4868718.540183478</v>
      </c>
      <c r="BQ4615" s="8">
        <v>-4749105.4796589753</v>
      </c>
      <c r="BR4615" s="8" t="str">
        <v>Yes</v>
      </c>
    </row>
    <row r="4616" spans="54:70" x14ac:dyDescent="0.2">
      <c r="BB4616" s="94"/>
      <c r="BL4616" s="8">
        <v>4567</v>
      </c>
      <c r="BM4616" s="8">
        <v>3111893.7553527458</v>
      </c>
      <c r="BN4616" s="8">
        <v>0</v>
      </c>
      <c r="BO4616" s="8">
        <v>3111893.7553527458</v>
      </c>
      <c r="BP4616" s="8">
        <v>3492683.404363269</v>
      </c>
      <c r="BQ4616" s="8">
        <v>380789.64901052322</v>
      </c>
      <c r="BR4616" s="8" t="str">
        <v>No</v>
      </c>
    </row>
    <row r="4617" spans="54:70" x14ac:dyDescent="0.2">
      <c r="BB4617" s="94"/>
      <c r="BL4617" s="8">
        <v>4568</v>
      </c>
      <c r="BM4617" s="8">
        <v>2793766.097605167</v>
      </c>
      <c r="BN4617" s="8">
        <v>1817004.8070058513</v>
      </c>
      <c r="BO4617" s="8">
        <v>4610770.9046110185</v>
      </c>
      <c r="BP4617" s="8">
        <v>2256937.4757531714</v>
      </c>
      <c r="BQ4617" s="8">
        <v>-2353833.4288578471</v>
      </c>
      <c r="BR4617" s="8" t="str">
        <v>Yes</v>
      </c>
    </row>
    <row r="4618" spans="54:70" x14ac:dyDescent="0.2">
      <c r="BB4618" s="94"/>
      <c r="BL4618" s="8">
        <v>4569</v>
      </c>
      <c r="BM4618" s="8">
        <v>5181093.8735873839</v>
      </c>
      <c r="BN4618" s="8">
        <v>0</v>
      </c>
      <c r="BO4618" s="8">
        <v>5181093.8735873839</v>
      </c>
      <c r="BP4618" s="8">
        <v>2195955.6521752514</v>
      </c>
      <c r="BQ4618" s="8">
        <v>-2985138.2214121325</v>
      </c>
      <c r="BR4618" s="8" t="str">
        <v>Yes</v>
      </c>
    </row>
    <row r="4619" spans="54:70" x14ac:dyDescent="0.2">
      <c r="BB4619" s="94"/>
      <c r="BL4619" s="8">
        <v>4570</v>
      </c>
      <c r="BM4619" s="8">
        <v>8017252.2837627986</v>
      </c>
      <c r="BN4619" s="8">
        <v>1303055.5792878924</v>
      </c>
      <c r="BO4619" s="8">
        <v>9320307.8630506918</v>
      </c>
      <c r="BP4619" s="8">
        <v>2160387.7783988691</v>
      </c>
      <c r="BQ4619" s="8">
        <v>-7159920.0846518222</v>
      </c>
      <c r="BR4619" s="8" t="str">
        <v>Yes</v>
      </c>
    </row>
    <row r="4620" spans="54:70" x14ac:dyDescent="0.2">
      <c r="BB4620" s="94"/>
      <c r="BL4620" s="8">
        <v>4571</v>
      </c>
      <c r="BM4620" s="8">
        <v>3664015.5791776851</v>
      </c>
      <c r="BN4620" s="8">
        <v>3158418.665645388</v>
      </c>
      <c r="BO4620" s="8">
        <v>6822434.244823073</v>
      </c>
      <c r="BP4620" s="8">
        <v>3069809.4158203295</v>
      </c>
      <c r="BQ4620" s="8">
        <v>-3752624.8290027436</v>
      </c>
      <c r="BR4620" s="8" t="str">
        <v>Yes</v>
      </c>
    </row>
    <row r="4621" spans="54:70" x14ac:dyDescent="0.2">
      <c r="BB4621" s="94"/>
      <c r="BL4621" s="8">
        <v>4572</v>
      </c>
      <c r="BM4621" s="8">
        <v>3319478.3873659978</v>
      </c>
      <c r="BN4621" s="8">
        <v>0</v>
      </c>
      <c r="BO4621" s="8">
        <v>3319478.3873659978</v>
      </c>
      <c r="BP4621" s="8">
        <v>2417429.7225550325</v>
      </c>
      <c r="BQ4621" s="8">
        <v>-902048.6648109653</v>
      </c>
      <c r="BR4621" s="8" t="str">
        <v>Yes</v>
      </c>
    </row>
    <row r="4622" spans="54:70" x14ac:dyDescent="0.2">
      <c r="BB4622" s="94"/>
      <c r="BL4622" s="8">
        <v>4573</v>
      </c>
      <c r="BM4622" s="8">
        <v>3673100.2950400892</v>
      </c>
      <c r="BN4622" s="8">
        <v>0</v>
      </c>
      <c r="BO4622" s="8">
        <v>3673100.2950400892</v>
      </c>
      <c r="BP4622" s="8">
        <v>6002552.7817642689</v>
      </c>
      <c r="BQ4622" s="8">
        <v>2329452.4867241797</v>
      </c>
      <c r="BR4622" s="8" t="str">
        <v>No</v>
      </c>
    </row>
    <row r="4623" spans="54:70" x14ac:dyDescent="0.2">
      <c r="BB4623" s="94"/>
      <c r="BL4623" s="8">
        <v>4574</v>
      </c>
      <c r="BM4623" s="8">
        <v>6030297.6807226511</v>
      </c>
      <c r="BN4623" s="8">
        <v>0</v>
      </c>
      <c r="BO4623" s="8">
        <v>6030297.6807226511</v>
      </c>
      <c r="BP4623" s="8">
        <v>4299499.0657194359</v>
      </c>
      <c r="BQ4623" s="8">
        <v>-1730798.6150032151</v>
      </c>
      <c r="BR4623" s="8" t="str">
        <v>Yes</v>
      </c>
    </row>
    <row r="4624" spans="54:70" x14ac:dyDescent="0.2">
      <c r="BB4624" s="94"/>
      <c r="BL4624" s="8">
        <v>4575</v>
      </c>
      <c r="BM4624" s="8">
        <v>4337900.386402119</v>
      </c>
      <c r="BN4624" s="8">
        <v>7742554.244460959</v>
      </c>
      <c r="BO4624" s="8">
        <v>12080454.630863078</v>
      </c>
      <c r="BP4624" s="8">
        <v>6438799.4086947422</v>
      </c>
      <c r="BQ4624" s="8">
        <v>-5641655.2221683357</v>
      </c>
      <c r="BR4624" s="8" t="str">
        <v>Yes</v>
      </c>
    </row>
    <row r="4625" spans="54:70" x14ac:dyDescent="0.2">
      <c r="BB4625" s="94"/>
      <c r="BL4625" s="8">
        <v>4576</v>
      </c>
      <c r="BM4625" s="8">
        <v>10424642.792610556</v>
      </c>
      <c r="BN4625" s="8">
        <v>0</v>
      </c>
      <c r="BO4625" s="8">
        <v>10424642.792610556</v>
      </c>
      <c r="BP4625" s="8">
        <v>6340514.6061998736</v>
      </c>
      <c r="BQ4625" s="8">
        <v>-4084128.1864106823</v>
      </c>
      <c r="BR4625" s="8" t="str">
        <v>Yes</v>
      </c>
    </row>
    <row r="4626" spans="54:70" x14ac:dyDescent="0.2">
      <c r="BB4626" s="94"/>
      <c r="BL4626" s="8">
        <v>4577</v>
      </c>
      <c r="BM4626" s="8">
        <v>3748707.4398211343</v>
      </c>
      <c r="BN4626" s="8">
        <v>0</v>
      </c>
      <c r="BO4626" s="8">
        <v>3748707.4398211343</v>
      </c>
      <c r="BP4626" s="8">
        <v>2317685.4702260192</v>
      </c>
      <c r="BQ4626" s="8">
        <v>-1431021.9695951152</v>
      </c>
      <c r="BR4626" s="8" t="str">
        <v>Yes</v>
      </c>
    </row>
    <row r="4627" spans="54:70" x14ac:dyDescent="0.2">
      <c r="BB4627" s="94"/>
      <c r="BL4627" s="8">
        <v>4578</v>
      </c>
      <c r="BM4627" s="8">
        <v>8259696.3547755564</v>
      </c>
      <c r="BN4627" s="8">
        <v>0</v>
      </c>
      <c r="BO4627" s="8">
        <v>8259696.3547755564</v>
      </c>
      <c r="BP4627" s="8">
        <v>3481567.626276372</v>
      </c>
      <c r="BQ4627" s="8">
        <v>-4778128.7284991844</v>
      </c>
      <c r="BR4627" s="8" t="str">
        <v>Yes</v>
      </c>
    </row>
    <row r="4628" spans="54:70" x14ac:dyDescent="0.2">
      <c r="BB4628" s="94"/>
      <c r="BL4628" s="8">
        <v>4579</v>
      </c>
      <c r="BM4628" s="8">
        <v>8858170.580775965</v>
      </c>
      <c r="BN4628" s="8">
        <v>0</v>
      </c>
      <c r="BO4628" s="8">
        <v>8858170.580775965</v>
      </c>
      <c r="BP4628" s="8">
        <v>4740908.8128197743</v>
      </c>
      <c r="BQ4628" s="8">
        <v>-4117261.7679561907</v>
      </c>
      <c r="BR4628" s="8" t="str">
        <v>Yes</v>
      </c>
    </row>
    <row r="4629" spans="54:70" x14ac:dyDescent="0.2">
      <c r="BB4629" s="94"/>
      <c r="BL4629" s="8">
        <v>4580</v>
      </c>
      <c r="BM4629" s="8">
        <v>8826981.2387437019</v>
      </c>
      <c r="BN4629" s="8">
        <v>3985973.6084536486</v>
      </c>
      <c r="BO4629" s="8">
        <v>12812954.84719735</v>
      </c>
      <c r="BP4629" s="8">
        <v>6006596.5116937049</v>
      </c>
      <c r="BQ4629" s="8">
        <v>-6806358.3355036452</v>
      </c>
      <c r="BR4629" s="8" t="str">
        <v>Yes</v>
      </c>
    </row>
    <row r="4630" spans="54:70" x14ac:dyDescent="0.2">
      <c r="BB4630" s="94"/>
      <c r="BL4630" s="8">
        <v>4581</v>
      </c>
      <c r="BM4630" s="8">
        <v>7105097.6096209073</v>
      </c>
      <c r="BN4630" s="8">
        <v>0</v>
      </c>
      <c r="BO4630" s="8">
        <v>7105097.6096209073</v>
      </c>
      <c r="BP4630" s="8">
        <v>4436939.6738980124</v>
      </c>
      <c r="BQ4630" s="8">
        <v>-2668157.935722895</v>
      </c>
      <c r="BR4630" s="8" t="str">
        <v>Yes</v>
      </c>
    </row>
    <row r="4631" spans="54:70" x14ac:dyDescent="0.2">
      <c r="BB4631" s="94"/>
      <c r="BL4631" s="8">
        <v>4582</v>
      </c>
      <c r="BM4631" s="8">
        <v>2133991.5273350161</v>
      </c>
      <c r="BN4631" s="8">
        <v>898426.67689275998</v>
      </c>
      <c r="BO4631" s="8">
        <v>3032418.2042277763</v>
      </c>
      <c r="BP4631" s="8">
        <v>3277179.3994935555</v>
      </c>
      <c r="BQ4631" s="8">
        <v>244761.19526577927</v>
      </c>
      <c r="BR4631" s="8" t="str">
        <v>No</v>
      </c>
    </row>
    <row r="4632" spans="54:70" x14ac:dyDescent="0.2">
      <c r="BB4632" s="94"/>
      <c r="BL4632" s="8">
        <v>4583</v>
      </c>
      <c r="BM4632" s="8">
        <v>4158205.916825898</v>
      </c>
      <c r="BN4632" s="8">
        <v>0</v>
      </c>
      <c r="BO4632" s="8">
        <v>4158205.916825898</v>
      </c>
      <c r="BP4632" s="8">
        <v>6271393.7947769994</v>
      </c>
      <c r="BQ4632" s="8">
        <v>2113187.8779511014</v>
      </c>
      <c r="BR4632" s="8" t="str">
        <v>No</v>
      </c>
    </row>
    <row r="4633" spans="54:70" x14ac:dyDescent="0.2">
      <c r="BB4633" s="94"/>
      <c r="BL4633" s="8">
        <v>4584</v>
      </c>
      <c r="BM4633" s="8">
        <v>2839607.8825631738</v>
      </c>
      <c r="BN4633" s="8">
        <v>0</v>
      </c>
      <c r="BO4633" s="8">
        <v>2839607.8825631738</v>
      </c>
      <c r="BP4633" s="8">
        <v>3313284.9378214353</v>
      </c>
      <c r="BQ4633" s="8">
        <v>473677.05525826151</v>
      </c>
      <c r="BR4633" s="8" t="str">
        <v>No</v>
      </c>
    </row>
    <row r="4634" spans="54:70" x14ac:dyDescent="0.2">
      <c r="BB4634" s="94"/>
      <c r="BL4634" s="8">
        <v>4585</v>
      </c>
      <c r="BM4634" s="8">
        <v>5710629.5588602256</v>
      </c>
      <c r="BN4634" s="8">
        <v>4580629.8536034189</v>
      </c>
      <c r="BO4634" s="8">
        <v>10291259.412463645</v>
      </c>
      <c r="BP4634" s="8">
        <v>6223283.7134239748</v>
      </c>
      <c r="BQ4634" s="8">
        <v>-4067975.6990396697</v>
      </c>
      <c r="BR4634" s="8" t="str">
        <v>Yes</v>
      </c>
    </row>
    <row r="4635" spans="54:70" x14ac:dyDescent="0.2">
      <c r="BB4635" s="94"/>
      <c r="BL4635" s="8">
        <v>4586</v>
      </c>
      <c r="BM4635" s="8">
        <v>7993233.7976765353</v>
      </c>
      <c r="BN4635" s="8">
        <v>0</v>
      </c>
      <c r="BO4635" s="8">
        <v>7993233.7976765353</v>
      </c>
      <c r="BP4635" s="8">
        <v>6056819.8761348603</v>
      </c>
      <c r="BQ4635" s="8">
        <v>-1936413.921541675</v>
      </c>
      <c r="BR4635" s="8" t="str">
        <v>Yes</v>
      </c>
    </row>
    <row r="4636" spans="54:70" x14ac:dyDescent="0.2">
      <c r="BB4636" s="94"/>
      <c r="BL4636" s="8">
        <v>4587</v>
      </c>
      <c r="BM4636" s="8">
        <v>2393031.3794841482</v>
      </c>
      <c r="BN4636" s="8">
        <v>0</v>
      </c>
      <c r="BO4636" s="8">
        <v>2393031.3794841482</v>
      </c>
      <c r="BP4636" s="8">
        <v>2211624.8240365228</v>
      </c>
      <c r="BQ4636" s="8">
        <v>-181406.55544762546</v>
      </c>
      <c r="BR4636" s="8" t="str">
        <v>Yes</v>
      </c>
    </row>
    <row r="4637" spans="54:70" x14ac:dyDescent="0.2">
      <c r="BB4637" s="94"/>
      <c r="BL4637" s="8">
        <v>4588</v>
      </c>
      <c r="BM4637" s="8">
        <v>2961001.7818513457</v>
      </c>
      <c r="BN4637" s="8">
        <v>2778447.7794090547</v>
      </c>
      <c r="BO4637" s="8">
        <v>5739449.5612604003</v>
      </c>
      <c r="BP4637" s="8">
        <v>2202672.0308269095</v>
      </c>
      <c r="BQ4637" s="8">
        <v>-3536777.5304334909</v>
      </c>
      <c r="BR4637" s="8" t="str">
        <v>Yes</v>
      </c>
    </row>
    <row r="4638" spans="54:70" x14ac:dyDescent="0.2">
      <c r="BB4638" s="94"/>
      <c r="BL4638" s="8">
        <v>4589</v>
      </c>
      <c r="BM4638" s="8">
        <v>3147550.173384239</v>
      </c>
      <c r="BN4638" s="8">
        <v>0</v>
      </c>
      <c r="BO4638" s="8">
        <v>3147550.173384239</v>
      </c>
      <c r="BP4638" s="8">
        <v>2596399.0263787834</v>
      </c>
      <c r="BQ4638" s="8">
        <v>-551151.14700545557</v>
      </c>
      <c r="BR4638" s="8" t="str">
        <v>Yes</v>
      </c>
    </row>
    <row r="4639" spans="54:70" x14ac:dyDescent="0.2">
      <c r="BB4639" s="94"/>
      <c r="BL4639" s="8">
        <v>4590</v>
      </c>
      <c r="BM4639" s="8">
        <v>6557170.9518202106</v>
      </c>
      <c r="BN4639" s="8">
        <v>0</v>
      </c>
      <c r="BO4639" s="8">
        <v>6557170.9518202106</v>
      </c>
      <c r="BP4639" s="8">
        <v>3180663.4052342591</v>
      </c>
      <c r="BQ4639" s="8">
        <v>-3376507.5465859515</v>
      </c>
      <c r="BR4639" s="8" t="str">
        <v>Yes</v>
      </c>
    </row>
    <row r="4640" spans="54:70" x14ac:dyDescent="0.2">
      <c r="BB4640" s="94"/>
      <c r="BL4640" s="8">
        <v>4591</v>
      </c>
      <c r="BM4640" s="8">
        <v>2455107.6103393594</v>
      </c>
      <c r="BN4640" s="8">
        <v>0</v>
      </c>
      <c r="BO4640" s="8">
        <v>2455107.6103393594</v>
      </c>
      <c r="BP4640" s="8">
        <v>3129938.5912606902</v>
      </c>
      <c r="BQ4640" s="8">
        <v>674830.98092133086</v>
      </c>
      <c r="BR4640" s="8" t="str">
        <v>No</v>
      </c>
    </row>
    <row r="4641" spans="54:70" x14ac:dyDescent="0.2">
      <c r="BB4641" s="94"/>
      <c r="BL4641" s="8">
        <v>4592</v>
      </c>
      <c r="BM4641" s="8">
        <v>8096285.7064908128</v>
      </c>
      <c r="BN4641" s="8">
        <v>0</v>
      </c>
      <c r="BO4641" s="8">
        <v>8096285.7064908128</v>
      </c>
      <c r="BP4641" s="8">
        <v>2980009.7792946128</v>
      </c>
      <c r="BQ4641" s="8">
        <v>-5116275.9271962</v>
      </c>
      <c r="BR4641" s="8" t="str">
        <v>Yes</v>
      </c>
    </row>
    <row r="4642" spans="54:70" x14ac:dyDescent="0.2">
      <c r="BB4642" s="94"/>
      <c r="BL4642" s="8">
        <v>4593</v>
      </c>
      <c r="BM4642" s="8">
        <v>4595296.5893058088</v>
      </c>
      <c r="BN4642" s="8">
        <v>5077319.9285969026</v>
      </c>
      <c r="BO4642" s="8">
        <v>9672616.5179027114</v>
      </c>
      <c r="BP4642" s="8">
        <v>5478162.9621176319</v>
      </c>
      <c r="BQ4642" s="8">
        <v>-4194453.5557850795</v>
      </c>
      <c r="BR4642" s="8" t="str">
        <v>Yes</v>
      </c>
    </row>
    <row r="4643" spans="54:70" x14ac:dyDescent="0.2">
      <c r="BB4643" s="94"/>
      <c r="BL4643" s="8">
        <v>4594</v>
      </c>
      <c r="BM4643" s="8">
        <v>7029888.5518799406</v>
      </c>
      <c r="BN4643" s="8">
        <v>0</v>
      </c>
      <c r="BO4643" s="8">
        <v>7029888.5518799406</v>
      </c>
      <c r="BP4643" s="8">
        <v>3344299.7816108107</v>
      </c>
      <c r="BQ4643" s="8">
        <v>-3685588.7702691299</v>
      </c>
      <c r="BR4643" s="8" t="str">
        <v>Yes</v>
      </c>
    </row>
    <row r="4644" spans="54:70" x14ac:dyDescent="0.2">
      <c r="BB4644" s="94"/>
      <c r="BL4644" s="8">
        <v>4595</v>
      </c>
      <c r="BM4644" s="8">
        <v>9236664.937294485</v>
      </c>
      <c r="BN4644" s="8">
        <v>0</v>
      </c>
      <c r="BO4644" s="8">
        <v>9236664.937294485</v>
      </c>
      <c r="BP4644" s="8">
        <v>4075079.137492599</v>
      </c>
      <c r="BQ4644" s="8">
        <v>-5161585.7998018861</v>
      </c>
      <c r="BR4644" s="8" t="str">
        <v>Yes</v>
      </c>
    </row>
    <row r="4645" spans="54:70" x14ac:dyDescent="0.2">
      <c r="BB4645" s="94"/>
      <c r="BL4645" s="8">
        <v>4596</v>
      </c>
      <c r="BM4645" s="8">
        <v>10828940.576956047</v>
      </c>
      <c r="BN4645" s="8">
        <v>20049138.347842</v>
      </c>
      <c r="BO4645" s="8">
        <v>30878078.924798049</v>
      </c>
      <c r="BP4645" s="8">
        <v>4190383.5365705327</v>
      </c>
      <c r="BQ4645" s="8">
        <v>-26687695.388227515</v>
      </c>
      <c r="BR4645" s="8" t="str">
        <v>Yes</v>
      </c>
    </row>
    <row r="4646" spans="54:70" x14ac:dyDescent="0.2">
      <c r="BB4646" s="94"/>
      <c r="BL4646" s="8">
        <v>4597</v>
      </c>
      <c r="BM4646" s="8">
        <v>8109899.6600758452</v>
      </c>
      <c r="BN4646" s="8">
        <v>0</v>
      </c>
      <c r="BO4646" s="8">
        <v>8109899.6600758452</v>
      </c>
      <c r="BP4646" s="8">
        <v>2127209.9268915942</v>
      </c>
      <c r="BQ4646" s="8">
        <v>-5982689.733184251</v>
      </c>
      <c r="BR4646" s="8" t="str">
        <v>Yes</v>
      </c>
    </row>
    <row r="4647" spans="54:70" x14ac:dyDescent="0.2">
      <c r="BB4647" s="94"/>
      <c r="BL4647" s="8">
        <v>4598</v>
      </c>
      <c r="BM4647" s="8">
        <v>5239018.4000184331</v>
      </c>
      <c r="BN4647" s="8">
        <v>0</v>
      </c>
      <c r="BO4647" s="8">
        <v>5239018.4000184331</v>
      </c>
      <c r="BP4647" s="8">
        <v>6169971.5099987341</v>
      </c>
      <c r="BQ4647" s="8">
        <v>930953.109980301</v>
      </c>
      <c r="BR4647" s="8" t="str">
        <v>No</v>
      </c>
    </row>
    <row r="4648" spans="54:70" x14ac:dyDescent="0.2">
      <c r="BB4648" s="94"/>
      <c r="BL4648" s="8">
        <v>4599</v>
      </c>
      <c r="BM4648" s="8">
        <v>1763772.0173789219</v>
      </c>
      <c r="BN4648" s="8">
        <v>0</v>
      </c>
      <c r="BO4648" s="8">
        <v>1763772.0173789219</v>
      </c>
      <c r="BP4648" s="8">
        <v>3600908.1367250574</v>
      </c>
      <c r="BQ4648" s="8">
        <v>1837136.1193461355</v>
      </c>
      <c r="BR4648" s="8" t="str">
        <v>No</v>
      </c>
    </row>
    <row r="4649" spans="54:70" x14ac:dyDescent="0.2">
      <c r="BB4649" s="94"/>
      <c r="BL4649" s="8">
        <v>4600</v>
      </c>
      <c r="BM4649" s="8">
        <v>4871823.8249650169</v>
      </c>
      <c r="BN4649" s="8">
        <v>0</v>
      </c>
      <c r="BO4649" s="8">
        <v>4871823.8249650169</v>
      </c>
      <c r="BP4649" s="8">
        <v>4240757.9442092311</v>
      </c>
      <c r="BQ4649" s="8">
        <v>-631065.88075578585</v>
      </c>
      <c r="BR4649" s="8" t="str">
        <v>Yes</v>
      </c>
    </row>
    <row r="4650" spans="54:70" x14ac:dyDescent="0.2">
      <c r="BB4650" s="94"/>
      <c r="BL4650" s="8">
        <v>4601</v>
      </c>
      <c r="BM4650" s="8">
        <v>4714603.34785737</v>
      </c>
      <c r="BN4650" s="8">
        <v>0</v>
      </c>
      <c r="BO4650" s="8">
        <v>4714603.34785737</v>
      </c>
      <c r="BP4650" s="8">
        <v>3456328.3190257829</v>
      </c>
      <c r="BQ4650" s="8">
        <v>-1258275.0288315872</v>
      </c>
      <c r="BR4650" s="8" t="str">
        <v>Yes</v>
      </c>
    </row>
    <row r="4651" spans="54:70" x14ac:dyDescent="0.2">
      <c r="BB4651" s="94"/>
      <c r="BL4651" s="8">
        <v>4602</v>
      </c>
      <c r="BM4651" s="8">
        <v>9339638.5858893748</v>
      </c>
      <c r="BN4651" s="8">
        <v>8046736.2887475034</v>
      </c>
      <c r="BO4651" s="8">
        <v>17386374.874636877</v>
      </c>
      <c r="BP4651" s="8">
        <v>2506615.5953775942</v>
      </c>
      <c r="BQ4651" s="8">
        <v>-14879759.279259283</v>
      </c>
      <c r="BR4651" s="8" t="str">
        <v>Yes</v>
      </c>
    </row>
    <row r="4652" spans="54:70" x14ac:dyDescent="0.2">
      <c r="BB4652" s="94"/>
      <c r="BL4652" s="8">
        <v>4603</v>
      </c>
      <c r="BM4652" s="8">
        <v>4470772.4965767162</v>
      </c>
      <c r="BN4652" s="8">
        <v>0</v>
      </c>
      <c r="BO4652" s="8">
        <v>4470772.4965767162</v>
      </c>
      <c r="BP4652" s="8">
        <v>2074936.1926311636</v>
      </c>
      <c r="BQ4652" s="8">
        <v>-2395836.3039455526</v>
      </c>
      <c r="BR4652" s="8" t="str">
        <v>Yes</v>
      </c>
    </row>
    <row r="4653" spans="54:70" x14ac:dyDescent="0.2">
      <c r="BB4653" s="94"/>
      <c r="BL4653" s="8">
        <v>4604</v>
      </c>
      <c r="BM4653" s="8">
        <v>10072403.072991814</v>
      </c>
      <c r="BN4653" s="8">
        <v>0</v>
      </c>
      <c r="BO4653" s="8">
        <v>10072403.072991814</v>
      </c>
      <c r="BP4653" s="8">
        <v>3736535.2888073088</v>
      </c>
      <c r="BQ4653" s="8">
        <v>-6335867.7841845062</v>
      </c>
      <c r="BR4653" s="8" t="str">
        <v>Yes</v>
      </c>
    </row>
    <row r="4654" spans="54:70" x14ac:dyDescent="0.2">
      <c r="BB4654" s="94"/>
      <c r="BL4654" s="8">
        <v>4605</v>
      </c>
      <c r="BM4654" s="8">
        <v>5431776.2417788766</v>
      </c>
      <c r="BN4654" s="8">
        <v>0</v>
      </c>
      <c r="BO4654" s="8">
        <v>5431776.2417788766</v>
      </c>
      <c r="BP4654" s="8">
        <v>4076053.0637234701</v>
      </c>
      <c r="BQ4654" s="8">
        <v>-1355723.1780554065</v>
      </c>
      <c r="BR4654" s="8" t="str">
        <v>Yes</v>
      </c>
    </row>
    <row r="4655" spans="54:70" x14ac:dyDescent="0.2">
      <c r="BB4655" s="94"/>
      <c r="BL4655" s="8">
        <v>4606</v>
      </c>
      <c r="BM4655" s="8">
        <v>4187668.8400115054</v>
      </c>
      <c r="BN4655" s="8">
        <v>3308480.4622905157</v>
      </c>
      <c r="BO4655" s="8">
        <v>7496149.3023020215</v>
      </c>
      <c r="BP4655" s="8">
        <v>4160767.7238754313</v>
      </c>
      <c r="BQ4655" s="8">
        <v>-3335381.5784265902</v>
      </c>
      <c r="BR4655" s="8" t="str">
        <v>Yes</v>
      </c>
    </row>
    <row r="4656" spans="54:70" x14ac:dyDescent="0.2">
      <c r="BB4656" s="94"/>
      <c r="BL4656" s="8">
        <v>4607</v>
      </c>
      <c r="BM4656" s="8">
        <v>7202568.5161750279</v>
      </c>
      <c r="BN4656" s="8">
        <v>0</v>
      </c>
      <c r="BO4656" s="8">
        <v>7202568.5161750279</v>
      </c>
      <c r="BP4656" s="8">
        <v>5974963.3465607986</v>
      </c>
      <c r="BQ4656" s="8">
        <v>-1227605.1696142294</v>
      </c>
      <c r="BR4656" s="8" t="str">
        <v>Yes</v>
      </c>
    </row>
    <row r="4657" spans="54:70" x14ac:dyDescent="0.2">
      <c r="BB4657" s="94"/>
      <c r="BL4657" s="8">
        <v>4608</v>
      </c>
      <c r="BM4657" s="8">
        <v>6016917.7519698339</v>
      </c>
      <c r="BN4657" s="8">
        <v>2604378.1383043565</v>
      </c>
      <c r="BO4657" s="8">
        <v>8621295.8902741894</v>
      </c>
      <c r="BP4657" s="8">
        <v>2156907.610308635</v>
      </c>
      <c r="BQ4657" s="8">
        <v>-6464388.2799655544</v>
      </c>
      <c r="BR4657" s="8" t="str">
        <v>Yes</v>
      </c>
    </row>
    <row r="4658" spans="54:70" x14ac:dyDescent="0.2">
      <c r="BB4658" s="94"/>
      <c r="BL4658" s="8">
        <v>4609</v>
      </c>
      <c r="BM4658" s="8">
        <v>5927874.9424855206</v>
      </c>
      <c r="BN4658" s="8">
        <v>7356255.0476769712</v>
      </c>
      <c r="BO4658" s="8">
        <v>13284129.990162492</v>
      </c>
      <c r="BP4658" s="8">
        <v>6069684.0771061396</v>
      </c>
      <c r="BQ4658" s="8">
        <v>-7214445.9130563522</v>
      </c>
      <c r="BR4658" s="8" t="str">
        <v>Yes</v>
      </c>
    </row>
    <row r="4659" spans="54:70" x14ac:dyDescent="0.2">
      <c r="BB4659" s="94"/>
      <c r="BL4659" s="8">
        <v>4610</v>
      </c>
      <c r="BM4659" s="8">
        <v>3820813.7360103987</v>
      </c>
      <c r="BN4659" s="8">
        <v>0</v>
      </c>
      <c r="BO4659" s="8">
        <v>3820813.7360103987</v>
      </c>
      <c r="BP4659" s="8">
        <v>2513259.8595292284</v>
      </c>
      <c r="BQ4659" s="8">
        <v>-1307553.8764811703</v>
      </c>
      <c r="BR4659" s="8" t="str">
        <v>Yes</v>
      </c>
    </row>
    <row r="4660" spans="54:70" x14ac:dyDescent="0.2">
      <c r="BB4660" s="94"/>
      <c r="BL4660" s="8">
        <v>4611</v>
      </c>
      <c r="BM4660" s="8">
        <v>4852482.3775484664</v>
      </c>
      <c r="BN4660" s="8">
        <v>0</v>
      </c>
      <c r="BO4660" s="8">
        <v>4852482.3775484664</v>
      </c>
      <c r="BP4660" s="8">
        <v>6539163.355418832</v>
      </c>
      <c r="BQ4660" s="8">
        <v>1686680.9778703656</v>
      </c>
      <c r="BR4660" s="8" t="str">
        <v>No</v>
      </c>
    </row>
    <row r="4661" spans="54:70" x14ac:dyDescent="0.2">
      <c r="BB4661" s="94"/>
      <c r="BL4661" s="8">
        <v>4612</v>
      </c>
      <c r="BM4661" s="8">
        <v>5407660.563440091</v>
      </c>
      <c r="BN4661" s="8">
        <v>1706485.4375932696</v>
      </c>
      <c r="BO4661" s="8">
        <v>7114146.0010333601</v>
      </c>
      <c r="BP4661" s="8">
        <v>3422075.1935658217</v>
      </c>
      <c r="BQ4661" s="8">
        <v>-3692070.8074675384</v>
      </c>
      <c r="BR4661" s="8" t="str">
        <v>Yes</v>
      </c>
    </row>
    <row r="4662" spans="54:70" x14ac:dyDescent="0.2">
      <c r="BB4662" s="94"/>
      <c r="BL4662" s="8">
        <v>4613</v>
      </c>
      <c r="BM4662" s="8">
        <v>6144310.6680956129</v>
      </c>
      <c r="BN4662" s="8">
        <v>744804.92112533201</v>
      </c>
      <c r="BO4662" s="8">
        <v>6889115.5892209448</v>
      </c>
      <c r="BP4662" s="8">
        <v>5908511.8942030435</v>
      </c>
      <c r="BQ4662" s="8">
        <v>-980603.69501790125</v>
      </c>
      <c r="BR4662" s="8" t="str">
        <v>Yes</v>
      </c>
    </row>
    <row r="4663" spans="54:70" x14ac:dyDescent="0.2">
      <c r="BB4663" s="94"/>
      <c r="BL4663" s="8">
        <v>4614</v>
      </c>
      <c r="BM4663" s="8">
        <v>4834970.2447799388</v>
      </c>
      <c r="BN4663" s="8">
        <v>0</v>
      </c>
      <c r="BO4663" s="8">
        <v>4834970.2447799388</v>
      </c>
      <c r="BP4663" s="8">
        <v>6242267.1578370566</v>
      </c>
      <c r="BQ4663" s="8">
        <v>1407296.9130571177</v>
      </c>
      <c r="BR4663" s="8" t="str">
        <v>No</v>
      </c>
    </row>
    <row r="4664" spans="54:70" x14ac:dyDescent="0.2">
      <c r="BB4664" s="94"/>
      <c r="BL4664" s="8">
        <v>4615</v>
      </c>
      <c r="BM4664" s="8">
        <v>3074468.3983868435</v>
      </c>
      <c r="BN4664" s="8">
        <v>0</v>
      </c>
      <c r="BO4664" s="8">
        <v>3074468.3983868435</v>
      </c>
      <c r="BP4664" s="8">
        <v>2128839.8328328417</v>
      </c>
      <c r="BQ4664" s="8">
        <v>-945628.56555400183</v>
      </c>
      <c r="BR4664" s="8" t="str">
        <v>Yes</v>
      </c>
    </row>
    <row r="4665" spans="54:70" x14ac:dyDescent="0.2">
      <c r="BB4665" s="94"/>
      <c r="BL4665" s="8">
        <v>4616</v>
      </c>
      <c r="BM4665" s="8">
        <v>6357585.2223015651</v>
      </c>
      <c r="BN4665" s="8">
        <v>0</v>
      </c>
      <c r="BO4665" s="8">
        <v>6357585.2223015651</v>
      </c>
      <c r="BP4665" s="8">
        <v>3853940.2441886687</v>
      </c>
      <c r="BQ4665" s="8">
        <v>-2503644.9781128964</v>
      </c>
      <c r="BR4665" s="8" t="str">
        <v>Yes</v>
      </c>
    </row>
    <row r="4666" spans="54:70" x14ac:dyDescent="0.2">
      <c r="BB4666" s="94"/>
      <c r="BL4666" s="8">
        <v>4617</v>
      </c>
      <c r="BM4666" s="8">
        <v>3287225.2134093605</v>
      </c>
      <c r="BN4666" s="8">
        <v>0</v>
      </c>
      <c r="BO4666" s="8">
        <v>3287225.2134093605</v>
      </c>
      <c r="BP4666" s="8">
        <v>2253005.6908674571</v>
      </c>
      <c r="BQ4666" s="8">
        <v>-1034219.5225419034</v>
      </c>
      <c r="BR4666" s="8" t="str">
        <v>Yes</v>
      </c>
    </row>
    <row r="4667" spans="54:70" x14ac:dyDescent="0.2">
      <c r="BB4667" s="94"/>
      <c r="BL4667" s="8">
        <v>4618</v>
      </c>
      <c r="BM4667" s="8">
        <v>3220438.7484214492</v>
      </c>
      <c r="BN4667" s="8">
        <v>1978805.8844603824</v>
      </c>
      <c r="BO4667" s="8">
        <v>5199244.6328818314</v>
      </c>
      <c r="BP4667" s="8">
        <v>2344274.8472546302</v>
      </c>
      <c r="BQ4667" s="8">
        <v>-2854969.7856272012</v>
      </c>
      <c r="BR4667" s="8" t="str">
        <v>Yes</v>
      </c>
    </row>
    <row r="4668" spans="54:70" x14ac:dyDescent="0.2">
      <c r="BB4668" s="94"/>
      <c r="BL4668" s="8">
        <v>4619</v>
      </c>
      <c r="BM4668" s="8">
        <v>2729605.1609991416</v>
      </c>
      <c r="BN4668" s="8">
        <v>1999143.4106578592</v>
      </c>
      <c r="BO4668" s="8">
        <v>4728748.571657001</v>
      </c>
      <c r="BP4668" s="8">
        <v>3082301.806078881</v>
      </c>
      <c r="BQ4668" s="8">
        <v>-1646446.76557812</v>
      </c>
      <c r="BR4668" s="8" t="str">
        <v>Yes</v>
      </c>
    </row>
    <row r="4669" spans="54:70" x14ac:dyDescent="0.2">
      <c r="BB4669" s="94"/>
      <c r="BL4669" s="8">
        <v>4620</v>
      </c>
      <c r="BM4669" s="8">
        <v>4274878.4078820897</v>
      </c>
      <c r="BN4669" s="8">
        <v>0</v>
      </c>
      <c r="BO4669" s="8">
        <v>4274878.4078820897</v>
      </c>
      <c r="BP4669" s="8">
        <v>4133719.4420145447</v>
      </c>
      <c r="BQ4669" s="8">
        <v>-141158.96586754499</v>
      </c>
      <c r="BR4669" s="8" t="str">
        <v>Yes</v>
      </c>
    </row>
    <row r="4670" spans="54:70" x14ac:dyDescent="0.2">
      <c r="BB4670" s="94"/>
      <c r="BL4670" s="8">
        <v>4621</v>
      </c>
      <c r="BM4670" s="8">
        <v>4641924.8867660807</v>
      </c>
      <c r="BN4670" s="8">
        <v>2216821.1829948705</v>
      </c>
      <c r="BO4670" s="8">
        <v>6858746.0697609512</v>
      </c>
      <c r="BP4670" s="8">
        <v>7049694.1936316723</v>
      </c>
      <c r="BQ4670" s="8">
        <v>190948.12387072109</v>
      </c>
      <c r="BR4670" s="8" t="str">
        <v>No</v>
      </c>
    </row>
    <row r="4671" spans="54:70" x14ac:dyDescent="0.2">
      <c r="BB4671" s="94"/>
      <c r="BL4671" s="8">
        <v>4622</v>
      </c>
      <c r="BM4671" s="8">
        <v>6803733.8333015386</v>
      </c>
      <c r="BN4671" s="8">
        <v>0</v>
      </c>
      <c r="BO4671" s="8">
        <v>6803733.8333015386</v>
      </c>
      <c r="BP4671" s="8">
        <v>4261644.6982256481</v>
      </c>
      <c r="BQ4671" s="8">
        <v>-2542089.1350758905</v>
      </c>
      <c r="BR4671" s="8" t="str">
        <v>Yes</v>
      </c>
    </row>
    <row r="4672" spans="54:70" x14ac:dyDescent="0.2">
      <c r="BB4672" s="94"/>
      <c r="BL4672" s="8">
        <v>4623</v>
      </c>
      <c r="BM4672" s="8">
        <v>2124097.8892621133</v>
      </c>
      <c r="BN4672" s="8">
        <v>543180.73036960687</v>
      </c>
      <c r="BO4672" s="8">
        <v>2667278.6196317202</v>
      </c>
      <c r="BP4672" s="8">
        <v>3354728.7956573293</v>
      </c>
      <c r="BQ4672" s="8">
        <v>687450.17602560902</v>
      </c>
      <c r="BR4672" s="8" t="str">
        <v>No</v>
      </c>
    </row>
    <row r="4673" spans="54:70" x14ac:dyDescent="0.2">
      <c r="BB4673" s="94"/>
      <c r="BL4673" s="8">
        <v>4624</v>
      </c>
      <c r="BM4673" s="8">
        <v>2404690.7166562662</v>
      </c>
      <c r="BN4673" s="8">
        <v>1416652.3394506171</v>
      </c>
      <c r="BO4673" s="8">
        <v>3821343.0561068831</v>
      </c>
      <c r="BP4673" s="8">
        <v>3141327.9296073453</v>
      </c>
      <c r="BQ4673" s="8">
        <v>-680015.12649953784</v>
      </c>
      <c r="BR4673" s="8" t="str">
        <v>Yes</v>
      </c>
    </row>
    <row r="4674" spans="54:70" x14ac:dyDescent="0.2">
      <c r="BB4674" s="94"/>
      <c r="BL4674" s="8">
        <v>4625</v>
      </c>
      <c r="BM4674" s="8">
        <v>2932919.7772154324</v>
      </c>
      <c r="BN4674" s="8">
        <v>0</v>
      </c>
      <c r="BO4674" s="8">
        <v>2932919.7772154324</v>
      </c>
      <c r="BP4674" s="8">
        <v>2125271.2392697316</v>
      </c>
      <c r="BQ4674" s="8">
        <v>-807648.53794570081</v>
      </c>
      <c r="BR4674" s="8" t="str">
        <v>Yes</v>
      </c>
    </row>
    <row r="4675" spans="54:70" x14ac:dyDescent="0.2">
      <c r="BB4675" s="94"/>
      <c r="BL4675" s="8">
        <v>4626</v>
      </c>
      <c r="BM4675" s="8">
        <v>3249505.9084781148</v>
      </c>
      <c r="BN4675" s="8">
        <v>2321362.9229791756</v>
      </c>
      <c r="BO4675" s="8">
        <v>5570868.8314572908</v>
      </c>
      <c r="BP4675" s="8">
        <v>6224836.2320187772</v>
      </c>
      <c r="BQ4675" s="8">
        <v>653967.40056148637</v>
      </c>
      <c r="BR4675" s="8" t="str">
        <v>No</v>
      </c>
    </row>
    <row r="4676" spans="54:70" x14ac:dyDescent="0.2">
      <c r="BB4676" s="94"/>
      <c r="BL4676" s="8">
        <v>4627</v>
      </c>
      <c r="BM4676" s="8">
        <v>4530322.8799679698</v>
      </c>
      <c r="BN4676" s="8">
        <v>2424444.067349636</v>
      </c>
      <c r="BO4676" s="8">
        <v>6954766.9473176058</v>
      </c>
      <c r="BP4676" s="8">
        <v>5851472.7796603767</v>
      </c>
      <c r="BQ4676" s="8">
        <v>-1103294.1676572291</v>
      </c>
      <c r="BR4676" s="8" t="str">
        <v>Yes</v>
      </c>
    </row>
    <row r="4677" spans="54:70" x14ac:dyDescent="0.2">
      <c r="BB4677" s="94"/>
      <c r="BL4677" s="8">
        <v>4628</v>
      </c>
      <c r="BM4677" s="8">
        <v>5334869.4862887282</v>
      </c>
      <c r="BN4677" s="8">
        <v>0</v>
      </c>
      <c r="BO4677" s="8">
        <v>5334869.4862887282</v>
      </c>
      <c r="BP4677" s="8">
        <v>3771817.9535109061</v>
      </c>
      <c r="BQ4677" s="8">
        <v>-1563051.5327778221</v>
      </c>
      <c r="BR4677" s="8" t="str">
        <v>Yes</v>
      </c>
    </row>
    <row r="4678" spans="54:70" x14ac:dyDescent="0.2">
      <c r="BB4678" s="94"/>
      <c r="BL4678" s="8">
        <v>4629</v>
      </c>
      <c r="BM4678" s="8">
        <v>3044916.6436262671</v>
      </c>
      <c r="BN4678" s="8">
        <v>377879.0528631137</v>
      </c>
      <c r="BO4678" s="8">
        <v>3422795.6964893807</v>
      </c>
      <c r="BP4678" s="8">
        <v>3384277.2560009537</v>
      </c>
      <c r="BQ4678" s="8">
        <v>-38518.440488426946</v>
      </c>
      <c r="BR4678" s="8" t="str">
        <v>Yes</v>
      </c>
    </row>
    <row r="4679" spans="54:70" x14ac:dyDescent="0.2">
      <c r="BB4679" s="94"/>
      <c r="BL4679" s="8">
        <v>4630</v>
      </c>
      <c r="BM4679" s="8">
        <v>4937036.7901186906</v>
      </c>
      <c r="BN4679" s="8">
        <v>0</v>
      </c>
      <c r="BO4679" s="8">
        <v>4937036.7901186906</v>
      </c>
      <c r="BP4679" s="8">
        <v>2491117.5607572468</v>
      </c>
      <c r="BQ4679" s="8">
        <v>-2445919.2293614438</v>
      </c>
      <c r="BR4679" s="8" t="str">
        <v>Yes</v>
      </c>
    </row>
    <row r="4680" spans="54:70" x14ac:dyDescent="0.2">
      <c r="BB4680" s="94"/>
      <c r="BL4680" s="8">
        <v>4631</v>
      </c>
      <c r="BM4680" s="8">
        <v>4664091.7435493842</v>
      </c>
      <c r="BN4680" s="8">
        <v>0</v>
      </c>
      <c r="BO4680" s="8">
        <v>4664091.7435493842</v>
      </c>
      <c r="BP4680" s="8">
        <v>5984040.8269906035</v>
      </c>
      <c r="BQ4680" s="8">
        <v>1319949.0834412193</v>
      </c>
      <c r="BR4680" s="8" t="str">
        <v>No</v>
      </c>
    </row>
    <row r="4681" spans="54:70" x14ac:dyDescent="0.2">
      <c r="BB4681" s="94"/>
      <c r="BL4681" s="8">
        <v>4632</v>
      </c>
      <c r="BM4681" s="8">
        <v>6374576.8850569976</v>
      </c>
      <c r="BN4681" s="8">
        <v>0</v>
      </c>
      <c r="BO4681" s="8">
        <v>6374576.8850569976</v>
      </c>
      <c r="BP4681" s="8">
        <v>5841585.8491795687</v>
      </c>
      <c r="BQ4681" s="8">
        <v>-532991.03587742895</v>
      </c>
      <c r="BR4681" s="8" t="str">
        <v>Yes</v>
      </c>
    </row>
    <row r="4682" spans="54:70" x14ac:dyDescent="0.2">
      <c r="BB4682" s="94"/>
      <c r="BL4682" s="8">
        <v>4633</v>
      </c>
      <c r="BM4682" s="8">
        <v>3292852.3704872406</v>
      </c>
      <c r="BN4682" s="8">
        <v>0</v>
      </c>
      <c r="BO4682" s="8">
        <v>3292852.3704872406</v>
      </c>
      <c r="BP4682" s="8">
        <v>5628640.0998148667</v>
      </c>
      <c r="BQ4682" s="8">
        <v>2335787.7293276261</v>
      </c>
      <c r="BR4682" s="8" t="str">
        <v>No</v>
      </c>
    </row>
    <row r="4683" spans="54:70" x14ac:dyDescent="0.2">
      <c r="BB4683" s="94"/>
      <c r="BL4683" s="8">
        <v>4634</v>
      </c>
      <c r="BM4683" s="8">
        <v>2953551.3120756359</v>
      </c>
      <c r="BN4683" s="8">
        <v>1287266.9741159952</v>
      </c>
      <c r="BO4683" s="8">
        <v>4240818.2861916311</v>
      </c>
      <c r="BP4683" s="8">
        <v>3893180.319095585</v>
      </c>
      <c r="BQ4683" s="8">
        <v>-347637.96709604608</v>
      </c>
      <c r="BR4683" s="8" t="str">
        <v>Yes</v>
      </c>
    </row>
    <row r="4684" spans="54:70" x14ac:dyDescent="0.2">
      <c r="BB4684" s="94"/>
      <c r="BL4684" s="8">
        <v>4635</v>
      </c>
      <c r="BM4684" s="8">
        <v>8753269.8571851328</v>
      </c>
      <c r="BN4684" s="8">
        <v>4940597.133571974</v>
      </c>
      <c r="BO4684" s="8">
        <v>13693866.990757108</v>
      </c>
      <c r="BP4684" s="8">
        <v>6161301.1582265645</v>
      </c>
      <c r="BQ4684" s="8">
        <v>-7532565.8325305432</v>
      </c>
      <c r="BR4684" s="8" t="str">
        <v>Yes</v>
      </c>
    </row>
    <row r="4685" spans="54:70" x14ac:dyDescent="0.2">
      <c r="BB4685" s="94"/>
      <c r="BL4685" s="8">
        <v>4636</v>
      </c>
      <c r="BM4685" s="8">
        <v>3147053.1908398191</v>
      </c>
      <c r="BN4685" s="8">
        <v>1654865.9778253078</v>
      </c>
      <c r="BO4685" s="8">
        <v>4801919.1686651269</v>
      </c>
      <c r="BP4685" s="8">
        <v>4337706.9480316862</v>
      </c>
      <c r="BQ4685" s="8">
        <v>-464212.22063344065</v>
      </c>
      <c r="BR4685" s="8" t="str">
        <v>Yes</v>
      </c>
    </row>
    <row r="4686" spans="54:70" x14ac:dyDescent="0.2">
      <c r="BB4686" s="94"/>
      <c r="BL4686" s="8">
        <v>4637</v>
      </c>
      <c r="BM4686" s="8">
        <v>2827939.2294252105</v>
      </c>
      <c r="BN4686" s="8">
        <v>917318.06702136574</v>
      </c>
      <c r="BO4686" s="8">
        <v>3745257.2964465762</v>
      </c>
      <c r="BP4686" s="8">
        <v>6965449.4118668986</v>
      </c>
      <c r="BQ4686" s="8">
        <v>3220192.1154203224</v>
      </c>
      <c r="BR4686" s="8" t="str">
        <v>No</v>
      </c>
    </row>
    <row r="4687" spans="54:70" x14ac:dyDescent="0.2">
      <c r="BB4687" s="94"/>
      <c r="BL4687" s="8">
        <v>4638</v>
      </c>
      <c r="BM4687" s="8">
        <v>4087688.1490108138</v>
      </c>
      <c r="BN4687" s="8">
        <v>0</v>
      </c>
      <c r="BO4687" s="8">
        <v>4087688.1490108138</v>
      </c>
      <c r="BP4687" s="8">
        <v>4430889.3025888139</v>
      </c>
      <c r="BQ4687" s="8">
        <v>343201.15357800014</v>
      </c>
      <c r="BR4687" s="8" t="str">
        <v>No</v>
      </c>
    </row>
    <row r="4688" spans="54:70" x14ac:dyDescent="0.2">
      <c r="BB4688" s="94"/>
      <c r="BL4688" s="8">
        <v>4639</v>
      </c>
      <c r="BM4688" s="8">
        <v>2770894.378774737</v>
      </c>
      <c r="BN4688" s="8">
        <v>0</v>
      </c>
      <c r="BO4688" s="8">
        <v>2770894.378774737</v>
      </c>
      <c r="BP4688" s="8">
        <v>3420443.5551601895</v>
      </c>
      <c r="BQ4688" s="8">
        <v>649549.17638545251</v>
      </c>
      <c r="BR4688" s="8" t="str">
        <v>No</v>
      </c>
    </row>
    <row r="4689" spans="54:70" x14ac:dyDescent="0.2">
      <c r="BB4689" s="94"/>
      <c r="BL4689" s="8">
        <v>4640</v>
      </c>
      <c r="BM4689" s="8">
        <v>11024671.964790236</v>
      </c>
      <c r="BN4689" s="8">
        <v>12898038.93323227</v>
      </c>
      <c r="BO4689" s="8">
        <v>23922710.898022506</v>
      </c>
      <c r="BP4689" s="8">
        <v>3364570.4849172542</v>
      </c>
      <c r="BQ4689" s="8">
        <v>-20558140.413105253</v>
      </c>
      <c r="BR4689" s="8" t="str">
        <v>Yes</v>
      </c>
    </row>
    <row r="4690" spans="54:70" x14ac:dyDescent="0.2">
      <c r="BB4690" s="94"/>
      <c r="BL4690" s="8">
        <v>4641</v>
      </c>
      <c r="BM4690" s="8">
        <v>2083126.9014882697</v>
      </c>
      <c r="BN4690" s="8">
        <v>0</v>
      </c>
      <c r="BO4690" s="8">
        <v>2083126.9014882697</v>
      </c>
      <c r="BP4690" s="8">
        <v>6283831.7099911869</v>
      </c>
      <c r="BQ4690" s="8">
        <v>4200704.8085029172</v>
      </c>
      <c r="BR4690" s="8" t="str">
        <v>No</v>
      </c>
    </row>
    <row r="4691" spans="54:70" x14ac:dyDescent="0.2">
      <c r="BB4691" s="94"/>
      <c r="BL4691" s="8">
        <v>4642</v>
      </c>
      <c r="BM4691" s="8">
        <v>4178149.4252058943</v>
      </c>
      <c r="BN4691" s="8">
        <v>0</v>
      </c>
      <c r="BO4691" s="8">
        <v>4178149.4252058943</v>
      </c>
      <c r="BP4691" s="8">
        <v>2589155.3784700092</v>
      </c>
      <c r="BQ4691" s="8">
        <v>-1588994.0467358851</v>
      </c>
      <c r="BR4691" s="8" t="str">
        <v>Yes</v>
      </c>
    </row>
    <row r="4692" spans="54:70" x14ac:dyDescent="0.2">
      <c r="BB4692" s="94"/>
      <c r="BL4692" s="8">
        <v>4643</v>
      </c>
      <c r="BM4692" s="8">
        <v>6757257.3628386427</v>
      </c>
      <c r="BN4692" s="8">
        <v>9296747.2537112292</v>
      </c>
      <c r="BO4692" s="8">
        <v>16054004.616549872</v>
      </c>
      <c r="BP4692" s="8">
        <v>2177306.2788778925</v>
      </c>
      <c r="BQ4692" s="8">
        <v>-13876698.33767198</v>
      </c>
      <c r="BR4692" s="8" t="str">
        <v>Yes</v>
      </c>
    </row>
    <row r="4693" spans="54:70" x14ac:dyDescent="0.2">
      <c r="BB4693" s="94"/>
      <c r="BL4693" s="8">
        <v>4644</v>
      </c>
      <c r="BM4693" s="8">
        <v>4355750.6717795497</v>
      </c>
      <c r="BN4693" s="8">
        <v>0</v>
      </c>
      <c r="BO4693" s="8">
        <v>4355750.6717795497</v>
      </c>
      <c r="BP4693" s="8">
        <v>3532927.0924140993</v>
      </c>
      <c r="BQ4693" s="8">
        <v>-822823.57936545042</v>
      </c>
      <c r="BR4693" s="8" t="str">
        <v>Yes</v>
      </c>
    </row>
    <row r="4694" spans="54:70" x14ac:dyDescent="0.2">
      <c r="BB4694" s="94"/>
      <c r="BL4694" s="8">
        <v>4645</v>
      </c>
      <c r="BM4694" s="8">
        <v>12643505.012130985</v>
      </c>
      <c r="BN4694" s="8">
        <v>13006726.139313141</v>
      </c>
      <c r="BO4694" s="8">
        <v>25650231.151444126</v>
      </c>
      <c r="BP4694" s="8">
        <v>4763528.1567516541</v>
      </c>
      <c r="BQ4694" s="8">
        <v>-20886702.994692471</v>
      </c>
      <c r="BR4694" s="8" t="str">
        <v>Yes</v>
      </c>
    </row>
    <row r="4695" spans="54:70" x14ac:dyDescent="0.2">
      <c r="BB4695" s="94"/>
      <c r="BL4695" s="8">
        <v>4646</v>
      </c>
      <c r="BM4695" s="8">
        <v>7020218.330779261</v>
      </c>
      <c r="BN4695" s="8">
        <v>0</v>
      </c>
      <c r="BO4695" s="8">
        <v>7020218.330779261</v>
      </c>
      <c r="BP4695" s="8">
        <v>2416980.8849523752</v>
      </c>
      <c r="BQ4695" s="8">
        <v>-4603237.4458268862</v>
      </c>
      <c r="BR4695" s="8" t="str">
        <v>Yes</v>
      </c>
    </row>
    <row r="4696" spans="54:70" x14ac:dyDescent="0.2">
      <c r="BB4696" s="94"/>
      <c r="BL4696" s="8">
        <v>4647</v>
      </c>
      <c r="BM4696" s="8">
        <v>5131240.1942516938</v>
      </c>
      <c r="BN4696" s="8">
        <v>0</v>
      </c>
      <c r="BO4696" s="8">
        <v>5131240.1942516938</v>
      </c>
      <c r="BP4696" s="8">
        <v>6347653.9089152552</v>
      </c>
      <c r="BQ4696" s="8">
        <v>1216413.7146635614</v>
      </c>
      <c r="BR4696" s="8" t="str">
        <v>No</v>
      </c>
    </row>
    <row r="4697" spans="54:70" x14ac:dyDescent="0.2">
      <c r="BB4697" s="94"/>
      <c r="BL4697" s="8">
        <v>4648</v>
      </c>
      <c r="BM4697" s="8">
        <v>4216770.3254262665</v>
      </c>
      <c r="BN4697" s="8">
        <v>0</v>
      </c>
      <c r="BO4697" s="8">
        <v>4216770.3254262665</v>
      </c>
      <c r="BP4697" s="8">
        <v>6100361.1104874611</v>
      </c>
      <c r="BQ4697" s="8">
        <v>1883590.7850611946</v>
      </c>
      <c r="BR4697" s="8" t="str">
        <v>No</v>
      </c>
    </row>
    <row r="4698" spans="54:70" x14ac:dyDescent="0.2">
      <c r="BB4698" s="94"/>
      <c r="BL4698" s="8">
        <v>4649</v>
      </c>
      <c r="BM4698" s="8">
        <v>2636551.8193273842</v>
      </c>
      <c r="BN4698" s="8">
        <v>2185409.2769449838</v>
      </c>
      <c r="BO4698" s="8">
        <v>4821961.096272368</v>
      </c>
      <c r="BP4698" s="8">
        <v>2315212.8278092225</v>
      </c>
      <c r="BQ4698" s="8">
        <v>-2506748.2684631455</v>
      </c>
      <c r="BR4698" s="8" t="str">
        <v>Yes</v>
      </c>
    </row>
    <row r="4699" spans="54:70" x14ac:dyDescent="0.2">
      <c r="BB4699" s="94"/>
      <c r="BL4699" s="8">
        <v>4650</v>
      </c>
      <c r="BM4699" s="8">
        <v>4142296.0332511868</v>
      </c>
      <c r="BN4699" s="8">
        <v>1919681.3369607648</v>
      </c>
      <c r="BO4699" s="8">
        <v>6061977.3702119514</v>
      </c>
      <c r="BP4699" s="8">
        <v>3564268.0533183734</v>
      </c>
      <c r="BQ4699" s="8">
        <v>-2497709.316893578</v>
      </c>
      <c r="BR4699" s="8" t="str">
        <v>Yes</v>
      </c>
    </row>
    <row r="4700" spans="54:70" x14ac:dyDescent="0.2">
      <c r="BB4700" s="94"/>
      <c r="BL4700" s="8">
        <v>4651</v>
      </c>
      <c r="BM4700" s="8">
        <v>7234154.0008903053</v>
      </c>
      <c r="BN4700" s="8">
        <v>0</v>
      </c>
      <c r="BO4700" s="8">
        <v>7234154.0008903053</v>
      </c>
      <c r="BP4700" s="8">
        <v>4339888.4648564383</v>
      </c>
      <c r="BQ4700" s="8">
        <v>-2894265.5360338669</v>
      </c>
      <c r="BR4700" s="8" t="str">
        <v>Yes</v>
      </c>
    </row>
    <row r="4701" spans="54:70" x14ac:dyDescent="0.2">
      <c r="BB4701" s="94"/>
      <c r="BL4701" s="8">
        <v>4652</v>
      </c>
      <c r="BM4701" s="8">
        <v>3070412.9582094764</v>
      </c>
      <c r="BN4701" s="8">
        <v>2325970.8325437419</v>
      </c>
      <c r="BO4701" s="8">
        <v>5396383.7907532183</v>
      </c>
      <c r="BP4701" s="8">
        <v>2274675.3566401484</v>
      </c>
      <c r="BQ4701" s="8">
        <v>-3121708.4341130699</v>
      </c>
      <c r="BR4701" s="8" t="str">
        <v>Yes</v>
      </c>
    </row>
    <row r="4702" spans="54:70" x14ac:dyDescent="0.2">
      <c r="BB4702" s="94"/>
      <c r="BL4702" s="8">
        <v>4653</v>
      </c>
      <c r="BM4702" s="8">
        <v>6948405.0200470164</v>
      </c>
      <c r="BN4702" s="8">
        <v>0</v>
      </c>
      <c r="BO4702" s="8">
        <v>6948405.0200470164</v>
      </c>
      <c r="BP4702" s="8">
        <v>4520627.0077681011</v>
      </c>
      <c r="BQ4702" s="8">
        <v>-2427778.0122789154</v>
      </c>
      <c r="BR4702" s="8" t="str">
        <v>Yes</v>
      </c>
    </row>
    <row r="4703" spans="54:70" x14ac:dyDescent="0.2">
      <c r="BB4703" s="94"/>
      <c r="BL4703" s="8">
        <v>4654</v>
      </c>
      <c r="BM4703" s="8">
        <v>11540464.375868762</v>
      </c>
      <c r="BN4703" s="8">
        <v>0</v>
      </c>
      <c r="BO4703" s="8">
        <v>11540464.375868762</v>
      </c>
      <c r="BP4703" s="8">
        <v>4102918.5272058873</v>
      </c>
      <c r="BQ4703" s="8">
        <v>-7437545.8486628747</v>
      </c>
      <c r="BR4703" s="8" t="str">
        <v>Yes</v>
      </c>
    </row>
    <row r="4704" spans="54:70" x14ac:dyDescent="0.2">
      <c r="BB4704" s="94"/>
      <c r="BL4704" s="8">
        <v>4655</v>
      </c>
      <c r="BM4704" s="8">
        <v>4688382.1659546597</v>
      </c>
      <c r="BN4704" s="8">
        <v>5803213.1159492452</v>
      </c>
      <c r="BO4704" s="8">
        <v>10491595.281903904</v>
      </c>
      <c r="BP4704" s="8">
        <v>2073576.1031343222</v>
      </c>
      <c r="BQ4704" s="8">
        <v>-8418019.178769581</v>
      </c>
      <c r="BR4704" s="8" t="str">
        <v>Yes</v>
      </c>
    </row>
    <row r="4705" spans="54:70" x14ac:dyDescent="0.2">
      <c r="BB4705" s="94"/>
      <c r="BL4705" s="8">
        <v>4656</v>
      </c>
      <c r="BM4705" s="8">
        <v>2571194.3628111854</v>
      </c>
      <c r="BN4705" s="8">
        <v>2018949.5373144003</v>
      </c>
      <c r="BO4705" s="8">
        <v>4590143.9001255855</v>
      </c>
      <c r="BP4705" s="8">
        <v>3287230.9305460067</v>
      </c>
      <c r="BQ4705" s="8">
        <v>-1302912.9695795788</v>
      </c>
      <c r="BR4705" s="8" t="str">
        <v>Yes</v>
      </c>
    </row>
    <row r="4706" spans="54:70" x14ac:dyDescent="0.2">
      <c r="BB4706" s="94"/>
      <c r="BL4706" s="8">
        <v>4657</v>
      </c>
      <c r="BM4706" s="8">
        <v>4582680.826884931</v>
      </c>
      <c r="BN4706" s="8">
        <v>2972195.3990963511</v>
      </c>
      <c r="BO4706" s="8">
        <v>7554876.2259812821</v>
      </c>
      <c r="BP4706" s="8">
        <v>4618497.9289041758</v>
      </c>
      <c r="BQ4706" s="8">
        <v>-2936378.2970771063</v>
      </c>
      <c r="BR4706" s="8" t="str">
        <v>Yes</v>
      </c>
    </row>
    <row r="4707" spans="54:70" x14ac:dyDescent="0.2">
      <c r="BB4707" s="94"/>
      <c r="BL4707" s="8">
        <v>4658</v>
      </c>
      <c r="BM4707" s="8">
        <v>3532312.6334918886</v>
      </c>
      <c r="BN4707" s="8">
        <v>0</v>
      </c>
      <c r="BO4707" s="8">
        <v>3532312.6334918886</v>
      </c>
      <c r="BP4707" s="8">
        <v>2372049.0006534969</v>
      </c>
      <c r="BQ4707" s="8">
        <v>-1160263.6328383917</v>
      </c>
      <c r="BR4707" s="8" t="str">
        <v>Yes</v>
      </c>
    </row>
    <row r="4708" spans="54:70" x14ac:dyDescent="0.2">
      <c r="BB4708" s="94"/>
      <c r="BL4708" s="8">
        <v>4659</v>
      </c>
      <c r="BM4708" s="8">
        <v>8195663.8305076379</v>
      </c>
      <c r="BN4708" s="8">
        <v>4311825.5347333066</v>
      </c>
      <c r="BO4708" s="8">
        <v>12507489.365240945</v>
      </c>
      <c r="BP4708" s="8">
        <v>4395111.8197914883</v>
      </c>
      <c r="BQ4708" s="8">
        <v>-8112377.5454494562</v>
      </c>
      <c r="BR4708" s="8" t="str">
        <v>Yes</v>
      </c>
    </row>
    <row r="4709" spans="54:70" x14ac:dyDescent="0.2">
      <c r="BB4709" s="94"/>
      <c r="BL4709" s="8">
        <v>4660</v>
      </c>
      <c r="BM4709" s="8">
        <v>3285106.598034374</v>
      </c>
      <c r="BN4709" s="8">
        <v>0</v>
      </c>
      <c r="BO4709" s="8">
        <v>3285106.598034374</v>
      </c>
      <c r="BP4709" s="8">
        <v>3315696.1105722943</v>
      </c>
      <c r="BQ4709" s="8">
        <v>30589.512537920382</v>
      </c>
      <c r="BR4709" s="8" t="str">
        <v>No</v>
      </c>
    </row>
    <row r="4710" spans="54:70" x14ac:dyDescent="0.2">
      <c r="BB4710" s="94"/>
      <c r="BL4710" s="8">
        <v>4661</v>
      </c>
      <c r="BM4710" s="8">
        <v>6402877.4009945383</v>
      </c>
      <c r="BN4710" s="8">
        <v>0</v>
      </c>
      <c r="BO4710" s="8">
        <v>6402877.4009945383</v>
      </c>
      <c r="BP4710" s="8">
        <v>3180145.3263634825</v>
      </c>
      <c r="BQ4710" s="8">
        <v>-3222732.0746310558</v>
      </c>
      <c r="BR4710" s="8" t="str">
        <v>Yes</v>
      </c>
    </row>
    <row r="4711" spans="54:70" x14ac:dyDescent="0.2">
      <c r="BB4711" s="94"/>
      <c r="BL4711" s="8">
        <v>4662</v>
      </c>
      <c r="BM4711" s="8">
        <v>3599033.0983118815</v>
      </c>
      <c r="BN4711" s="8">
        <v>0</v>
      </c>
      <c r="BO4711" s="8">
        <v>3599033.0983118815</v>
      </c>
      <c r="BP4711" s="8">
        <v>3871691.9120691391</v>
      </c>
      <c r="BQ4711" s="8">
        <v>272658.81375725754</v>
      </c>
      <c r="BR4711" s="8" t="str">
        <v>No</v>
      </c>
    </row>
    <row r="4712" spans="54:70" x14ac:dyDescent="0.2">
      <c r="BB4712" s="94"/>
      <c r="BL4712" s="8">
        <v>4663</v>
      </c>
      <c r="BM4712" s="8">
        <v>6532757.7598904055</v>
      </c>
      <c r="BN4712" s="8">
        <v>0</v>
      </c>
      <c r="BO4712" s="8">
        <v>6532757.7598904055</v>
      </c>
      <c r="BP4712" s="8">
        <v>6542556.2011285126</v>
      </c>
      <c r="BQ4712" s="8">
        <v>9798.4412381071597</v>
      </c>
      <c r="BR4712" s="8" t="str">
        <v>No</v>
      </c>
    </row>
    <row r="4713" spans="54:70" x14ac:dyDescent="0.2">
      <c r="BB4713" s="94"/>
      <c r="BL4713" s="8">
        <v>4664</v>
      </c>
      <c r="BM4713" s="8">
        <v>2140548.687180113</v>
      </c>
      <c r="BN4713" s="8">
        <v>1797153.605621326</v>
      </c>
      <c r="BO4713" s="8">
        <v>3937702.2928014388</v>
      </c>
      <c r="BP4713" s="8">
        <v>3425957.9288504142</v>
      </c>
      <c r="BQ4713" s="8">
        <v>-511744.3639510246</v>
      </c>
      <c r="BR4713" s="8" t="str">
        <v>Yes</v>
      </c>
    </row>
    <row r="4714" spans="54:70" x14ac:dyDescent="0.2">
      <c r="BB4714" s="94"/>
      <c r="BL4714" s="8">
        <v>4665</v>
      </c>
      <c r="BM4714" s="8">
        <v>2753614.8868026389</v>
      </c>
      <c r="BN4714" s="8">
        <v>4275680.6878489498</v>
      </c>
      <c r="BO4714" s="8">
        <v>7029295.5746515887</v>
      </c>
      <c r="BP4714" s="8">
        <v>2465401.8679153929</v>
      </c>
      <c r="BQ4714" s="8">
        <v>-4563893.7067361958</v>
      </c>
      <c r="BR4714" s="8" t="str">
        <v>Yes</v>
      </c>
    </row>
    <row r="4715" spans="54:70" x14ac:dyDescent="0.2">
      <c r="BB4715" s="94"/>
      <c r="BL4715" s="8">
        <v>4666</v>
      </c>
      <c r="BM4715" s="8">
        <v>12785939.59674852</v>
      </c>
      <c r="BN4715" s="8">
        <v>3662159.2476107855</v>
      </c>
      <c r="BO4715" s="8">
        <v>16448098.844359305</v>
      </c>
      <c r="BP4715" s="8">
        <v>3123218.0573756192</v>
      </c>
      <c r="BQ4715" s="8">
        <v>-13324880.786983686</v>
      </c>
      <c r="BR4715" s="8" t="str">
        <v>Yes</v>
      </c>
    </row>
    <row r="4716" spans="54:70" x14ac:dyDescent="0.2">
      <c r="BB4716" s="94"/>
      <c r="BL4716" s="8">
        <v>4667</v>
      </c>
      <c r="BM4716" s="8">
        <v>8315720.7646722812</v>
      </c>
      <c r="BN4716" s="8">
        <v>0</v>
      </c>
      <c r="BO4716" s="8">
        <v>8315720.7646722812</v>
      </c>
      <c r="BP4716" s="8">
        <v>5890599.6315701837</v>
      </c>
      <c r="BQ4716" s="8">
        <v>-2425121.1331020975</v>
      </c>
      <c r="BR4716" s="8" t="str">
        <v>Yes</v>
      </c>
    </row>
    <row r="4717" spans="54:70" x14ac:dyDescent="0.2">
      <c r="BB4717" s="94"/>
      <c r="BL4717" s="8">
        <v>4668</v>
      </c>
      <c r="BM4717" s="8">
        <v>3978333.5378281609</v>
      </c>
      <c r="BN4717" s="8">
        <v>0</v>
      </c>
      <c r="BO4717" s="8">
        <v>3978333.5378281609</v>
      </c>
      <c r="BP4717" s="8">
        <v>3404457.3772476725</v>
      </c>
      <c r="BQ4717" s="8">
        <v>-573876.16058048839</v>
      </c>
      <c r="BR4717" s="8" t="str">
        <v>Yes</v>
      </c>
    </row>
    <row r="4718" spans="54:70" x14ac:dyDescent="0.2">
      <c r="BB4718" s="94"/>
      <c r="BL4718" s="8">
        <v>4669</v>
      </c>
      <c r="BM4718" s="8">
        <v>7889947.4928755108</v>
      </c>
      <c r="BN4718" s="8">
        <v>7186530.1069279164</v>
      </c>
      <c r="BO4718" s="8">
        <v>15076477.599803427</v>
      </c>
      <c r="BP4718" s="8">
        <v>5881395.8828666359</v>
      </c>
      <c r="BQ4718" s="8">
        <v>-9195081.7169367913</v>
      </c>
      <c r="BR4718" s="8" t="str">
        <v>Yes</v>
      </c>
    </row>
    <row r="4719" spans="54:70" x14ac:dyDescent="0.2">
      <c r="BB4719" s="94"/>
      <c r="BL4719" s="8">
        <v>4670</v>
      </c>
      <c r="BM4719" s="8">
        <v>4305058.6864868999</v>
      </c>
      <c r="BN4719" s="8">
        <v>5083659.7971625337</v>
      </c>
      <c r="BO4719" s="8">
        <v>9388718.4836494327</v>
      </c>
      <c r="BP4719" s="8">
        <v>4417121.300140324</v>
      </c>
      <c r="BQ4719" s="8">
        <v>-4971597.1835091086</v>
      </c>
      <c r="BR4719" s="8" t="str">
        <v>Yes</v>
      </c>
    </row>
    <row r="4720" spans="54:70" x14ac:dyDescent="0.2">
      <c r="BB4720" s="94"/>
      <c r="BL4720" s="8">
        <v>4671</v>
      </c>
      <c r="BM4720" s="8">
        <v>4261178.2482737098</v>
      </c>
      <c r="BN4720" s="8">
        <v>3023575.6225837716</v>
      </c>
      <c r="BO4720" s="8">
        <v>7284753.8708574809</v>
      </c>
      <c r="BP4720" s="8">
        <v>4371132.8351450404</v>
      </c>
      <c r="BQ4720" s="8">
        <v>-2913621.0357124405</v>
      </c>
      <c r="BR4720" s="8" t="str">
        <v>Yes</v>
      </c>
    </row>
    <row r="4721" spans="54:70" x14ac:dyDescent="0.2">
      <c r="BB4721" s="94"/>
      <c r="BL4721" s="8">
        <v>4672</v>
      </c>
      <c r="BM4721" s="8">
        <v>3647993.1204244122</v>
      </c>
      <c r="BN4721" s="8">
        <v>5339182.2726426711</v>
      </c>
      <c r="BO4721" s="8">
        <v>8987175.3930670843</v>
      </c>
      <c r="BP4721" s="8">
        <v>3182436.3559386977</v>
      </c>
      <c r="BQ4721" s="8">
        <v>-5804739.037128387</v>
      </c>
      <c r="BR4721" s="8" t="str">
        <v>Yes</v>
      </c>
    </row>
    <row r="4722" spans="54:70" x14ac:dyDescent="0.2">
      <c r="BB4722" s="94"/>
      <c r="BL4722" s="8">
        <v>4673</v>
      </c>
      <c r="BM4722" s="8">
        <v>3112957.5774447154</v>
      </c>
      <c r="BN4722" s="8">
        <v>1427693.7812388262</v>
      </c>
      <c r="BO4722" s="8">
        <v>4540651.3586835414</v>
      </c>
      <c r="BP4722" s="8">
        <v>6120216.8485756684</v>
      </c>
      <c r="BQ4722" s="8">
        <v>1579565.489892127</v>
      </c>
      <c r="BR4722" s="8" t="str">
        <v>No</v>
      </c>
    </row>
    <row r="4723" spans="54:70" x14ac:dyDescent="0.2">
      <c r="BB4723" s="94"/>
      <c r="BL4723" s="8">
        <v>4674</v>
      </c>
      <c r="BM4723" s="8">
        <v>6578811.0469137449</v>
      </c>
      <c r="BN4723" s="8">
        <v>0</v>
      </c>
      <c r="BO4723" s="8">
        <v>6578811.0469137449</v>
      </c>
      <c r="BP4723" s="8">
        <v>2252213.6783334194</v>
      </c>
      <c r="BQ4723" s="8">
        <v>-4326597.3685803255</v>
      </c>
      <c r="BR4723" s="8" t="str">
        <v>Yes</v>
      </c>
    </row>
    <row r="4724" spans="54:70" x14ac:dyDescent="0.2">
      <c r="BB4724" s="94"/>
      <c r="BL4724" s="8">
        <v>4675</v>
      </c>
      <c r="BM4724" s="8">
        <v>2842676.3450903753</v>
      </c>
      <c r="BN4724" s="8">
        <v>3829469.8949762825</v>
      </c>
      <c r="BO4724" s="8">
        <v>6672146.2400666578</v>
      </c>
      <c r="BP4724" s="8">
        <v>2406737.3800964993</v>
      </c>
      <c r="BQ4724" s="8">
        <v>-4265408.859970158</v>
      </c>
      <c r="BR4724" s="8" t="str">
        <v>Yes</v>
      </c>
    </row>
    <row r="4725" spans="54:70" x14ac:dyDescent="0.2">
      <c r="BB4725" s="94"/>
      <c r="BL4725" s="8">
        <v>4676</v>
      </c>
      <c r="BM4725" s="8">
        <v>5062118.6622113781</v>
      </c>
      <c r="BN4725" s="8">
        <v>5158353.734602537</v>
      </c>
      <c r="BO4725" s="8">
        <v>10220472.396813914</v>
      </c>
      <c r="BP4725" s="8">
        <v>2191973.1261503124</v>
      </c>
      <c r="BQ4725" s="8">
        <v>-8028499.2706636023</v>
      </c>
      <c r="BR4725" s="8" t="str">
        <v>Yes</v>
      </c>
    </row>
    <row r="4726" spans="54:70" x14ac:dyDescent="0.2">
      <c r="BB4726" s="94"/>
      <c r="BL4726" s="8">
        <v>4677</v>
      </c>
      <c r="BM4726" s="8">
        <v>2104721.0086196326</v>
      </c>
      <c r="BN4726" s="8">
        <v>0</v>
      </c>
      <c r="BO4726" s="8">
        <v>2104721.0086196326</v>
      </c>
      <c r="BP4726" s="8">
        <v>4285452.3927450888</v>
      </c>
      <c r="BQ4726" s="8">
        <v>2180731.3841254562</v>
      </c>
      <c r="BR4726" s="8" t="str">
        <v>No</v>
      </c>
    </row>
    <row r="4727" spans="54:70" x14ac:dyDescent="0.2">
      <c r="BB4727" s="94"/>
      <c r="BL4727" s="8">
        <v>4678</v>
      </c>
      <c r="BM4727" s="8">
        <v>3496218.3371144081</v>
      </c>
      <c r="BN4727" s="8">
        <v>0</v>
      </c>
      <c r="BO4727" s="8">
        <v>3496218.3371144081</v>
      </c>
      <c r="BP4727" s="8">
        <v>4007174.9806280206</v>
      </c>
      <c r="BQ4727" s="8">
        <v>510956.64351361245</v>
      </c>
      <c r="BR4727" s="8" t="str">
        <v>No</v>
      </c>
    </row>
    <row r="4728" spans="54:70" x14ac:dyDescent="0.2">
      <c r="BB4728" s="94"/>
      <c r="BL4728" s="8">
        <v>4679</v>
      </c>
      <c r="BM4728" s="8">
        <v>2574028.3597952696</v>
      </c>
      <c r="BN4728" s="8">
        <v>2431931.6596473749</v>
      </c>
      <c r="BO4728" s="8">
        <v>5005960.019442644</v>
      </c>
      <c r="BP4728" s="8">
        <v>2279484.2358126873</v>
      </c>
      <c r="BQ4728" s="8">
        <v>-2726475.7836299567</v>
      </c>
      <c r="BR4728" s="8" t="str">
        <v>Yes</v>
      </c>
    </row>
    <row r="4729" spans="54:70" x14ac:dyDescent="0.2">
      <c r="BB4729" s="94"/>
      <c r="BL4729" s="8">
        <v>4680</v>
      </c>
      <c r="BM4729" s="8">
        <v>3381104.7737917881</v>
      </c>
      <c r="BN4729" s="8">
        <v>3268481.3369566305</v>
      </c>
      <c r="BO4729" s="8">
        <v>6649586.1107484186</v>
      </c>
      <c r="BP4729" s="8">
        <v>2976542.9730557175</v>
      </c>
      <c r="BQ4729" s="8">
        <v>-3673043.1376927011</v>
      </c>
      <c r="BR4729" s="8" t="str">
        <v>Yes</v>
      </c>
    </row>
    <row r="4730" spans="54:70" x14ac:dyDescent="0.2">
      <c r="BB4730" s="94"/>
      <c r="BL4730" s="8">
        <v>4681</v>
      </c>
      <c r="BM4730" s="8">
        <v>1616170.355860075</v>
      </c>
      <c r="BN4730" s="8">
        <v>-613467.16351742565</v>
      </c>
      <c r="BO4730" s="8">
        <v>1002703.1923426493</v>
      </c>
      <c r="BP4730" s="8">
        <v>6508042.9360931981</v>
      </c>
      <c r="BQ4730" s="8">
        <v>5505339.7437505489</v>
      </c>
      <c r="BR4730" s="8" t="str">
        <v>No</v>
      </c>
    </row>
    <row r="4731" spans="54:70" x14ac:dyDescent="0.2">
      <c r="BB4731" s="94"/>
      <c r="BL4731" s="8">
        <v>4682</v>
      </c>
      <c r="BM4731" s="8">
        <v>3164016.571708322</v>
      </c>
      <c r="BN4731" s="8">
        <v>2341161.3297440116</v>
      </c>
      <c r="BO4731" s="8">
        <v>5505177.9014523337</v>
      </c>
      <c r="BP4731" s="8">
        <v>5953208.8984596292</v>
      </c>
      <c r="BQ4731" s="8">
        <v>448030.99700729549</v>
      </c>
      <c r="BR4731" s="8" t="str">
        <v>No</v>
      </c>
    </row>
    <row r="4732" spans="54:70" x14ac:dyDescent="0.2">
      <c r="BB4732" s="94"/>
      <c r="BL4732" s="8">
        <v>4683</v>
      </c>
      <c r="BM4732" s="8">
        <v>3075323.4157549059</v>
      </c>
      <c r="BN4732" s="8">
        <v>1407856.0540205424</v>
      </c>
      <c r="BO4732" s="8">
        <v>4483179.4697754486</v>
      </c>
      <c r="BP4732" s="8">
        <v>6245293.3796299472</v>
      </c>
      <c r="BQ4732" s="8">
        <v>1762113.9098544987</v>
      </c>
      <c r="BR4732" s="8" t="str">
        <v>No</v>
      </c>
    </row>
    <row r="4733" spans="54:70" x14ac:dyDescent="0.2">
      <c r="BB4733" s="94"/>
      <c r="BL4733" s="8">
        <v>4684</v>
      </c>
      <c r="BM4733" s="8">
        <v>7960090.6860157494</v>
      </c>
      <c r="BN4733" s="8">
        <v>0</v>
      </c>
      <c r="BO4733" s="8">
        <v>7960090.6860157494</v>
      </c>
      <c r="BP4733" s="8">
        <v>6482404.5176893938</v>
      </c>
      <c r="BQ4733" s="8">
        <v>-1477686.1683263555</v>
      </c>
      <c r="BR4733" s="8" t="str">
        <v>Yes</v>
      </c>
    </row>
    <row r="4734" spans="54:70" x14ac:dyDescent="0.2">
      <c r="BB4734" s="94"/>
      <c r="BL4734" s="8">
        <v>4685</v>
      </c>
      <c r="BM4734" s="8">
        <v>2679524.978068592</v>
      </c>
      <c r="BN4734" s="8">
        <v>0</v>
      </c>
      <c r="BO4734" s="8">
        <v>2679524.978068592</v>
      </c>
      <c r="BP4734" s="8">
        <v>2142429.4133028514</v>
      </c>
      <c r="BQ4734" s="8">
        <v>-537095.56476574065</v>
      </c>
      <c r="BR4734" s="8" t="str">
        <v>Yes</v>
      </c>
    </row>
    <row r="4735" spans="54:70" x14ac:dyDescent="0.2">
      <c r="BB4735" s="94"/>
      <c r="BL4735" s="8">
        <v>4686</v>
      </c>
      <c r="BM4735" s="8">
        <v>5367150.1076812632</v>
      </c>
      <c r="BN4735" s="8">
        <v>5731897.7597925998</v>
      </c>
      <c r="BO4735" s="8">
        <v>11099047.867473863</v>
      </c>
      <c r="BP4735" s="8">
        <v>6574588.1381500093</v>
      </c>
      <c r="BQ4735" s="8">
        <v>-4524459.7293238537</v>
      </c>
      <c r="BR4735" s="8" t="str">
        <v>Yes</v>
      </c>
    </row>
    <row r="4736" spans="54:70" x14ac:dyDescent="0.2">
      <c r="BB4736" s="94"/>
      <c r="BL4736" s="8">
        <v>4687</v>
      </c>
      <c r="BM4736" s="8">
        <v>3594530.2746230513</v>
      </c>
      <c r="BN4736" s="8">
        <v>0</v>
      </c>
      <c r="BO4736" s="8">
        <v>3594530.2746230513</v>
      </c>
      <c r="BP4736" s="8">
        <v>2110615.7694955436</v>
      </c>
      <c r="BQ4736" s="8">
        <v>-1483914.5051275077</v>
      </c>
      <c r="BR4736" s="8" t="str">
        <v>Yes</v>
      </c>
    </row>
    <row r="4737" spans="54:70" x14ac:dyDescent="0.2">
      <c r="BB4737" s="94"/>
      <c r="BL4737" s="8">
        <v>4688</v>
      </c>
      <c r="BM4737" s="8">
        <v>3402485.1856629197</v>
      </c>
      <c r="BN4737" s="8">
        <v>5107561.6309708087</v>
      </c>
      <c r="BO4737" s="8">
        <v>8510046.8166337274</v>
      </c>
      <c r="BP4737" s="8">
        <v>2256293.546596657</v>
      </c>
      <c r="BQ4737" s="8">
        <v>-6253753.2700370699</v>
      </c>
      <c r="BR4737" s="8" t="str">
        <v>Yes</v>
      </c>
    </row>
    <row r="4738" spans="54:70" x14ac:dyDescent="0.2">
      <c r="BB4738" s="94"/>
      <c r="BL4738" s="8">
        <v>4689</v>
      </c>
      <c r="BM4738" s="8">
        <v>4957474.7926004473</v>
      </c>
      <c r="BN4738" s="8">
        <v>2209268.8135185526</v>
      </c>
      <c r="BO4738" s="8">
        <v>7166743.6061189994</v>
      </c>
      <c r="BP4738" s="8">
        <v>6577423.6013091151</v>
      </c>
      <c r="BQ4738" s="8">
        <v>-589320.00480988435</v>
      </c>
      <c r="BR4738" s="8" t="str">
        <v>Yes</v>
      </c>
    </row>
    <row r="4739" spans="54:70" x14ac:dyDescent="0.2">
      <c r="BB4739" s="94"/>
      <c r="BL4739" s="8">
        <v>4690</v>
      </c>
      <c r="BM4739" s="8">
        <v>3520615.1356960218</v>
      </c>
      <c r="BN4739" s="8">
        <v>3972731.8844253104</v>
      </c>
      <c r="BO4739" s="8">
        <v>7493347.0201213323</v>
      </c>
      <c r="BP4739" s="8">
        <v>2191585.4639995415</v>
      </c>
      <c r="BQ4739" s="8">
        <v>-5301761.5561217908</v>
      </c>
      <c r="BR4739" s="8" t="str">
        <v>Yes</v>
      </c>
    </row>
    <row r="4740" spans="54:70" x14ac:dyDescent="0.2">
      <c r="BB4740" s="94"/>
      <c r="BL4740" s="8">
        <v>4691</v>
      </c>
      <c r="BM4740" s="8">
        <v>9829800.8947628308</v>
      </c>
      <c r="BN4740" s="8">
        <v>6793688.981752526</v>
      </c>
      <c r="BO4740" s="8">
        <v>16623489.876515357</v>
      </c>
      <c r="BP4740" s="8">
        <v>6225557.0554588186</v>
      </c>
      <c r="BQ4740" s="8">
        <v>-10397932.821056537</v>
      </c>
      <c r="BR4740" s="8" t="str">
        <v>Yes</v>
      </c>
    </row>
    <row r="4741" spans="54:70" x14ac:dyDescent="0.2">
      <c r="BB4741" s="94"/>
      <c r="BL4741" s="8">
        <v>4692</v>
      </c>
      <c r="BM4741" s="8">
        <v>3429660.1386578707</v>
      </c>
      <c r="BN4741" s="8">
        <v>1580508.9041924723</v>
      </c>
      <c r="BO4741" s="8">
        <v>5010169.0428503435</v>
      </c>
      <c r="BP4741" s="8">
        <v>6560061.9823747016</v>
      </c>
      <c r="BQ4741" s="8">
        <v>1549892.9395243581</v>
      </c>
      <c r="BR4741" s="8" t="str">
        <v>No</v>
      </c>
    </row>
    <row r="4742" spans="54:70" x14ac:dyDescent="0.2">
      <c r="BB4742" s="94"/>
      <c r="BL4742" s="8">
        <v>4693</v>
      </c>
      <c r="BM4742" s="8">
        <v>3107114.3763429681</v>
      </c>
      <c r="BN4742" s="8">
        <v>2458856.2025190629</v>
      </c>
      <c r="BO4742" s="8">
        <v>5565970.578862031</v>
      </c>
      <c r="BP4742" s="8">
        <v>3167861.5249120775</v>
      </c>
      <c r="BQ4742" s="8">
        <v>-2398109.0539499535</v>
      </c>
      <c r="BR4742" s="8" t="str">
        <v>Yes</v>
      </c>
    </row>
    <row r="4743" spans="54:70" x14ac:dyDescent="0.2">
      <c r="BB4743" s="94"/>
      <c r="BL4743" s="8">
        <v>4694</v>
      </c>
      <c r="BM4743" s="8">
        <v>3799784.1922411919</v>
      </c>
      <c r="BN4743" s="8">
        <v>0</v>
      </c>
      <c r="BO4743" s="8">
        <v>3799784.1922411919</v>
      </c>
      <c r="BP4743" s="8">
        <v>2403538.2124723573</v>
      </c>
      <c r="BQ4743" s="8">
        <v>-1396245.9797688345</v>
      </c>
      <c r="BR4743" s="8" t="str">
        <v>Yes</v>
      </c>
    </row>
    <row r="4744" spans="54:70" x14ac:dyDescent="0.2">
      <c r="BB4744" s="94"/>
      <c r="BL4744" s="8">
        <v>4695</v>
      </c>
      <c r="BM4744" s="8">
        <v>2327860.762363873</v>
      </c>
      <c r="BN4744" s="8">
        <v>3586935.2984972508</v>
      </c>
      <c r="BO4744" s="8">
        <v>5914796.0608611237</v>
      </c>
      <c r="BP4744" s="8">
        <v>3593971.4009359744</v>
      </c>
      <c r="BQ4744" s="8">
        <v>-2320824.6599251493</v>
      </c>
      <c r="BR4744" s="8" t="str">
        <v>Yes</v>
      </c>
    </row>
    <row r="4745" spans="54:70" x14ac:dyDescent="0.2">
      <c r="BB4745" s="94"/>
      <c r="BL4745" s="8">
        <v>4696</v>
      </c>
      <c r="BM4745" s="8">
        <v>4164924.8101181197</v>
      </c>
      <c r="BN4745" s="8">
        <v>6510044.960893875</v>
      </c>
      <c r="BO4745" s="8">
        <v>10674969.771011995</v>
      </c>
      <c r="BP4745" s="8">
        <v>3345371.4761214065</v>
      </c>
      <c r="BQ4745" s="8">
        <v>-7329598.2948905881</v>
      </c>
      <c r="BR4745" s="8" t="str">
        <v>Yes</v>
      </c>
    </row>
    <row r="4746" spans="54:70" x14ac:dyDescent="0.2">
      <c r="BB4746" s="94"/>
      <c r="BL4746" s="8">
        <v>4697</v>
      </c>
      <c r="BM4746" s="8">
        <v>5655905.2864342611</v>
      </c>
      <c r="BN4746" s="8">
        <v>5612964.0289387414</v>
      </c>
      <c r="BO4746" s="8">
        <v>11268869.315373003</v>
      </c>
      <c r="BP4746" s="8">
        <v>2341641.2330946838</v>
      </c>
      <c r="BQ4746" s="8">
        <v>-8927228.0822783187</v>
      </c>
      <c r="BR4746" s="8" t="str">
        <v>Yes</v>
      </c>
    </row>
    <row r="4747" spans="54:70" x14ac:dyDescent="0.2">
      <c r="BB4747" s="94"/>
      <c r="BL4747" s="8">
        <v>4698</v>
      </c>
      <c r="BM4747" s="8">
        <v>1469843.3969639982</v>
      </c>
      <c r="BN4747" s="8">
        <v>627208.13267885661</v>
      </c>
      <c r="BO4747" s="8">
        <v>2097051.5296428548</v>
      </c>
      <c r="BP4747" s="8">
        <v>4387841.8031753246</v>
      </c>
      <c r="BQ4747" s="8">
        <v>2290790.2735324698</v>
      </c>
      <c r="BR4747" s="8" t="str">
        <v>No</v>
      </c>
    </row>
    <row r="4748" spans="54:70" x14ac:dyDescent="0.2">
      <c r="BB4748" s="94"/>
      <c r="BL4748" s="8">
        <v>4699</v>
      </c>
      <c r="BM4748" s="8">
        <v>4540302.7623562403</v>
      </c>
      <c r="BN4748" s="8">
        <v>0</v>
      </c>
      <c r="BO4748" s="8">
        <v>4540302.7623562403</v>
      </c>
      <c r="BP4748" s="8">
        <v>5119189.0839569382</v>
      </c>
      <c r="BQ4748" s="8">
        <v>578886.32160069793</v>
      </c>
      <c r="BR4748" s="8" t="str">
        <v>No</v>
      </c>
    </row>
    <row r="4749" spans="54:70" x14ac:dyDescent="0.2">
      <c r="BB4749" s="94"/>
      <c r="BL4749" s="8">
        <v>4700</v>
      </c>
      <c r="BM4749" s="8">
        <v>9202645.7970464602</v>
      </c>
      <c r="BN4749" s="8">
        <v>0</v>
      </c>
      <c r="BO4749" s="8">
        <v>9202645.7970464602</v>
      </c>
      <c r="BP4749" s="8">
        <v>6111436.649979312</v>
      </c>
      <c r="BQ4749" s="8">
        <v>-3091209.1470671482</v>
      </c>
      <c r="BR4749" s="8" t="str">
        <v>Yes</v>
      </c>
    </row>
    <row r="4750" spans="54:70" x14ac:dyDescent="0.2">
      <c r="BB4750" s="94"/>
      <c r="BL4750" s="8">
        <v>4701</v>
      </c>
      <c r="BM4750" s="8">
        <v>1586120.2603308982</v>
      </c>
      <c r="BN4750" s="8">
        <v>1268875.8336802933</v>
      </c>
      <c r="BO4750" s="8">
        <v>2854996.0940111913</v>
      </c>
      <c r="BP4750" s="8">
        <v>2541755.6345314602</v>
      </c>
      <c r="BQ4750" s="8">
        <v>-313240.45947973104</v>
      </c>
      <c r="BR4750" s="8" t="str">
        <v>Yes</v>
      </c>
    </row>
    <row r="4751" spans="54:70" x14ac:dyDescent="0.2">
      <c r="BB4751" s="94"/>
      <c r="BL4751" s="8">
        <v>4702</v>
      </c>
      <c r="BM4751" s="8">
        <v>4557169.0291972524</v>
      </c>
      <c r="BN4751" s="8">
        <v>0</v>
      </c>
      <c r="BO4751" s="8">
        <v>4557169.0291972524</v>
      </c>
      <c r="BP4751" s="8">
        <v>2288768.8886710629</v>
      </c>
      <c r="BQ4751" s="8">
        <v>-2268400.1405261895</v>
      </c>
      <c r="BR4751" s="8" t="str">
        <v>Yes</v>
      </c>
    </row>
    <row r="4752" spans="54:70" x14ac:dyDescent="0.2">
      <c r="BB4752" s="94"/>
      <c r="BL4752" s="8">
        <v>4703</v>
      </c>
      <c r="BM4752" s="8">
        <v>2614444.8944427921</v>
      </c>
      <c r="BN4752" s="8">
        <v>0</v>
      </c>
      <c r="BO4752" s="8">
        <v>2614444.8944427921</v>
      </c>
      <c r="BP4752" s="8">
        <v>6403562.9433510751</v>
      </c>
      <c r="BQ4752" s="8">
        <v>3789118.048908283</v>
      </c>
      <c r="BR4752" s="8" t="str">
        <v>No</v>
      </c>
    </row>
    <row r="4753" spans="54:70" x14ac:dyDescent="0.2">
      <c r="BB4753" s="94"/>
      <c r="BL4753" s="8">
        <v>4704</v>
      </c>
      <c r="BM4753" s="8">
        <v>5539314.292413054</v>
      </c>
      <c r="BN4753" s="8">
        <v>0</v>
      </c>
      <c r="BO4753" s="8">
        <v>5539314.292413054</v>
      </c>
      <c r="BP4753" s="8">
        <v>6471780.4319703281</v>
      </c>
      <c r="BQ4753" s="8">
        <v>932466.13955727406</v>
      </c>
      <c r="BR4753" s="8" t="str">
        <v>No</v>
      </c>
    </row>
    <row r="4754" spans="54:70" x14ac:dyDescent="0.2">
      <c r="BB4754" s="94"/>
      <c r="BL4754" s="8">
        <v>4705</v>
      </c>
      <c r="BM4754" s="8">
        <v>3838623.09010028</v>
      </c>
      <c r="BN4754" s="8">
        <v>981758.59351625387</v>
      </c>
      <c r="BO4754" s="8">
        <v>4820381.6836165339</v>
      </c>
      <c r="BP4754" s="8">
        <v>3786889.0916939811</v>
      </c>
      <c r="BQ4754" s="8">
        <v>-1033492.5919225528</v>
      </c>
      <c r="BR4754" s="8" t="str">
        <v>Yes</v>
      </c>
    </row>
    <row r="4755" spans="54:70" x14ac:dyDescent="0.2">
      <c r="BB4755" s="94"/>
      <c r="BL4755" s="8">
        <v>4706</v>
      </c>
      <c r="BM4755" s="8">
        <v>4333970.4227844514</v>
      </c>
      <c r="BN4755" s="8">
        <v>7697871.0427975077</v>
      </c>
      <c r="BO4755" s="8">
        <v>12031841.465581959</v>
      </c>
      <c r="BP4755" s="8">
        <v>2304769.4080973906</v>
      </c>
      <c r="BQ4755" s="8">
        <v>-9727072.057484569</v>
      </c>
      <c r="BR4755" s="8" t="str">
        <v>Yes</v>
      </c>
    </row>
    <row r="4756" spans="54:70" x14ac:dyDescent="0.2">
      <c r="BB4756" s="94"/>
      <c r="BL4756" s="8">
        <v>4707</v>
      </c>
      <c r="BM4756" s="8">
        <v>9026878.6891505662</v>
      </c>
      <c r="BN4756" s="8">
        <v>7618681.191045193</v>
      </c>
      <c r="BO4756" s="8">
        <v>16645559.880195759</v>
      </c>
      <c r="BP4756" s="8">
        <v>2409455.4355779607</v>
      </c>
      <c r="BQ4756" s="8">
        <v>-14236104.444617799</v>
      </c>
      <c r="BR4756" s="8" t="str">
        <v>Yes</v>
      </c>
    </row>
    <row r="4757" spans="54:70" x14ac:dyDescent="0.2">
      <c r="BB4757" s="94"/>
      <c r="BL4757" s="8">
        <v>4708</v>
      </c>
      <c r="BM4757" s="8">
        <v>4224054.5617281394</v>
      </c>
      <c r="BN4757" s="8">
        <v>3102623.5632592225</v>
      </c>
      <c r="BO4757" s="8">
        <v>7326678.124987362</v>
      </c>
      <c r="BP4757" s="8">
        <v>2315435.2051073955</v>
      </c>
      <c r="BQ4757" s="8">
        <v>-5011242.9198799664</v>
      </c>
      <c r="BR4757" s="8" t="str">
        <v>Yes</v>
      </c>
    </row>
    <row r="4758" spans="54:70" x14ac:dyDescent="0.2">
      <c r="BB4758" s="94"/>
      <c r="BL4758" s="8">
        <v>4709</v>
      </c>
      <c r="BM4758" s="8">
        <v>5606284.0206633843</v>
      </c>
      <c r="BN4758" s="8">
        <v>0</v>
      </c>
      <c r="BO4758" s="8">
        <v>5606284.0206633843</v>
      </c>
      <c r="BP4758" s="8">
        <v>2203075.4469262268</v>
      </c>
      <c r="BQ4758" s="8">
        <v>-3403208.5737371575</v>
      </c>
      <c r="BR4758" s="8" t="str">
        <v>Yes</v>
      </c>
    </row>
    <row r="4759" spans="54:70" x14ac:dyDescent="0.2">
      <c r="BB4759" s="94"/>
      <c r="BL4759" s="8">
        <v>4710</v>
      </c>
      <c r="BM4759" s="8">
        <v>5126633.847158432</v>
      </c>
      <c r="BN4759" s="8">
        <v>0</v>
      </c>
      <c r="BO4759" s="8">
        <v>5126633.847158432</v>
      </c>
      <c r="BP4759" s="8">
        <v>4251483.7883101301</v>
      </c>
      <c r="BQ4759" s="8">
        <v>-875150.05884830188</v>
      </c>
      <c r="BR4759" s="8" t="str">
        <v>Yes</v>
      </c>
    </row>
    <row r="4760" spans="54:70" x14ac:dyDescent="0.2">
      <c r="BB4760" s="94"/>
      <c r="BL4760" s="8">
        <v>4711</v>
      </c>
      <c r="BM4760" s="8">
        <v>2079843.2410214297</v>
      </c>
      <c r="BN4760" s="8">
        <v>1708532.0461151036</v>
      </c>
      <c r="BO4760" s="8">
        <v>3788375.2871365333</v>
      </c>
      <c r="BP4760" s="8">
        <v>2429421.8814262273</v>
      </c>
      <c r="BQ4760" s="8">
        <v>-1358953.405710306</v>
      </c>
      <c r="BR4760" s="8" t="str">
        <v>Yes</v>
      </c>
    </row>
    <row r="4761" spans="54:70" x14ac:dyDescent="0.2">
      <c r="BB4761" s="94"/>
      <c r="BL4761" s="8">
        <v>4712</v>
      </c>
      <c r="BM4761" s="8">
        <v>2773498.6831918661</v>
      </c>
      <c r="BN4761" s="8">
        <v>1674248.2985490281</v>
      </c>
      <c r="BO4761" s="8">
        <v>4447746.9817408938</v>
      </c>
      <c r="BP4761" s="8">
        <v>6411284.8071701936</v>
      </c>
      <c r="BQ4761" s="8">
        <v>1963537.8254292998</v>
      </c>
      <c r="BR4761" s="8" t="str">
        <v>No</v>
      </c>
    </row>
    <row r="4762" spans="54:70" x14ac:dyDescent="0.2">
      <c r="BB4762" s="94"/>
      <c r="BL4762" s="8">
        <v>4713</v>
      </c>
      <c r="BM4762" s="8">
        <v>4750991.7065729499</v>
      </c>
      <c r="BN4762" s="8">
        <v>1021853.9223394153</v>
      </c>
      <c r="BO4762" s="8">
        <v>5772845.6289123651</v>
      </c>
      <c r="BP4762" s="8">
        <v>4319597.6904181382</v>
      </c>
      <c r="BQ4762" s="8">
        <v>-1453247.9384942269</v>
      </c>
      <c r="BR4762" s="8" t="str">
        <v>Yes</v>
      </c>
    </row>
    <row r="4763" spans="54:70" x14ac:dyDescent="0.2">
      <c r="BB4763" s="94"/>
      <c r="BL4763" s="8">
        <v>4714</v>
      </c>
      <c r="BM4763" s="8">
        <v>2627917.4190227622</v>
      </c>
      <c r="BN4763" s="8">
        <v>0</v>
      </c>
      <c r="BO4763" s="8">
        <v>2627917.4190227622</v>
      </c>
      <c r="BP4763" s="8">
        <v>5645854.0783495214</v>
      </c>
      <c r="BQ4763" s="8">
        <v>3017936.6593267592</v>
      </c>
      <c r="BR4763" s="8" t="str">
        <v>No</v>
      </c>
    </row>
    <row r="4764" spans="54:70" x14ac:dyDescent="0.2">
      <c r="BB4764" s="94"/>
      <c r="BL4764" s="8">
        <v>4715</v>
      </c>
      <c r="BM4764" s="8">
        <v>2913599.2842239104</v>
      </c>
      <c r="BN4764" s="8">
        <v>3178513.460530153</v>
      </c>
      <c r="BO4764" s="8">
        <v>6092112.744754063</v>
      </c>
      <c r="BP4764" s="8">
        <v>2388492.3000528566</v>
      </c>
      <c r="BQ4764" s="8">
        <v>-3703620.4447012064</v>
      </c>
      <c r="BR4764" s="8" t="str">
        <v>Yes</v>
      </c>
    </row>
    <row r="4765" spans="54:70" x14ac:dyDescent="0.2">
      <c r="BB4765" s="94"/>
      <c r="BL4765" s="8">
        <v>4716</v>
      </c>
      <c r="BM4765" s="8">
        <v>1956603.1482832418</v>
      </c>
      <c r="BN4765" s="8">
        <v>1497168.0451145892</v>
      </c>
      <c r="BO4765" s="8">
        <v>3453771.1933978312</v>
      </c>
      <c r="BP4765" s="8">
        <v>3322941.8852515807</v>
      </c>
      <c r="BQ4765" s="8">
        <v>-130829.30814625043</v>
      </c>
      <c r="BR4765" s="8" t="str">
        <v>Yes</v>
      </c>
    </row>
    <row r="4766" spans="54:70" x14ac:dyDescent="0.2">
      <c r="BB4766" s="94"/>
      <c r="BL4766" s="8">
        <v>4717</v>
      </c>
      <c r="BM4766" s="8">
        <v>5758112.5789881442</v>
      </c>
      <c r="BN4766" s="8">
        <v>0</v>
      </c>
      <c r="BO4766" s="8">
        <v>5758112.5789881442</v>
      </c>
      <c r="BP4766" s="8">
        <v>2408796.992156283</v>
      </c>
      <c r="BQ4766" s="8">
        <v>-3349315.5868318612</v>
      </c>
      <c r="BR4766" s="8" t="str">
        <v>Yes</v>
      </c>
    </row>
    <row r="4767" spans="54:70" x14ac:dyDescent="0.2">
      <c r="BB4767" s="94"/>
      <c r="BL4767" s="8">
        <v>4718</v>
      </c>
      <c r="BM4767" s="8">
        <v>5258552.9673493486</v>
      </c>
      <c r="BN4767" s="8">
        <v>0</v>
      </c>
      <c r="BO4767" s="8">
        <v>5258552.9673493486</v>
      </c>
      <c r="BP4767" s="8">
        <v>6022963.9649391603</v>
      </c>
      <c r="BQ4767" s="8">
        <v>764410.99758981168</v>
      </c>
      <c r="BR4767" s="8" t="str">
        <v>No</v>
      </c>
    </row>
    <row r="4768" spans="54:70" x14ac:dyDescent="0.2">
      <c r="BB4768" s="94"/>
      <c r="BL4768" s="8">
        <v>4719</v>
      </c>
      <c r="BM4768" s="8">
        <v>3642673.8684107643</v>
      </c>
      <c r="BN4768" s="8">
        <v>2792909.2026128331</v>
      </c>
      <c r="BO4768" s="8">
        <v>6435583.0710235974</v>
      </c>
      <c r="BP4768" s="8">
        <v>3307409.8969744258</v>
      </c>
      <c r="BQ4768" s="8">
        <v>-3128173.1740491716</v>
      </c>
      <c r="BR4768" s="8" t="str">
        <v>Yes</v>
      </c>
    </row>
    <row r="4769" spans="54:70" x14ac:dyDescent="0.2">
      <c r="BB4769" s="94"/>
      <c r="BL4769" s="8">
        <v>4720</v>
      </c>
      <c r="BM4769" s="8">
        <v>7473758.9421084542</v>
      </c>
      <c r="BN4769" s="8">
        <v>0</v>
      </c>
      <c r="BO4769" s="8">
        <v>7473758.9421084542</v>
      </c>
      <c r="BP4769" s="8">
        <v>4384968.4278278146</v>
      </c>
      <c r="BQ4769" s="8">
        <v>-3088790.5142806396</v>
      </c>
      <c r="BR4769" s="8" t="str">
        <v>Yes</v>
      </c>
    </row>
    <row r="4770" spans="54:70" x14ac:dyDescent="0.2">
      <c r="BB4770" s="94"/>
      <c r="BL4770" s="8">
        <v>4721</v>
      </c>
      <c r="BM4770" s="8">
        <v>2559471.0031461241</v>
      </c>
      <c r="BN4770" s="8">
        <v>2349312.06606868</v>
      </c>
      <c r="BO4770" s="8">
        <v>4908783.0692148041</v>
      </c>
      <c r="BP4770" s="8">
        <v>3417162.0723164473</v>
      </c>
      <c r="BQ4770" s="8">
        <v>-1491620.9968983568</v>
      </c>
      <c r="BR4770" s="8" t="str">
        <v>Yes</v>
      </c>
    </row>
    <row r="4771" spans="54:70" x14ac:dyDescent="0.2">
      <c r="BB4771" s="94"/>
      <c r="BL4771" s="8">
        <v>4722</v>
      </c>
      <c r="BM4771" s="8">
        <v>2914745.7025829558</v>
      </c>
      <c r="BN4771" s="8">
        <v>1543291.3997726336</v>
      </c>
      <c r="BO4771" s="8">
        <v>4458037.1023555892</v>
      </c>
      <c r="BP4771" s="8">
        <v>4463857.1923308289</v>
      </c>
      <c r="BQ4771" s="8">
        <v>5820.089975239709</v>
      </c>
      <c r="BR4771" s="8" t="str">
        <v>No</v>
      </c>
    </row>
    <row r="4772" spans="54:70" x14ac:dyDescent="0.2">
      <c r="BB4772" s="94"/>
      <c r="BL4772" s="8">
        <v>4723</v>
      </c>
      <c r="BM4772" s="8">
        <v>5317440.317103304</v>
      </c>
      <c r="BN4772" s="8">
        <v>5591824.7101124665</v>
      </c>
      <c r="BO4772" s="8">
        <v>10909265.027215771</v>
      </c>
      <c r="BP4772" s="8">
        <v>6810926.6338346051</v>
      </c>
      <c r="BQ4772" s="8">
        <v>-4098338.3933811663</v>
      </c>
      <c r="BR4772" s="8" t="str">
        <v>Yes</v>
      </c>
    </row>
    <row r="4773" spans="54:70" x14ac:dyDescent="0.2">
      <c r="BB4773" s="94"/>
      <c r="BL4773" s="8">
        <v>4724</v>
      </c>
      <c r="BM4773" s="8">
        <v>3859024.8123737201</v>
      </c>
      <c r="BN4773" s="8">
        <v>2629908.3266056618</v>
      </c>
      <c r="BO4773" s="8">
        <v>6488933.1389793819</v>
      </c>
      <c r="BP4773" s="8">
        <v>4279157.9925047243</v>
      </c>
      <c r="BQ4773" s="8">
        <v>-2209775.1464746576</v>
      </c>
      <c r="BR4773" s="8" t="str">
        <v>Yes</v>
      </c>
    </row>
    <row r="4774" spans="54:70" x14ac:dyDescent="0.2">
      <c r="BB4774" s="94"/>
      <c r="BL4774" s="8">
        <v>4725</v>
      </c>
      <c r="BM4774" s="8">
        <v>4486381.2943720594</v>
      </c>
      <c r="BN4774" s="8">
        <v>4259531.2875983715</v>
      </c>
      <c r="BO4774" s="8">
        <v>8745912.5819704309</v>
      </c>
      <c r="BP4774" s="8">
        <v>3517864.917740033</v>
      </c>
      <c r="BQ4774" s="8">
        <v>-5228047.6642303979</v>
      </c>
      <c r="BR4774" s="8" t="str">
        <v>Yes</v>
      </c>
    </row>
    <row r="4775" spans="54:70" x14ac:dyDescent="0.2">
      <c r="BB4775" s="94"/>
      <c r="BL4775" s="8">
        <v>4726</v>
      </c>
      <c r="BM4775" s="8">
        <v>4980683.3627821272</v>
      </c>
      <c r="BN4775" s="8">
        <v>2883859.0798456576</v>
      </c>
      <c r="BO4775" s="8">
        <v>7864542.4426277848</v>
      </c>
      <c r="BP4775" s="8">
        <v>4249960.0316150412</v>
      </c>
      <c r="BQ4775" s="8">
        <v>-3614582.4110127436</v>
      </c>
      <c r="BR4775" s="8" t="str">
        <v>Yes</v>
      </c>
    </row>
    <row r="4776" spans="54:70" x14ac:dyDescent="0.2">
      <c r="BB4776" s="94"/>
      <c r="BL4776" s="8">
        <v>4727</v>
      </c>
      <c r="BM4776" s="8">
        <v>1256040.2548498726</v>
      </c>
      <c r="BN4776" s="8">
        <v>738261.62534260622</v>
      </c>
      <c r="BO4776" s="8">
        <v>1994301.8801924787</v>
      </c>
      <c r="BP4776" s="8">
        <v>2344406.2305245195</v>
      </c>
      <c r="BQ4776" s="8">
        <v>350104.35033204081</v>
      </c>
      <c r="BR4776" s="8" t="str">
        <v>No</v>
      </c>
    </row>
    <row r="4777" spans="54:70" x14ac:dyDescent="0.2">
      <c r="BB4777" s="94"/>
      <c r="BL4777" s="8">
        <v>4728</v>
      </c>
      <c r="BM4777" s="8">
        <v>3774706.9136892296</v>
      </c>
      <c r="BN4777" s="8">
        <v>2379540.0566322459</v>
      </c>
      <c r="BO4777" s="8">
        <v>6154246.9703214755</v>
      </c>
      <c r="BP4777" s="8">
        <v>4348391.378516308</v>
      </c>
      <c r="BQ4777" s="8">
        <v>-1805855.5918051675</v>
      </c>
      <c r="BR4777" s="8" t="str">
        <v>Yes</v>
      </c>
    </row>
    <row r="4778" spans="54:70" x14ac:dyDescent="0.2">
      <c r="BB4778" s="94"/>
      <c r="BL4778" s="8">
        <v>4729</v>
      </c>
      <c r="BM4778" s="8">
        <v>2400863.1854887931</v>
      </c>
      <c r="BN4778" s="8">
        <v>1984531.6188932166</v>
      </c>
      <c r="BO4778" s="8">
        <v>4385394.8043820094</v>
      </c>
      <c r="BP4778" s="8">
        <v>4061485.9863988617</v>
      </c>
      <c r="BQ4778" s="8">
        <v>-323908.81798314769</v>
      </c>
      <c r="BR4778" s="8" t="str">
        <v>Yes</v>
      </c>
    </row>
    <row r="4779" spans="54:70" x14ac:dyDescent="0.2">
      <c r="BB4779" s="94"/>
      <c r="BL4779" s="8">
        <v>4730</v>
      </c>
      <c r="BM4779" s="8">
        <v>4051415.2583414447</v>
      </c>
      <c r="BN4779" s="8">
        <v>3152085.6150928023</v>
      </c>
      <c r="BO4779" s="8">
        <v>7203500.8734342474</v>
      </c>
      <c r="BP4779" s="8">
        <v>3304036.4667505431</v>
      </c>
      <c r="BQ4779" s="8">
        <v>-3899464.4066837044</v>
      </c>
      <c r="BR4779" s="8" t="str">
        <v>Yes</v>
      </c>
    </row>
    <row r="4780" spans="54:70" x14ac:dyDescent="0.2">
      <c r="BB4780" s="94"/>
      <c r="BL4780" s="8">
        <v>4731</v>
      </c>
      <c r="BM4780" s="8">
        <v>1819254.5706047914</v>
      </c>
      <c r="BN4780" s="8">
        <v>0</v>
      </c>
      <c r="BO4780" s="8">
        <v>1819254.5706047914</v>
      </c>
      <c r="BP4780" s="8">
        <v>2184753.9854721767</v>
      </c>
      <c r="BQ4780" s="8">
        <v>365499.41486738529</v>
      </c>
      <c r="BR4780" s="8" t="str">
        <v>No</v>
      </c>
    </row>
    <row r="4781" spans="54:70" x14ac:dyDescent="0.2">
      <c r="BB4781" s="94"/>
      <c r="BL4781" s="8">
        <v>4732</v>
      </c>
      <c r="BM4781" s="8">
        <v>4639910.7751295641</v>
      </c>
      <c r="BN4781" s="8">
        <v>0</v>
      </c>
      <c r="BO4781" s="8">
        <v>4639910.7751295641</v>
      </c>
      <c r="BP4781" s="8">
        <v>5711944.3707665512</v>
      </c>
      <c r="BQ4781" s="8">
        <v>1072033.5956369871</v>
      </c>
      <c r="BR4781" s="8" t="str">
        <v>No</v>
      </c>
    </row>
    <row r="4782" spans="54:70" x14ac:dyDescent="0.2">
      <c r="BB4782" s="94"/>
      <c r="BL4782" s="8">
        <v>4733</v>
      </c>
      <c r="BM4782" s="8">
        <v>5789442.6081135841</v>
      </c>
      <c r="BN4782" s="8">
        <v>0</v>
      </c>
      <c r="BO4782" s="8">
        <v>5789442.6081135841</v>
      </c>
      <c r="BP4782" s="8">
        <v>2276390.0314012328</v>
      </c>
      <c r="BQ4782" s="8">
        <v>-3513052.5767123513</v>
      </c>
      <c r="BR4782" s="8" t="str">
        <v>Yes</v>
      </c>
    </row>
    <row r="4783" spans="54:70" x14ac:dyDescent="0.2">
      <c r="BB4783" s="94"/>
      <c r="BL4783" s="8">
        <v>4734</v>
      </c>
      <c r="BM4783" s="8">
        <v>2126335.5689014201</v>
      </c>
      <c r="BN4783" s="8">
        <v>1193433.8166423277</v>
      </c>
      <c r="BO4783" s="8">
        <v>3319769.3855437478</v>
      </c>
      <c r="BP4783" s="8">
        <v>3989203.0931466403</v>
      </c>
      <c r="BQ4783" s="8">
        <v>669433.70760289254</v>
      </c>
      <c r="BR4783" s="8" t="str">
        <v>No</v>
      </c>
    </row>
    <row r="4784" spans="54:70" x14ac:dyDescent="0.2">
      <c r="BB4784" s="94"/>
      <c r="BL4784" s="8">
        <v>4735</v>
      </c>
      <c r="BM4784" s="8">
        <v>3683864.0367032052</v>
      </c>
      <c r="BN4784" s="8">
        <v>1024401.5395964304</v>
      </c>
      <c r="BO4784" s="8">
        <v>4708265.5762996357</v>
      </c>
      <c r="BP4784" s="8">
        <v>6398292.2744991425</v>
      </c>
      <c r="BQ4784" s="8">
        <v>1690026.6981995068</v>
      </c>
      <c r="BR4784" s="8" t="str">
        <v>No</v>
      </c>
    </row>
    <row r="4785" spans="54:70" x14ac:dyDescent="0.2">
      <c r="BB4785" s="94"/>
      <c r="BL4785" s="8">
        <v>4736</v>
      </c>
      <c r="BM4785" s="8">
        <v>5895051.0606232984</v>
      </c>
      <c r="BN4785" s="8">
        <v>0</v>
      </c>
      <c r="BO4785" s="8">
        <v>5895051.0606232984</v>
      </c>
      <c r="BP4785" s="8">
        <v>2303440.675559747</v>
      </c>
      <c r="BQ4785" s="8">
        <v>-3591610.3850635514</v>
      </c>
      <c r="BR4785" s="8" t="str">
        <v>Yes</v>
      </c>
    </row>
    <row r="4786" spans="54:70" x14ac:dyDescent="0.2">
      <c r="BB4786" s="94"/>
      <c r="BL4786" s="8">
        <v>4737</v>
      </c>
      <c r="BM4786" s="8">
        <v>3762261.8695113789</v>
      </c>
      <c r="BN4786" s="8">
        <v>4566809.6608951958</v>
      </c>
      <c r="BO4786" s="8">
        <v>8329071.5304065747</v>
      </c>
      <c r="BP4786" s="8">
        <v>3194536.3158956524</v>
      </c>
      <c r="BQ4786" s="8">
        <v>-5134535.2145109223</v>
      </c>
      <c r="BR4786" s="8" t="str">
        <v>Yes</v>
      </c>
    </row>
    <row r="4787" spans="54:70" x14ac:dyDescent="0.2">
      <c r="BB4787" s="94"/>
      <c r="BL4787" s="8">
        <v>4738</v>
      </c>
      <c r="BM4787" s="8">
        <v>5165677.3456628239</v>
      </c>
      <c r="BN4787" s="8">
        <v>5060854.0009492971</v>
      </c>
      <c r="BO4787" s="8">
        <v>10226531.346612122</v>
      </c>
      <c r="BP4787" s="8">
        <v>3635352.1660631443</v>
      </c>
      <c r="BQ4787" s="8">
        <v>-6591179.1805489771</v>
      </c>
      <c r="BR4787" s="8" t="str">
        <v>Yes</v>
      </c>
    </row>
    <row r="4788" spans="54:70" x14ac:dyDescent="0.2">
      <c r="BB4788" s="94"/>
      <c r="BL4788" s="8">
        <v>4739</v>
      </c>
      <c r="BM4788" s="8">
        <v>3618496.8916727472</v>
      </c>
      <c r="BN4788" s="8">
        <v>1648089.4399108971</v>
      </c>
      <c r="BO4788" s="8">
        <v>5266586.3315836443</v>
      </c>
      <c r="BP4788" s="8">
        <v>3356471.408152618</v>
      </c>
      <c r="BQ4788" s="8">
        <v>-1910114.9234310263</v>
      </c>
      <c r="BR4788" s="8" t="str">
        <v>Yes</v>
      </c>
    </row>
    <row r="4789" spans="54:70" x14ac:dyDescent="0.2">
      <c r="BB4789" s="94"/>
      <c r="BL4789" s="8">
        <v>4740</v>
      </c>
      <c r="BM4789" s="8">
        <v>2301726.5556596383</v>
      </c>
      <c r="BN4789" s="8">
        <v>2172324.1839205618</v>
      </c>
      <c r="BO4789" s="8">
        <v>4474050.7395802001</v>
      </c>
      <c r="BP4789" s="8">
        <v>3712418.9555775835</v>
      </c>
      <c r="BQ4789" s="8">
        <v>-761631.78400261654</v>
      </c>
      <c r="BR4789" s="8" t="str">
        <v>Yes</v>
      </c>
    </row>
    <row r="4790" spans="54:70" x14ac:dyDescent="0.2">
      <c r="BB4790" s="94"/>
      <c r="BL4790" s="8">
        <v>4741</v>
      </c>
      <c r="BM4790" s="8">
        <v>6325690.2402641624</v>
      </c>
      <c r="BN4790" s="8">
        <v>6856794.4101438178</v>
      </c>
      <c r="BO4790" s="8">
        <v>13182484.650407981</v>
      </c>
      <c r="BP4790" s="8">
        <v>4416774.8014009856</v>
      </c>
      <c r="BQ4790" s="8">
        <v>-8765709.8490069956</v>
      </c>
      <c r="BR4790" s="8" t="str">
        <v>Yes</v>
      </c>
    </row>
    <row r="4791" spans="54:70" x14ac:dyDescent="0.2">
      <c r="BB4791" s="94"/>
      <c r="BL4791" s="8">
        <v>4742</v>
      </c>
      <c r="BM4791" s="8">
        <v>2565017.2423645351</v>
      </c>
      <c r="BN4791" s="8">
        <v>1103898.172523963</v>
      </c>
      <c r="BO4791" s="8">
        <v>3668915.4148884984</v>
      </c>
      <c r="BP4791" s="8">
        <v>3222854.7720623943</v>
      </c>
      <c r="BQ4791" s="8">
        <v>-446060.64282610407</v>
      </c>
      <c r="BR4791" s="8" t="str">
        <v>Yes</v>
      </c>
    </row>
    <row r="4792" spans="54:70" x14ac:dyDescent="0.2">
      <c r="BB4792" s="94"/>
      <c r="BL4792" s="8">
        <v>4743</v>
      </c>
      <c r="BM4792" s="8">
        <v>5796554.863331141</v>
      </c>
      <c r="BN4792" s="8">
        <v>4995637.1086970726</v>
      </c>
      <c r="BO4792" s="8">
        <v>10792191.972028214</v>
      </c>
      <c r="BP4792" s="8">
        <v>4370199.6267954139</v>
      </c>
      <c r="BQ4792" s="8">
        <v>-6421992.3452328006</v>
      </c>
      <c r="BR4792" s="8" t="str">
        <v>Yes</v>
      </c>
    </row>
    <row r="4793" spans="54:70" x14ac:dyDescent="0.2">
      <c r="BB4793" s="94"/>
      <c r="BL4793" s="8">
        <v>4744</v>
      </c>
      <c r="BM4793" s="8">
        <v>5278154.8691861741</v>
      </c>
      <c r="BN4793" s="8">
        <v>4933519.5873948792</v>
      </c>
      <c r="BO4793" s="8">
        <v>10211674.456581052</v>
      </c>
      <c r="BP4793" s="8">
        <v>3405400.631044473</v>
      </c>
      <c r="BQ4793" s="8">
        <v>-6806273.8255365789</v>
      </c>
      <c r="BR4793" s="8" t="str">
        <v>Yes</v>
      </c>
    </row>
    <row r="4794" spans="54:70" x14ac:dyDescent="0.2">
      <c r="BB4794" s="94"/>
      <c r="BL4794" s="8">
        <v>4745</v>
      </c>
      <c r="BM4794" s="8">
        <v>3911193.6978445896</v>
      </c>
      <c r="BN4794" s="8">
        <v>0</v>
      </c>
      <c r="BO4794" s="8">
        <v>3911193.6978445896</v>
      </c>
      <c r="BP4794" s="8">
        <v>3643664.1804816509</v>
      </c>
      <c r="BQ4794" s="8">
        <v>-267529.51736293873</v>
      </c>
      <c r="BR4794" s="8" t="str">
        <v>Yes</v>
      </c>
    </row>
    <row r="4795" spans="54:70" x14ac:dyDescent="0.2">
      <c r="BB4795" s="94"/>
      <c r="BL4795" s="8">
        <v>4746</v>
      </c>
      <c r="BM4795" s="8">
        <v>4149130.6208097972</v>
      </c>
      <c r="BN4795" s="8">
        <v>0</v>
      </c>
      <c r="BO4795" s="8">
        <v>4149130.6208097972</v>
      </c>
      <c r="BP4795" s="8">
        <v>5825811.9129952239</v>
      </c>
      <c r="BQ4795" s="8">
        <v>1676681.2921854267</v>
      </c>
      <c r="BR4795" s="8" t="str">
        <v>No</v>
      </c>
    </row>
    <row r="4796" spans="54:70" x14ac:dyDescent="0.2">
      <c r="BB4796" s="94"/>
      <c r="BL4796" s="8">
        <v>4747</v>
      </c>
      <c r="BM4796" s="8">
        <v>4270707.9278699663</v>
      </c>
      <c r="BN4796" s="8">
        <v>2464199.9482035581</v>
      </c>
      <c r="BO4796" s="8">
        <v>6734907.8760735244</v>
      </c>
      <c r="BP4796" s="8">
        <v>2250558.8081431291</v>
      </c>
      <c r="BQ4796" s="8">
        <v>-4484349.0679303948</v>
      </c>
      <c r="BR4796" s="8" t="str">
        <v>Yes</v>
      </c>
    </row>
    <row r="4797" spans="54:70" x14ac:dyDescent="0.2">
      <c r="BB4797" s="94"/>
      <c r="BL4797" s="8">
        <v>4748</v>
      </c>
      <c r="BM4797" s="8">
        <v>3528950.0830779313</v>
      </c>
      <c r="BN4797" s="8">
        <v>0</v>
      </c>
      <c r="BO4797" s="8">
        <v>3528950.0830779313</v>
      </c>
      <c r="BP4797" s="8">
        <v>6409621.3345181737</v>
      </c>
      <c r="BQ4797" s="8">
        <v>2880671.2514402424</v>
      </c>
      <c r="BR4797" s="8" t="str">
        <v>No</v>
      </c>
    </row>
    <row r="4798" spans="54:70" x14ac:dyDescent="0.2">
      <c r="BB4798" s="94"/>
      <c r="BL4798" s="8">
        <v>4749</v>
      </c>
      <c r="BM4798" s="8">
        <v>3027221.8090494387</v>
      </c>
      <c r="BN4798" s="8">
        <v>0</v>
      </c>
      <c r="BO4798" s="8">
        <v>3027221.8090494387</v>
      </c>
      <c r="BP4798" s="8">
        <v>3311037.1077178633</v>
      </c>
      <c r="BQ4798" s="8">
        <v>283815.2986684246</v>
      </c>
      <c r="BR4798" s="8" t="str">
        <v>No</v>
      </c>
    </row>
    <row r="4799" spans="54:70" x14ac:dyDescent="0.2">
      <c r="BB4799" s="94"/>
      <c r="BL4799" s="8">
        <v>4750</v>
      </c>
      <c r="BM4799" s="8">
        <v>6278108.3430760959</v>
      </c>
      <c r="BN4799" s="8">
        <v>4624199.1004242254</v>
      </c>
      <c r="BO4799" s="8">
        <v>10902307.443500321</v>
      </c>
      <c r="BP4799" s="8">
        <v>6582428.6451133126</v>
      </c>
      <c r="BQ4799" s="8">
        <v>-4319878.7983870087</v>
      </c>
      <c r="BR4799" s="8" t="str">
        <v>Yes</v>
      </c>
    </row>
    <row r="4800" spans="54:70" x14ac:dyDescent="0.2">
      <c r="BB4800" s="94"/>
      <c r="BL4800" s="8">
        <v>4751</v>
      </c>
      <c r="BM4800" s="8">
        <v>8308645.3656961378</v>
      </c>
      <c r="BN4800" s="8">
        <v>6706670.439059251</v>
      </c>
      <c r="BO4800" s="8">
        <v>15015315.80475539</v>
      </c>
      <c r="BP4800" s="8">
        <v>4661516.9527049065</v>
      </c>
      <c r="BQ4800" s="8">
        <v>-10353798.852050483</v>
      </c>
      <c r="BR4800" s="8" t="str">
        <v>Yes</v>
      </c>
    </row>
    <row r="4801" spans="54:70" x14ac:dyDescent="0.2">
      <c r="BB4801" s="94"/>
      <c r="BL4801" s="8">
        <v>4752</v>
      </c>
      <c r="BM4801" s="8">
        <v>5122265.0271297172</v>
      </c>
      <c r="BN4801" s="8">
        <v>0</v>
      </c>
      <c r="BO4801" s="8">
        <v>5122265.0271297172</v>
      </c>
      <c r="BP4801" s="8">
        <v>2445262.7532124929</v>
      </c>
      <c r="BQ4801" s="8">
        <v>-2677002.2739172243</v>
      </c>
      <c r="BR4801" s="8" t="str">
        <v>Yes</v>
      </c>
    </row>
    <row r="4802" spans="54:70" x14ac:dyDescent="0.2">
      <c r="BB4802" s="94"/>
      <c r="BL4802" s="8">
        <v>4753</v>
      </c>
      <c r="BM4802" s="8">
        <v>1367522.9993778528</v>
      </c>
      <c r="BN4802" s="8">
        <v>0</v>
      </c>
      <c r="BO4802" s="8">
        <v>1367522.9993778528</v>
      </c>
      <c r="BP4802" s="8">
        <v>2213965.6062195874</v>
      </c>
      <c r="BQ4802" s="8">
        <v>846442.60684173461</v>
      </c>
      <c r="BR4802" s="8" t="str">
        <v>No</v>
      </c>
    </row>
    <row r="4803" spans="54:70" x14ac:dyDescent="0.2">
      <c r="BB4803" s="94"/>
      <c r="BL4803" s="8">
        <v>4754</v>
      </c>
      <c r="BM4803" s="8">
        <v>5053744.2028522696</v>
      </c>
      <c r="BN4803" s="8">
        <v>2083937.1461826323</v>
      </c>
      <c r="BO4803" s="8">
        <v>7137681.3490349017</v>
      </c>
      <c r="BP4803" s="8">
        <v>2502168.3274663035</v>
      </c>
      <c r="BQ4803" s="8">
        <v>-4635513.0215685982</v>
      </c>
      <c r="BR4803" s="8" t="str">
        <v>Yes</v>
      </c>
    </row>
    <row r="4804" spans="54:70" x14ac:dyDescent="0.2">
      <c r="BB4804" s="94"/>
      <c r="BL4804" s="8">
        <v>4755</v>
      </c>
      <c r="BM4804" s="8">
        <v>3310317.7437852845</v>
      </c>
      <c r="BN4804" s="8">
        <v>696688.48040410154</v>
      </c>
      <c r="BO4804" s="8">
        <v>4007006.2241893858</v>
      </c>
      <c r="BP4804" s="8">
        <v>6918039.1491237618</v>
      </c>
      <c r="BQ4804" s="8">
        <v>2911032.924934376</v>
      </c>
      <c r="BR4804" s="8" t="str">
        <v>No</v>
      </c>
    </row>
    <row r="4805" spans="54:70" x14ac:dyDescent="0.2">
      <c r="BB4805" s="94"/>
      <c r="BL4805" s="8">
        <v>4756</v>
      </c>
      <c r="BM4805" s="8">
        <v>4141728.3493505367</v>
      </c>
      <c r="BN4805" s="8">
        <v>0</v>
      </c>
      <c r="BO4805" s="8">
        <v>4141728.3493505367</v>
      </c>
      <c r="BP4805" s="8">
        <v>6515616.0776281245</v>
      </c>
      <c r="BQ4805" s="8">
        <v>2373887.7282775878</v>
      </c>
      <c r="BR4805" s="8" t="str">
        <v>No</v>
      </c>
    </row>
    <row r="4806" spans="54:70" x14ac:dyDescent="0.2">
      <c r="BB4806" s="94"/>
      <c r="BL4806" s="8">
        <v>4757</v>
      </c>
      <c r="BM4806" s="8">
        <v>5399780.0399822704</v>
      </c>
      <c r="BN4806" s="8">
        <v>0</v>
      </c>
      <c r="BO4806" s="8">
        <v>5399780.0399822704</v>
      </c>
      <c r="BP4806" s="8">
        <v>4304211.5551310442</v>
      </c>
      <c r="BQ4806" s="8">
        <v>-1095568.4848512262</v>
      </c>
      <c r="BR4806" s="8" t="str">
        <v>Yes</v>
      </c>
    </row>
    <row r="4807" spans="54:70" x14ac:dyDescent="0.2">
      <c r="BB4807" s="94"/>
      <c r="BL4807" s="8">
        <v>4758</v>
      </c>
      <c r="BM4807" s="8">
        <v>3066404.296518147</v>
      </c>
      <c r="BN4807" s="8">
        <v>0</v>
      </c>
      <c r="BO4807" s="8">
        <v>3066404.296518147</v>
      </c>
      <c r="BP4807" s="8">
        <v>3294458.4553888189</v>
      </c>
      <c r="BQ4807" s="8">
        <v>228054.15887067188</v>
      </c>
      <c r="BR4807" s="8" t="str">
        <v>No</v>
      </c>
    </row>
    <row r="4808" spans="54:70" x14ac:dyDescent="0.2">
      <c r="BB4808" s="94"/>
      <c r="BL4808" s="8">
        <v>4759</v>
      </c>
      <c r="BM4808" s="8">
        <v>4287907.6553975875</v>
      </c>
      <c r="BN4808" s="8">
        <v>2759369.4917085338</v>
      </c>
      <c r="BO4808" s="8">
        <v>7047277.1471061213</v>
      </c>
      <c r="BP4808" s="8">
        <v>2214872.313300617</v>
      </c>
      <c r="BQ4808" s="8">
        <v>-4832404.8338055043</v>
      </c>
      <c r="BR4808" s="8" t="str">
        <v>Yes</v>
      </c>
    </row>
    <row r="4809" spans="54:70" x14ac:dyDescent="0.2">
      <c r="BB4809" s="94"/>
      <c r="BL4809" s="8">
        <v>4760</v>
      </c>
      <c r="BM4809" s="8">
        <v>3622383.3366144383</v>
      </c>
      <c r="BN4809" s="8">
        <v>2442231.6301505957</v>
      </c>
      <c r="BO4809" s="8">
        <v>6064614.966765034</v>
      </c>
      <c r="BP4809" s="8">
        <v>2346565.5812517172</v>
      </c>
      <c r="BQ4809" s="8">
        <v>-3718049.3855133168</v>
      </c>
      <c r="BR4809" s="8" t="str">
        <v>Yes</v>
      </c>
    </row>
    <row r="4810" spans="54:70" x14ac:dyDescent="0.2">
      <c r="BB4810" s="94"/>
      <c r="BL4810" s="8">
        <v>4761</v>
      </c>
      <c r="BM4810" s="8">
        <v>7144978.4127228558</v>
      </c>
      <c r="BN4810" s="8">
        <v>6361864.2853871407</v>
      </c>
      <c r="BO4810" s="8">
        <v>13506842.698109996</v>
      </c>
      <c r="BP4810" s="8">
        <v>4168624.2499116817</v>
      </c>
      <c r="BQ4810" s="8">
        <v>-9338218.4481983148</v>
      </c>
      <c r="BR4810" s="8" t="str">
        <v>Yes</v>
      </c>
    </row>
    <row r="4811" spans="54:70" x14ac:dyDescent="0.2">
      <c r="BB4811" s="94"/>
      <c r="BL4811" s="8">
        <v>4762</v>
      </c>
      <c r="BM4811" s="8">
        <v>2493712.4624178996</v>
      </c>
      <c r="BN4811" s="8">
        <v>680699.00077578181</v>
      </c>
      <c r="BO4811" s="8">
        <v>3174411.4631936816</v>
      </c>
      <c r="BP4811" s="8">
        <v>4227693.4700765237</v>
      </c>
      <c r="BQ4811" s="8">
        <v>1053282.0068828422</v>
      </c>
      <c r="BR4811" s="8" t="str">
        <v>No</v>
      </c>
    </row>
    <row r="4812" spans="54:70" x14ac:dyDescent="0.2">
      <c r="BB4812" s="94"/>
      <c r="BL4812" s="8">
        <v>4763</v>
      </c>
      <c r="BM4812" s="8">
        <v>6669982.2503225822</v>
      </c>
      <c r="BN4812" s="8">
        <v>6218822.3864764003</v>
      </c>
      <c r="BO4812" s="8">
        <v>12888804.636798982</v>
      </c>
      <c r="BP4812" s="8">
        <v>4450746.1655988349</v>
      </c>
      <c r="BQ4812" s="8">
        <v>-8438058.4712001458</v>
      </c>
      <c r="BR4812" s="8" t="str">
        <v>Yes</v>
      </c>
    </row>
    <row r="4813" spans="54:70" x14ac:dyDescent="0.2">
      <c r="BB4813" s="94"/>
      <c r="BL4813" s="8">
        <v>4764</v>
      </c>
      <c r="BM4813" s="8">
        <v>3409632.9191093366</v>
      </c>
      <c r="BN4813" s="8">
        <v>694889.20420601731</v>
      </c>
      <c r="BO4813" s="8">
        <v>4104522.1233153539</v>
      </c>
      <c r="BP4813" s="8">
        <v>5677290.0811074246</v>
      </c>
      <c r="BQ4813" s="8">
        <v>1572767.9577920707</v>
      </c>
      <c r="BR4813" s="8" t="str">
        <v>No</v>
      </c>
    </row>
    <row r="4814" spans="54:70" x14ac:dyDescent="0.2">
      <c r="BB4814" s="94"/>
      <c r="BL4814" s="8">
        <v>4765</v>
      </c>
      <c r="BM4814" s="8">
        <v>1786997.9491244189</v>
      </c>
      <c r="BN4814" s="8">
        <v>41657.290619400286</v>
      </c>
      <c r="BO4814" s="8">
        <v>1828655.2397438192</v>
      </c>
      <c r="BP4814" s="8">
        <v>5699107.0928671164</v>
      </c>
      <c r="BQ4814" s="8">
        <v>3870451.853123297</v>
      </c>
      <c r="BR4814" s="8" t="str">
        <v>No</v>
      </c>
    </row>
    <row r="4815" spans="54:70" x14ac:dyDescent="0.2">
      <c r="BB4815" s="94"/>
      <c r="BL4815" s="8">
        <v>4766</v>
      </c>
      <c r="BM4815" s="8">
        <v>4265214.889944124</v>
      </c>
      <c r="BN4815" s="8">
        <v>0</v>
      </c>
      <c r="BO4815" s="8">
        <v>4265214.889944124</v>
      </c>
      <c r="BP4815" s="8">
        <v>4175919.6035283105</v>
      </c>
      <c r="BQ4815" s="8">
        <v>-89295.286415813491</v>
      </c>
      <c r="BR4815" s="8" t="str">
        <v>Yes</v>
      </c>
    </row>
    <row r="4816" spans="54:70" x14ac:dyDescent="0.2">
      <c r="BB4816" s="94"/>
      <c r="BL4816" s="8">
        <v>4767</v>
      </c>
      <c r="BM4816" s="8">
        <v>2111948.7471624524</v>
      </c>
      <c r="BN4816" s="8">
        <v>1741620.3348941752</v>
      </c>
      <c r="BO4816" s="8">
        <v>3853569.0820566276</v>
      </c>
      <c r="BP4816" s="8">
        <v>4264969.2001642054</v>
      </c>
      <c r="BQ4816" s="8">
        <v>411400.11810757779</v>
      </c>
      <c r="BR4816" s="8" t="str">
        <v>No</v>
      </c>
    </row>
    <row r="4817" spans="54:70" x14ac:dyDescent="0.2">
      <c r="BB4817" s="94"/>
      <c r="BL4817" s="8">
        <v>4768</v>
      </c>
      <c r="BM4817" s="8">
        <v>2589558.2883189367</v>
      </c>
      <c r="BN4817" s="8">
        <v>0</v>
      </c>
      <c r="BO4817" s="8">
        <v>2589558.2883189367</v>
      </c>
      <c r="BP4817" s="8">
        <v>3585268.7690328052</v>
      </c>
      <c r="BQ4817" s="8">
        <v>995710.48071386851</v>
      </c>
      <c r="BR4817" s="8" t="str">
        <v>No</v>
      </c>
    </row>
    <row r="4818" spans="54:70" x14ac:dyDescent="0.2">
      <c r="BB4818" s="94"/>
      <c r="BL4818" s="8">
        <v>4769</v>
      </c>
      <c r="BM4818" s="8">
        <v>4616196.6654643957</v>
      </c>
      <c r="BN4818" s="8">
        <v>0</v>
      </c>
      <c r="BO4818" s="8">
        <v>4616196.6654643957</v>
      </c>
      <c r="BP4818" s="8">
        <v>3430454.7921558134</v>
      </c>
      <c r="BQ4818" s="8">
        <v>-1185741.8733085822</v>
      </c>
      <c r="BR4818" s="8" t="str">
        <v>Yes</v>
      </c>
    </row>
    <row r="4819" spans="54:70" x14ac:dyDescent="0.2">
      <c r="BB4819" s="94"/>
      <c r="BL4819" s="8">
        <v>4770</v>
      </c>
      <c r="BM4819" s="8">
        <v>5694333.3500311878</v>
      </c>
      <c r="BN4819" s="8">
        <v>0</v>
      </c>
      <c r="BO4819" s="8">
        <v>5694333.3500311878</v>
      </c>
      <c r="BP4819" s="8">
        <v>3334669.6462811283</v>
      </c>
      <c r="BQ4819" s="8">
        <v>-2359663.7037500595</v>
      </c>
      <c r="BR4819" s="8" t="str">
        <v>Yes</v>
      </c>
    </row>
    <row r="4820" spans="54:70" x14ac:dyDescent="0.2">
      <c r="BB4820" s="94"/>
      <c r="BL4820" s="8">
        <v>4771</v>
      </c>
      <c r="BM4820" s="8">
        <v>4520381.9402884915</v>
      </c>
      <c r="BN4820" s="8">
        <v>0</v>
      </c>
      <c r="BO4820" s="8">
        <v>4520381.9402884915</v>
      </c>
      <c r="BP4820" s="8">
        <v>6252442.0839390596</v>
      </c>
      <c r="BQ4820" s="8">
        <v>1732060.1436505681</v>
      </c>
      <c r="BR4820" s="8" t="str">
        <v>No</v>
      </c>
    </row>
    <row r="4821" spans="54:70" x14ac:dyDescent="0.2">
      <c r="BB4821" s="94"/>
      <c r="BL4821" s="8">
        <v>4772</v>
      </c>
      <c r="BM4821" s="8">
        <v>3356518.0719125746</v>
      </c>
      <c r="BN4821" s="8">
        <v>2913677.678258983</v>
      </c>
      <c r="BO4821" s="8">
        <v>6270195.7501715571</v>
      </c>
      <c r="BP4821" s="8">
        <v>3321562.5406688731</v>
      </c>
      <c r="BQ4821" s="8">
        <v>-2948633.209502684</v>
      </c>
      <c r="BR4821" s="8" t="str">
        <v>Yes</v>
      </c>
    </row>
    <row r="4822" spans="54:70" x14ac:dyDescent="0.2">
      <c r="BB4822" s="94"/>
      <c r="BL4822" s="8">
        <v>4773</v>
      </c>
      <c r="BM4822" s="8">
        <v>3605397.8209054489</v>
      </c>
      <c r="BN4822" s="8">
        <v>0</v>
      </c>
      <c r="BO4822" s="8">
        <v>3605397.8209054489</v>
      </c>
      <c r="BP4822" s="8">
        <v>5979526.8123480696</v>
      </c>
      <c r="BQ4822" s="8">
        <v>2374128.9914426208</v>
      </c>
      <c r="BR4822" s="8" t="str">
        <v>No</v>
      </c>
    </row>
    <row r="4823" spans="54:70" x14ac:dyDescent="0.2">
      <c r="BB4823" s="94"/>
      <c r="BL4823" s="8">
        <v>4774</v>
      </c>
      <c r="BM4823" s="8">
        <v>12387822.409480581</v>
      </c>
      <c r="BN4823" s="8">
        <v>12276225.221689628</v>
      </c>
      <c r="BO4823" s="8">
        <v>24664047.631170209</v>
      </c>
      <c r="BP4823" s="8">
        <v>6178330.8622994842</v>
      </c>
      <c r="BQ4823" s="8">
        <v>-18485716.768870726</v>
      </c>
      <c r="BR4823" s="8" t="str">
        <v>Yes</v>
      </c>
    </row>
    <row r="4824" spans="54:70" x14ac:dyDescent="0.2">
      <c r="BB4824" s="94"/>
      <c r="BL4824" s="8">
        <v>4775</v>
      </c>
      <c r="BM4824" s="8">
        <v>6471047.0588258449</v>
      </c>
      <c r="BN4824" s="8">
        <v>7500376.7442115759</v>
      </c>
      <c r="BO4824" s="8">
        <v>13971423.80303742</v>
      </c>
      <c r="BP4824" s="8">
        <v>3259437.2227083966</v>
      </c>
      <c r="BQ4824" s="8">
        <v>-10711986.580329023</v>
      </c>
      <c r="BR4824" s="8" t="str">
        <v>Yes</v>
      </c>
    </row>
    <row r="4825" spans="54:70" x14ac:dyDescent="0.2">
      <c r="BB4825" s="94"/>
      <c r="BL4825" s="8">
        <v>4776</v>
      </c>
      <c r="BM4825" s="8">
        <v>3175366.7730629332</v>
      </c>
      <c r="BN4825" s="8">
        <v>1579711.6718263032</v>
      </c>
      <c r="BO4825" s="8">
        <v>4755078.4448892362</v>
      </c>
      <c r="BP4825" s="8">
        <v>6692428.3841717867</v>
      </c>
      <c r="BQ4825" s="8">
        <v>1937349.9392825505</v>
      </c>
      <c r="BR4825" s="8" t="str">
        <v>No</v>
      </c>
    </row>
    <row r="4826" spans="54:70" x14ac:dyDescent="0.2">
      <c r="BB4826" s="94"/>
      <c r="BL4826" s="8">
        <v>4777</v>
      </c>
      <c r="BM4826" s="8">
        <v>3163051.6369665456</v>
      </c>
      <c r="BN4826" s="8">
        <v>0</v>
      </c>
      <c r="BO4826" s="8">
        <v>3163051.6369665456</v>
      </c>
      <c r="BP4826" s="8">
        <v>4402439.0690520676</v>
      </c>
      <c r="BQ4826" s="8">
        <v>1239387.432085522</v>
      </c>
      <c r="BR4826" s="8" t="str">
        <v>No</v>
      </c>
    </row>
    <row r="4827" spans="54:70" x14ac:dyDescent="0.2">
      <c r="BB4827" s="94"/>
      <c r="BL4827" s="8">
        <v>4778</v>
      </c>
      <c r="BM4827" s="8">
        <v>2313523.9679426919</v>
      </c>
      <c r="BN4827" s="8">
        <v>1459361.1108014858</v>
      </c>
      <c r="BO4827" s="8">
        <v>3772885.0787441777</v>
      </c>
      <c r="BP4827" s="8">
        <v>3309629.9374093926</v>
      </c>
      <c r="BQ4827" s="8">
        <v>-463255.14133478515</v>
      </c>
      <c r="BR4827" s="8" t="str">
        <v>Yes</v>
      </c>
    </row>
    <row r="4828" spans="54:70" x14ac:dyDescent="0.2">
      <c r="BB4828" s="94"/>
      <c r="BL4828" s="8">
        <v>4779</v>
      </c>
      <c r="BM4828" s="8">
        <v>10527155.477270067</v>
      </c>
      <c r="BN4828" s="8">
        <v>12567590.386965061</v>
      </c>
      <c r="BO4828" s="8">
        <v>23094745.864235125</v>
      </c>
      <c r="BP4828" s="8">
        <v>4288975.1541023813</v>
      </c>
      <c r="BQ4828" s="8">
        <v>-18805770.710132744</v>
      </c>
      <c r="BR4828" s="8" t="str">
        <v>Yes</v>
      </c>
    </row>
    <row r="4829" spans="54:70" x14ac:dyDescent="0.2">
      <c r="BB4829" s="94"/>
      <c r="BL4829" s="8">
        <v>4780</v>
      </c>
      <c r="BM4829" s="8">
        <v>3154570.6551006502</v>
      </c>
      <c r="BN4829" s="8">
        <v>1473711.3795503613</v>
      </c>
      <c r="BO4829" s="8">
        <v>4628282.0346510112</v>
      </c>
      <c r="BP4829" s="8">
        <v>4359225.2423404129</v>
      </c>
      <c r="BQ4829" s="8">
        <v>-269056.79231059831</v>
      </c>
      <c r="BR4829" s="8" t="str">
        <v>Yes</v>
      </c>
    </row>
    <row r="4830" spans="54:70" x14ac:dyDescent="0.2">
      <c r="BB4830" s="94"/>
      <c r="BL4830" s="8">
        <v>4781</v>
      </c>
      <c r="BM4830" s="8">
        <v>6591937.4928571079</v>
      </c>
      <c r="BN4830" s="8">
        <v>0</v>
      </c>
      <c r="BO4830" s="8">
        <v>6591937.4928571079</v>
      </c>
      <c r="BP4830" s="8">
        <v>3842869.6680387813</v>
      </c>
      <c r="BQ4830" s="8">
        <v>-2749067.8248183266</v>
      </c>
      <c r="BR4830" s="8" t="str">
        <v>Yes</v>
      </c>
    </row>
    <row r="4831" spans="54:70" x14ac:dyDescent="0.2">
      <c r="BB4831" s="94"/>
      <c r="BL4831" s="8">
        <v>4782</v>
      </c>
      <c r="BM4831" s="8">
        <v>3976935.7073728153</v>
      </c>
      <c r="BN4831" s="8">
        <v>6503064.3912262218</v>
      </c>
      <c r="BO4831" s="8">
        <v>10480000.098599037</v>
      </c>
      <c r="BP4831" s="8">
        <v>3444364.6666263165</v>
      </c>
      <c r="BQ4831" s="8">
        <v>-7035635.4319727207</v>
      </c>
      <c r="BR4831" s="8" t="str">
        <v>Yes</v>
      </c>
    </row>
    <row r="4832" spans="54:70" x14ac:dyDescent="0.2">
      <c r="BB4832" s="94"/>
      <c r="BL4832" s="8">
        <v>4783</v>
      </c>
      <c r="BM4832" s="8">
        <v>9380971.7917472683</v>
      </c>
      <c r="BN4832" s="8">
        <v>12659754.39995818</v>
      </c>
      <c r="BO4832" s="8">
        <v>22040726.19170545</v>
      </c>
      <c r="BP4832" s="8">
        <v>4546048.5492930496</v>
      </c>
      <c r="BQ4832" s="8">
        <v>-17494677.642412402</v>
      </c>
      <c r="BR4832" s="8" t="str">
        <v>Yes</v>
      </c>
    </row>
    <row r="4833" spans="54:70" x14ac:dyDescent="0.2">
      <c r="BB4833" s="94"/>
      <c r="BL4833" s="8">
        <v>4784</v>
      </c>
      <c r="BM4833" s="8">
        <v>14688031.937170191</v>
      </c>
      <c r="BN4833" s="8">
        <v>15504281.611775322</v>
      </c>
      <c r="BO4833" s="8">
        <v>30192313.548945513</v>
      </c>
      <c r="BP4833" s="8">
        <v>6602722.9310201146</v>
      </c>
      <c r="BQ4833" s="8">
        <v>-23589590.617925398</v>
      </c>
      <c r="BR4833" s="8" t="str">
        <v>Yes</v>
      </c>
    </row>
    <row r="4834" spans="54:70" x14ac:dyDescent="0.2">
      <c r="BB4834" s="94"/>
      <c r="BL4834" s="8">
        <v>4785</v>
      </c>
      <c r="BM4834" s="8">
        <v>4390908.5391089777</v>
      </c>
      <c r="BN4834" s="8">
        <v>3795883.9178854683</v>
      </c>
      <c r="BO4834" s="8">
        <v>8186792.456994446</v>
      </c>
      <c r="BP4834" s="8">
        <v>3419347.1428099456</v>
      </c>
      <c r="BQ4834" s="8">
        <v>-4767445.3141844999</v>
      </c>
      <c r="BR4834" s="8" t="str">
        <v>Yes</v>
      </c>
    </row>
    <row r="4835" spans="54:70" x14ac:dyDescent="0.2">
      <c r="BB4835" s="94"/>
      <c r="BL4835" s="8">
        <v>4786</v>
      </c>
      <c r="BM4835" s="8">
        <v>5834551.0722776949</v>
      </c>
      <c r="BN4835" s="8">
        <v>0</v>
      </c>
      <c r="BO4835" s="8">
        <v>5834551.0722776949</v>
      </c>
      <c r="BP4835" s="8">
        <v>6267439.287573915</v>
      </c>
      <c r="BQ4835" s="8">
        <v>432888.21529622003</v>
      </c>
      <c r="BR4835" s="8" t="str">
        <v>No</v>
      </c>
    </row>
    <row r="4836" spans="54:70" x14ac:dyDescent="0.2">
      <c r="BB4836" s="94"/>
      <c r="BL4836" s="8">
        <v>4787</v>
      </c>
      <c r="BM4836" s="8">
        <v>7529215.8161656959</v>
      </c>
      <c r="BN4836" s="8">
        <v>6842522.6033160938</v>
      </c>
      <c r="BO4836" s="8">
        <v>14371738.41948179</v>
      </c>
      <c r="BP4836" s="8">
        <v>6203344.3036177298</v>
      </c>
      <c r="BQ4836" s="8">
        <v>-8168394.1158640599</v>
      </c>
      <c r="BR4836" s="8" t="str">
        <v>Yes</v>
      </c>
    </row>
    <row r="4837" spans="54:70" x14ac:dyDescent="0.2">
      <c r="BB4837" s="94"/>
      <c r="BL4837" s="8">
        <v>4788</v>
      </c>
      <c r="BM4837" s="8">
        <v>6554668.1750256196</v>
      </c>
      <c r="BN4837" s="8">
        <v>0</v>
      </c>
      <c r="BO4837" s="8">
        <v>6554668.1750256196</v>
      </c>
      <c r="BP4837" s="8">
        <v>4690231.8614743408</v>
      </c>
      <c r="BQ4837" s="8">
        <v>-1864436.3135512788</v>
      </c>
      <c r="BR4837" s="8" t="str">
        <v>Yes</v>
      </c>
    </row>
    <row r="4838" spans="54:70" x14ac:dyDescent="0.2">
      <c r="BB4838" s="94"/>
      <c r="BL4838" s="8">
        <v>4789</v>
      </c>
      <c r="BM4838" s="8">
        <v>4125853.6313039274</v>
      </c>
      <c r="BN4838" s="8">
        <v>4020885.0022278884</v>
      </c>
      <c r="BO4838" s="8">
        <v>8146738.6335318163</v>
      </c>
      <c r="BP4838" s="8">
        <v>4420441.3782036621</v>
      </c>
      <c r="BQ4838" s="8">
        <v>-3726297.2553281542</v>
      </c>
      <c r="BR4838" s="8" t="str">
        <v>Yes</v>
      </c>
    </row>
    <row r="4839" spans="54:70" x14ac:dyDescent="0.2">
      <c r="BB4839" s="94"/>
      <c r="BL4839" s="8">
        <v>4790</v>
      </c>
      <c r="BM4839" s="8">
        <v>8409748.4709503222</v>
      </c>
      <c r="BN4839" s="8">
        <v>7322690.5176827703</v>
      </c>
      <c r="BO4839" s="8">
        <v>15732438.988633092</v>
      </c>
      <c r="BP4839" s="8">
        <v>4553007.1974692242</v>
      </c>
      <c r="BQ4839" s="8">
        <v>-11179431.791163869</v>
      </c>
      <c r="BR4839" s="8" t="str">
        <v>Yes</v>
      </c>
    </row>
    <row r="4840" spans="54:70" x14ac:dyDescent="0.2">
      <c r="BB4840" s="94"/>
      <c r="BL4840" s="8">
        <v>4791</v>
      </c>
      <c r="BM4840" s="8">
        <v>4970943.0013838466</v>
      </c>
      <c r="BN4840" s="8">
        <v>5349817.0811807998</v>
      </c>
      <c r="BO4840" s="8">
        <v>10320760.082564646</v>
      </c>
      <c r="BP4840" s="8">
        <v>2243787.4120545536</v>
      </c>
      <c r="BQ4840" s="8">
        <v>-8076972.6705100928</v>
      </c>
      <c r="BR4840" s="8" t="str">
        <v>Yes</v>
      </c>
    </row>
    <row r="4841" spans="54:70" x14ac:dyDescent="0.2">
      <c r="BB4841" s="94"/>
      <c r="BL4841" s="8">
        <v>4792</v>
      </c>
      <c r="BM4841" s="8">
        <v>2398949.9874333367</v>
      </c>
      <c r="BN4841" s="8">
        <v>863724.53467629012</v>
      </c>
      <c r="BO4841" s="8">
        <v>3262674.5221096268</v>
      </c>
      <c r="BP4841" s="8">
        <v>6053821.103334045</v>
      </c>
      <c r="BQ4841" s="8">
        <v>2791146.5812244182</v>
      </c>
      <c r="BR4841" s="8" t="str">
        <v>No</v>
      </c>
    </row>
    <row r="4842" spans="54:70" x14ac:dyDescent="0.2">
      <c r="BB4842" s="94"/>
      <c r="BL4842" s="8">
        <v>4793</v>
      </c>
      <c r="BM4842" s="8">
        <v>6811543.605342498</v>
      </c>
      <c r="BN4842" s="8">
        <v>8360962.5442130556</v>
      </c>
      <c r="BO4842" s="8">
        <v>15172506.149555553</v>
      </c>
      <c r="BP4842" s="8">
        <v>6069305.5497186985</v>
      </c>
      <c r="BQ4842" s="8">
        <v>-9103200.5998368543</v>
      </c>
      <c r="BR4842" s="8" t="str">
        <v>Yes</v>
      </c>
    </row>
    <row r="4843" spans="54:70" x14ac:dyDescent="0.2">
      <c r="BB4843" s="94"/>
      <c r="BL4843" s="8">
        <v>4794</v>
      </c>
      <c r="BM4843" s="8">
        <v>4238366.7783281924</v>
      </c>
      <c r="BN4843" s="8">
        <v>0</v>
      </c>
      <c r="BO4843" s="8">
        <v>4238366.7783281924</v>
      </c>
      <c r="BP4843" s="8">
        <v>6092560.8664525216</v>
      </c>
      <c r="BQ4843" s="8">
        <v>1854194.0881243292</v>
      </c>
      <c r="BR4843" s="8" t="str">
        <v>No</v>
      </c>
    </row>
    <row r="4844" spans="54:70" x14ac:dyDescent="0.2">
      <c r="BB4844" s="94"/>
      <c r="BL4844" s="8">
        <v>4795</v>
      </c>
      <c r="BM4844" s="8">
        <v>3042706.9591426025</v>
      </c>
      <c r="BN4844" s="8">
        <v>0</v>
      </c>
      <c r="BO4844" s="8">
        <v>3042706.9591426025</v>
      </c>
      <c r="BP4844" s="8">
        <v>3634093.3118642368</v>
      </c>
      <c r="BQ4844" s="8">
        <v>591386.35272163432</v>
      </c>
      <c r="BR4844" s="8" t="str">
        <v>No</v>
      </c>
    </row>
    <row r="4845" spans="54:70" x14ac:dyDescent="0.2">
      <c r="BB4845" s="94"/>
      <c r="BL4845" s="8">
        <v>4796</v>
      </c>
      <c r="BM4845" s="8">
        <v>2087392.6344445483</v>
      </c>
      <c r="BN4845" s="8">
        <v>0</v>
      </c>
      <c r="BO4845" s="8">
        <v>2087392.6344445483</v>
      </c>
      <c r="BP4845" s="8">
        <v>6521264.7257341081</v>
      </c>
      <c r="BQ4845" s="8">
        <v>4433872.0912895594</v>
      </c>
      <c r="BR4845" s="8" t="str">
        <v>No</v>
      </c>
    </row>
    <row r="4846" spans="54:70" x14ac:dyDescent="0.2">
      <c r="BB4846" s="94"/>
      <c r="BL4846" s="8">
        <v>4797</v>
      </c>
      <c r="BM4846" s="8">
        <v>15178457.405366687</v>
      </c>
      <c r="BN4846" s="8">
        <v>0</v>
      </c>
      <c r="BO4846" s="8">
        <v>15178457.405366687</v>
      </c>
      <c r="BP4846" s="8">
        <v>2253254.6586211054</v>
      </c>
      <c r="BQ4846" s="8">
        <v>-12925202.746745583</v>
      </c>
      <c r="BR4846" s="8" t="str">
        <v>Yes</v>
      </c>
    </row>
    <row r="4847" spans="54:70" x14ac:dyDescent="0.2">
      <c r="BB4847" s="94"/>
      <c r="BL4847" s="8">
        <v>4798</v>
      </c>
      <c r="BM4847" s="8">
        <v>4042721.2326618773</v>
      </c>
      <c r="BN4847" s="8">
        <v>2511772.0879240762</v>
      </c>
      <c r="BO4847" s="8">
        <v>6554493.3205859531</v>
      </c>
      <c r="BP4847" s="8">
        <v>2944582.816123114</v>
      </c>
      <c r="BQ4847" s="8">
        <v>-3609910.5044628391</v>
      </c>
      <c r="BR4847" s="8" t="str">
        <v>Yes</v>
      </c>
    </row>
    <row r="4848" spans="54:70" x14ac:dyDescent="0.2">
      <c r="BB4848" s="94"/>
      <c r="BL4848" s="8">
        <v>4799</v>
      </c>
      <c r="BM4848" s="8">
        <v>6440717.4553365596</v>
      </c>
      <c r="BN4848" s="8">
        <v>8747373.4456712082</v>
      </c>
      <c r="BO4848" s="8">
        <v>15188090.901007768</v>
      </c>
      <c r="BP4848" s="8">
        <v>3282128.9757087384</v>
      </c>
      <c r="BQ4848" s="8">
        <v>-11905961.92529903</v>
      </c>
      <c r="BR4848" s="8" t="str">
        <v>Yes</v>
      </c>
    </row>
    <row r="4849" spans="54:70" x14ac:dyDescent="0.2">
      <c r="BB4849" s="94"/>
      <c r="BL4849" s="8">
        <v>4800</v>
      </c>
      <c r="BM4849" s="8">
        <v>3495262.2790140379</v>
      </c>
      <c r="BN4849" s="8">
        <v>0</v>
      </c>
      <c r="BO4849" s="8">
        <v>3495262.2790140379</v>
      </c>
      <c r="BP4849" s="8">
        <v>2563241.89227584</v>
      </c>
      <c r="BQ4849" s="8">
        <v>-932020.38673819788</v>
      </c>
      <c r="BR4849" s="8" t="str">
        <v>Yes</v>
      </c>
    </row>
    <row r="4850" spans="54:70" x14ac:dyDescent="0.2">
      <c r="BB4850" s="94"/>
      <c r="BL4850" s="8">
        <v>4801</v>
      </c>
      <c r="BM4850" s="8">
        <v>3306344.3458037097</v>
      </c>
      <c r="BN4850" s="8">
        <v>3901882.9109936771</v>
      </c>
      <c r="BO4850" s="8">
        <v>7208227.2567973863</v>
      </c>
      <c r="BP4850" s="8">
        <v>3472074.9564766497</v>
      </c>
      <c r="BQ4850" s="8">
        <v>-3736152.3003207366</v>
      </c>
      <c r="BR4850" s="8" t="str">
        <v>Yes</v>
      </c>
    </row>
    <row r="4851" spans="54:70" x14ac:dyDescent="0.2">
      <c r="BB4851" s="94"/>
      <c r="BL4851" s="8">
        <v>4802</v>
      </c>
      <c r="BM4851" s="8">
        <v>1858375.6951298804</v>
      </c>
      <c r="BN4851" s="8">
        <v>0</v>
      </c>
      <c r="BO4851" s="8">
        <v>1858375.6951298804</v>
      </c>
      <c r="BP4851" s="8">
        <v>2412393.9075875655</v>
      </c>
      <c r="BQ4851" s="8">
        <v>554018.21245768503</v>
      </c>
      <c r="BR4851" s="8" t="str">
        <v>No</v>
      </c>
    </row>
    <row r="4852" spans="54:70" x14ac:dyDescent="0.2">
      <c r="BB4852" s="94"/>
      <c r="BL4852" s="8">
        <v>4803</v>
      </c>
      <c r="BM4852" s="8">
        <v>3786180.9857931249</v>
      </c>
      <c r="BN4852" s="8">
        <v>0</v>
      </c>
      <c r="BO4852" s="8">
        <v>3786180.9857931249</v>
      </c>
      <c r="BP4852" s="8">
        <v>2254290.1465487895</v>
      </c>
      <c r="BQ4852" s="8">
        <v>-1531890.8392443354</v>
      </c>
      <c r="BR4852" s="8" t="str">
        <v>Yes</v>
      </c>
    </row>
    <row r="4853" spans="54:70" x14ac:dyDescent="0.2">
      <c r="BB4853" s="94"/>
      <c r="BL4853" s="8">
        <v>4804</v>
      </c>
      <c r="BM4853" s="8">
        <v>2797032.6309802183</v>
      </c>
      <c r="BN4853" s="8">
        <v>5353896.0669698585</v>
      </c>
      <c r="BO4853" s="8">
        <v>8150928.6979500763</v>
      </c>
      <c r="BP4853" s="8">
        <v>3362095.3856580257</v>
      </c>
      <c r="BQ4853" s="8">
        <v>-4788833.3122920506</v>
      </c>
      <c r="BR4853" s="8" t="str">
        <v>Yes</v>
      </c>
    </row>
    <row r="4854" spans="54:70" x14ac:dyDescent="0.2">
      <c r="BB4854" s="94"/>
      <c r="BL4854" s="8">
        <v>4805</v>
      </c>
      <c r="BM4854" s="8">
        <v>5348961.1515658721</v>
      </c>
      <c r="BN4854" s="8">
        <v>4356324.2327819541</v>
      </c>
      <c r="BO4854" s="8">
        <v>9705285.3843478262</v>
      </c>
      <c r="BP4854" s="8">
        <v>5920304.9675105996</v>
      </c>
      <c r="BQ4854" s="8">
        <v>-3784980.4168372266</v>
      </c>
      <c r="BR4854" s="8" t="str">
        <v>Yes</v>
      </c>
    </row>
    <row r="4855" spans="54:70" x14ac:dyDescent="0.2">
      <c r="BB4855" s="94"/>
      <c r="BL4855" s="8">
        <v>4806</v>
      </c>
      <c r="BM4855" s="8">
        <v>3191890.9363997509</v>
      </c>
      <c r="BN4855" s="8">
        <v>0</v>
      </c>
      <c r="BO4855" s="8">
        <v>3191890.9363997509</v>
      </c>
      <c r="BP4855" s="8">
        <v>4084714.9903182164</v>
      </c>
      <c r="BQ4855" s="8">
        <v>892824.05391846551</v>
      </c>
      <c r="BR4855" s="8" t="str">
        <v>No</v>
      </c>
    </row>
    <row r="4856" spans="54:70" x14ac:dyDescent="0.2">
      <c r="BB4856" s="94"/>
      <c r="BL4856" s="8">
        <v>4807</v>
      </c>
      <c r="BM4856" s="8">
        <v>10564577.863016758</v>
      </c>
      <c r="BN4856" s="8">
        <v>13755287.307167782</v>
      </c>
      <c r="BO4856" s="8">
        <v>24319865.170184538</v>
      </c>
      <c r="BP4856" s="8">
        <v>2455915.5956840455</v>
      </c>
      <c r="BQ4856" s="8">
        <v>-21863949.574500494</v>
      </c>
      <c r="BR4856" s="8" t="str">
        <v>Yes</v>
      </c>
    </row>
    <row r="4857" spans="54:70" x14ac:dyDescent="0.2">
      <c r="BB4857" s="94"/>
      <c r="BL4857" s="8">
        <v>4808</v>
      </c>
      <c r="BM4857" s="8">
        <v>4678227.1661262177</v>
      </c>
      <c r="BN4857" s="8">
        <v>3062743.3004848408</v>
      </c>
      <c r="BO4857" s="8">
        <v>7740970.4666110585</v>
      </c>
      <c r="BP4857" s="8">
        <v>6200462.7719839886</v>
      </c>
      <c r="BQ4857" s="8">
        <v>-1540507.6946270699</v>
      </c>
      <c r="BR4857" s="8" t="str">
        <v>Yes</v>
      </c>
    </row>
    <row r="4858" spans="54:70" x14ac:dyDescent="0.2">
      <c r="BB4858" s="94"/>
      <c r="BL4858" s="8">
        <v>4809</v>
      </c>
      <c r="BM4858" s="8">
        <v>2735113.1629843302</v>
      </c>
      <c r="BN4858" s="8">
        <v>0</v>
      </c>
      <c r="BO4858" s="8">
        <v>2735113.1629843302</v>
      </c>
      <c r="BP4858" s="8">
        <v>2215975.9775045179</v>
      </c>
      <c r="BQ4858" s="8">
        <v>-519137.18547981232</v>
      </c>
      <c r="BR4858" s="8" t="str">
        <v>Yes</v>
      </c>
    </row>
    <row r="4859" spans="54:70" x14ac:dyDescent="0.2">
      <c r="BB4859" s="94"/>
      <c r="BL4859" s="8">
        <v>4810</v>
      </c>
      <c r="BM4859" s="8">
        <v>2785499.3325555446</v>
      </c>
      <c r="BN4859" s="8">
        <v>1229412.2654696293</v>
      </c>
      <c r="BO4859" s="8">
        <v>4014911.5980251739</v>
      </c>
      <c r="BP4859" s="8">
        <v>4248141.3511654679</v>
      </c>
      <c r="BQ4859" s="8">
        <v>233229.75314029399</v>
      </c>
      <c r="BR4859" s="8" t="str">
        <v>No</v>
      </c>
    </row>
    <row r="4860" spans="54:70" x14ac:dyDescent="0.2">
      <c r="BB4860" s="94"/>
      <c r="BL4860" s="8">
        <v>4811</v>
      </c>
      <c r="BM4860" s="8">
        <v>2320356.6652704962</v>
      </c>
      <c r="BN4860" s="8">
        <v>0</v>
      </c>
      <c r="BO4860" s="8">
        <v>2320356.6652704962</v>
      </c>
      <c r="BP4860" s="8">
        <v>3232943.9534469852</v>
      </c>
      <c r="BQ4860" s="8">
        <v>912587.28817648906</v>
      </c>
      <c r="BR4860" s="8" t="str">
        <v>No</v>
      </c>
    </row>
    <row r="4861" spans="54:70" x14ac:dyDescent="0.2">
      <c r="BB4861" s="94"/>
      <c r="BL4861" s="8">
        <v>4812</v>
      </c>
      <c r="BM4861" s="8">
        <v>3133503.2902094377</v>
      </c>
      <c r="BN4861" s="8">
        <v>0</v>
      </c>
      <c r="BO4861" s="8">
        <v>3133503.2902094377</v>
      </c>
      <c r="BP4861" s="8">
        <v>6311913.2376430426</v>
      </c>
      <c r="BQ4861" s="8">
        <v>3178409.9474336049</v>
      </c>
      <c r="BR4861" s="8" t="str">
        <v>No</v>
      </c>
    </row>
    <row r="4862" spans="54:70" x14ac:dyDescent="0.2">
      <c r="BB4862" s="94"/>
      <c r="BL4862" s="8">
        <v>4813</v>
      </c>
      <c r="BM4862" s="8">
        <v>2802295.7801228403</v>
      </c>
      <c r="BN4862" s="8">
        <v>0</v>
      </c>
      <c r="BO4862" s="8">
        <v>2802295.7801228403</v>
      </c>
      <c r="BP4862" s="8">
        <v>3029513.4358980418</v>
      </c>
      <c r="BQ4862" s="8">
        <v>227217.65577520151</v>
      </c>
      <c r="BR4862" s="8" t="str">
        <v>No</v>
      </c>
    </row>
    <row r="4863" spans="54:70" x14ac:dyDescent="0.2">
      <c r="BB4863" s="94"/>
      <c r="BL4863" s="8">
        <v>4814</v>
      </c>
      <c r="BM4863" s="8">
        <v>8528720.9216253404</v>
      </c>
      <c r="BN4863" s="8">
        <v>11787853.091136843</v>
      </c>
      <c r="BO4863" s="8">
        <v>20316574.012762181</v>
      </c>
      <c r="BP4863" s="8">
        <v>6090071.6299966304</v>
      </c>
      <c r="BQ4863" s="8">
        <v>-14226502.38276555</v>
      </c>
      <c r="BR4863" s="8" t="str">
        <v>Yes</v>
      </c>
    </row>
    <row r="4864" spans="54:70" x14ac:dyDescent="0.2">
      <c r="BB4864" s="94"/>
      <c r="BL4864" s="8">
        <v>4815</v>
      </c>
      <c r="BM4864" s="8">
        <v>4676802.9182885755</v>
      </c>
      <c r="BN4864" s="8">
        <v>0</v>
      </c>
      <c r="BO4864" s="8">
        <v>4676802.9182885755</v>
      </c>
      <c r="BP4864" s="8">
        <v>3817571.2056995402</v>
      </c>
      <c r="BQ4864" s="8">
        <v>-859231.71258903528</v>
      </c>
      <c r="BR4864" s="8" t="str">
        <v>Yes</v>
      </c>
    </row>
    <row r="4865" spans="54:70" x14ac:dyDescent="0.2">
      <c r="BB4865" s="94"/>
      <c r="BL4865" s="8">
        <v>4816</v>
      </c>
      <c r="BM4865" s="8">
        <v>5208993.0502414741</v>
      </c>
      <c r="BN4865" s="8">
        <v>7037728.6689782348</v>
      </c>
      <c r="BO4865" s="8">
        <v>12246721.719219709</v>
      </c>
      <c r="BP4865" s="8">
        <v>6662073.4534484874</v>
      </c>
      <c r="BQ4865" s="8">
        <v>-5584648.2657712214</v>
      </c>
      <c r="BR4865" s="8" t="str">
        <v>Yes</v>
      </c>
    </row>
    <row r="4866" spans="54:70" x14ac:dyDescent="0.2">
      <c r="BB4866" s="94"/>
      <c r="BL4866" s="8">
        <v>4817</v>
      </c>
      <c r="BM4866" s="8">
        <v>3558096.8630475709</v>
      </c>
      <c r="BN4866" s="8">
        <v>0</v>
      </c>
      <c r="BO4866" s="8">
        <v>3558096.8630475709</v>
      </c>
      <c r="BP4866" s="8">
        <v>2244562.4562004935</v>
      </c>
      <c r="BQ4866" s="8">
        <v>-1313534.4068470774</v>
      </c>
      <c r="BR4866" s="8" t="str">
        <v>Yes</v>
      </c>
    </row>
    <row r="4867" spans="54:70" x14ac:dyDescent="0.2">
      <c r="BB4867" s="94"/>
      <c r="BL4867" s="8">
        <v>4818</v>
      </c>
      <c r="BM4867" s="8">
        <v>2181887.2716474114</v>
      </c>
      <c r="BN4867" s="8">
        <v>0</v>
      </c>
      <c r="BO4867" s="8">
        <v>2181887.2716474114</v>
      </c>
      <c r="BP4867" s="8">
        <v>4005732.1050665886</v>
      </c>
      <c r="BQ4867" s="8">
        <v>1823844.8334191772</v>
      </c>
      <c r="BR4867" s="8" t="str">
        <v>No</v>
      </c>
    </row>
    <row r="4868" spans="54:70" x14ac:dyDescent="0.2">
      <c r="BB4868" s="94"/>
      <c r="BL4868" s="8">
        <v>4819</v>
      </c>
      <c r="BM4868" s="8">
        <v>2879494.8276022081</v>
      </c>
      <c r="BN4868" s="8">
        <v>2401422.8636457711</v>
      </c>
      <c r="BO4868" s="8">
        <v>5280917.6912479792</v>
      </c>
      <c r="BP4868" s="8">
        <v>3609861.1857769461</v>
      </c>
      <c r="BQ4868" s="8">
        <v>-1671056.505471033</v>
      </c>
      <c r="BR4868" s="8" t="str">
        <v>Yes</v>
      </c>
    </row>
    <row r="4869" spans="54:70" x14ac:dyDescent="0.2">
      <c r="BB4869" s="94"/>
      <c r="BL4869" s="8">
        <v>4820</v>
      </c>
      <c r="BM4869" s="8">
        <v>2810476.2193714757</v>
      </c>
      <c r="BN4869" s="8">
        <v>0</v>
      </c>
      <c r="BO4869" s="8">
        <v>2810476.2193714757</v>
      </c>
      <c r="BP4869" s="8">
        <v>3816883.37334482</v>
      </c>
      <c r="BQ4869" s="8">
        <v>1006407.1539733442</v>
      </c>
      <c r="BR4869" s="8" t="str">
        <v>No</v>
      </c>
    </row>
    <row r="4870" spans="54:70" x14ac:dyDescent="0.2">
      <c r="BB4870" s="94"/>
      <c r="BL4870" s="8">
        <v>4821</v>
      </c>
      <c r="BM4870" s="8">
        <v>25753008.78530113</v>
      </c>
      <c r="BN4870" s="8">
        <v>22032572.730636243</v>
      </c>
      <c r="BO4870" s="8">
        <v>47785581.515937373</v>
      </c>
      <c r="BP4870" s="8">
        <v>4187274.9509982811</v>
      </c>
      <c r="BQ4870" s="8">
        <v>-43598306.564939089</v>
      </c>
      <c r="BR4870" s="8" t="str">
        <v>Yes</v>
      </c>
    </row>
    <row r="4871" spans="54:70" x14ac:dyDescent="0.2">
      <c r="BB4871" s="94"/>
      <c r="BL4871" s="8">
        <v>4822</v>
      </c>
      <c r="BM4871" s="8">
        <v>4821762.5419120267</v>
      </c>
      <c r="BN4871" s="8">
        <v>5081757.6961923912</v>
      </c>
      <c r="BO4871" s="8">
        <v>9903520.2381044179</v>
      </c>
      <c r="BP4871" s="8">
        <v>2191157.1797134019</v>
      </c>
      <c r="BQ4871" s="8">
        <v>-7712363.058391016</v>
      </c>
      <c r="BR4871" s="8" t="str">
        <v>Yes</v>
      </c>
    </row>
    <row r="4872" spans="54:70" x14ac:dyDescent="0.2">
      <c r="BB4872" s="94"/>
      <c r="BL4872" s="8">
        <v>4823</v>
      </c>
      <c r="BM4872" s="8">
        <v>3933493.1594413938</v>
      </c>
      <c r="BN4872" s="8">
        <v>0</v>
      </c>
      <c r="BO4872" s="8">
        <v>3933493.1594413938</v>
      </c>
      <c r="BP4872" s="8">
        <v>3461058.5525650778</v>
      </c>
      <c r="BQ4872" s="8">
        <v>-472434.60687631601</v>
      </c>
      <c r="BR4872" s="8" t="str">
        <v>Yes</v>
      </c>
    </row>
    <row r="4873" spans="54:70" x14ac:dyDescent="0.2">
      <c r="BB4873" s="94"/>
      <c r="BL4873" s="8">
        <v>4824</v>
      </c>
      <c r="BM4873" s="8">
        <v>3503931.9477127725</v>
      </c>
      <c r="BN4873" s="8">
        <v>0</v>
      </c>
      <c r="BO4873" s="8">
        <v>3503931.9477127725</v>
      </c>
      <c r="BP4873" s="8">
        <v>6841388.5777179915</v>
      </c>
      <c r="BQ4873" s="8">
        <v>3337456.630005219</v>
      </c>
      <c r="BR4873" s="8" t="str">
        <v>No</v>
      </c>
    </row>
    <row r="4874" spans="54:70" x14ac:dyDescent="0.2">
      <c r="BB4874" s="94"/>
      <c r="BL4874" s="8">
        <v>4825</v>
      </c>
      <c r="BM4874" s="8">
        <v>6141130.0401652437</v>
      </c>
      <c r="BN4874" s="8">
        <v>0</v>
      </c>
      <c r="BO4874" s="8">
        <v>6141130.0401652437</v>
      </c>
      <c r="BP4874" s="8">
        <v>6250632.5663175192</v>
      </c>
      <c r="BQ4874" s="8">
        <v>109502.5261522755</v>
      </c>
      <c r="BR4874" s="8" t="str">
        <v>No</v>
      </c>
    </row>
    <row r="4875" spans="54:70" x14ac:dyDescent="0.2">
      <c r="BB4875" s="94"/>
      <c r="BL4875" s="8">
        <v>4826</v>
      </c>
      <c r="BM4875" s="8">
        <v>11434560.819689998</v>
      </c>
      <c r="BN4875" s="8">
        <v>8473503.5549432542</v>
      </c>
      <c r="BO4875" s="8">
        <v>19908064.374633253</v>
      </c>
      <c r="BP4875" s="8">
        <v>3983347.6245102589</v>
      </c>
      <c r="BQ4875" s="8">
        <v>-15924716.750122994</v>
      </c>
      <c r="BR4875" s="8" t="str">
        <v>Yes</v>
      </c>
    </row>
    <row r="4876" spans="54:70" x14ac:dyDescent="0.2">
      <c r="BB4876" s="94"/>
      <c r="BL4876" s="8">
        <v>4827</v>
      </c>
      <c r="BM4876" s="8">
        <v>2963323.1162084052</v>
      </c>
      <c r="BN4876" s="8">
        <v>2446901.9910112144</v>
      </c>
      <c r="BO4876" s="8">
        <v>5410225.1072196197</v>
      </c>
      <c r="BP4876" s="8">
        <v>3223174.6652870462</v>
      </c>
      <c r="BQ4876" s="8">
        <v>-2187050.4419325734</v>
      </c>
      <c r="BR4876" s="8" t="str">
        <v>Yes</v>
      </c>
    </row>
    <row r="4877" spans="54:70" x14ac:dyDescent="0.2">
      <c r="BB4877" s="94"/>
      <c r="BL4877" s="8">
        <v>4828</v>
      </c>
      <c r="BM4877" s="8">
        <v>5241865.0305151753</v>
      </c>
      <c r="BN4877" s="8">
        <v>2109984.9303451749</v>
      </c>
      <c r="BO4877" s="8">
        <v>7351849.9608603502</v>
      </c>
      <c r="BP4877" s="8">
        <v>6496025.9180322904</v>
      </c>
      <c r="BQ4877" s="8">
        <v>-855824.04282805976</v>
      </c>
      <c r="BR4877" s="8" t="str">
        <v>Yes</v>
      </c>
    </row>
    <row r="4878" spans="54:70" x14ac:dyDescent="0.2">
      <c r="BB4878" s="94"/>
      <c r="BL4878" s="8">
        <v>4829</v>
      </c>
      <c r="BM4878" s="8">
        <v>5999865.241005782</v>
      </c>
      <c r="BN4878" s="8">
        <v>4212495.6353470329</v>
      </c>
      <c r="BO4878" s="8">
        <v>10212360.876352815</v>
      </c>
      <c r="BP4878" s="8">
        <v>6912861.2525380906</v>
      </c>
      <c r="BQ4878" s="8">
        <v>-3299499.6238147244</v>
      </c>
      <c r="BR4878" s="8" t="str">
        <v>Yes</v>
      </c>
    </row>
    <row r="4879" spans="54:70" x14ac:dyDescent="0.2">
      <c r="BB4879" s="94"/>
      <c r="BL4879" s="8">
        <v>4830</v>
      </c>
      <c r="BM4879" s="8">
        <v>1772832.2841676227</v>
      </c>
      <c r="BN4879" s="8">
        <v>1956606.4714240204</v>
      </c>
      <c r="BO4879" s="8">
        <v>3729438.755591643</v>
      </c>
      <c r="BP4879" s="8">
        <v>4354395.2818198241</v>
      </c>
      <c r="BQ4879" s="8">
        <v>624956.52622818109</v>
      </c>
      <c r="BR4879" s="8" t="str">
        <v>No</v>
      </c>
    </row>
    <row r="4880" spans="54:70" x14ac:dyDescent="0.2">
      <c r="BB4880" s="94"/>
      <c r="BL4880" s="8">
        <v>4831</v>
      </c>
      <c r="BM4880" s="8">
        <v>6013982.5021564076</v>
      </c>
      <c r="BN4880" s="8">
        <v>7652666.8387010759</v>
      </c>
      <c r="BO4880" s="8">
        <v>13666649.340857483</v>
      </c>
      <c r="BP4880" s="8">
        <v>6218843.3196611209</v>
      </c>
      <c r="BQ4880" s="8">
        <v>-7447806.0211963626</v>
      </c>
      <c r="BR4880" s="8" t="str">
        <v>Yes</v>
      </c>
    </row>
    <row r="4881" spans="54:70" x14ac:dyDescent="0.2">
      <c r="BB4881" s="94"/>
      <c r="BL4881" s="8">
        <v>4832</v>
      </c>
      <c r="BM4881" s="8">
        <v>4984460.8564976668</v>
      </c>
      <c r="BN4881" s="8">
        <v>0</v>
      </c>
      <c r="BO4881" s="8">
        <v>4984460.8564976668</v>
      </c>
      <c r="BP4881" s="8">
        <v>6062920.8773608459</v>
      </c>
      <c r="BQ4881" s="8">
        <v>1078460.0208631791</v>
      </c>
      <c r="BR4881" s="8" t="str">
        <v>No</v>
      </c>
    </row>
    <row r="4882" spans="54:70" x14ac:dyDescent="0.2">
      <c r="BB4882" s="94"/>
      <c r="BL4882" s="8">
        <v>4833</v>
      </c>
      <c r="BM4882" s="8">
        <v>4047055.7326353183</v>
      </c>
      <c r="BN4882" s="8">
        <v>0</v>
      </c>
      <c r="BO4882" s="8">
        <v>4047055.7326353183</v>
      </c>
      <c r="BP4882" s="8">
        <v>2475787.086685665</v>
      </c>
      <c r="BQ4882" s="8">
        <v>-1571268.6459496533</v>
      </c>
      <c r="BR4882" s="8" t="str">
        <v>Yes</v>
      </c>
    </row>
    <row r="4883" spans="54:70" x14ac:dyDescent="0.2">
      <c r="BB4883" s="94"/>
      <c r="BL4883" s="8">
        <v>4834</v>
      </c>
      <c r="BM4883" s="8">
        <v>10824873.204329889</v>
      </c>
      <c r="BN4883" s="8">
        <v>2477240.1393362964</v>
      </c>
      <c r="BO4883" s="8">
        <v>13302113.343666185</v>
      </c>
      <c r="BP4883" s="8">
        <v>6411329.4228220312</v>
      </c>
      <c r="BQ4883" s="8">
        <v>-6890783.9208441535</v>
      </c>
      <c r="BR4883" s="8" t="str">
        <v>Yes</v>
      </c>
    </row>
    <row r="4884" spans="54:70" x14ac:dyDescent="0.2">
      <c r="BB4884" s="94"/>
      <c r="BL4884" s="8">
        <v>4835</v>
      </c>
      <c r="BM4884" s="8">
        <v>2418813.3576832009</v>
      </c>
      <c r="BN4884" s="8">
        <v>836253.86320151854</v>
      </c>
      <c r="BO4884" s="8">
        <v>3255067.2208847194</v>
      </c>
      <c r="BP4884" s="8">
        <v>5970384.6555936402</v>
      </c>
      <c r="BQ4884" s="8">
        <v>2715317.4347089208</v>
      </c>
      <c r="BR4884" s="8" t="str">
        <v>No</v>
      </c>
    </row>
    <row r="4885" spans="54:70" x14ac:dyDescent="0.2">
      <c r="BB4885" s="94"/>
      <c r="BL4885" s="8">
        <v>4836</v>
      </c>
      <c r="BM4885" s="8">
        <v>5593538.4772826908</v>
      </c>
      <c r="BN4885" s="8">
        <v>6577551.4906517696</v>
      </c>
      <c r="BO4885" s="8">
        <v>12171089.967934459</v>
      </c>
      <c r="BP4885" s="8">
        <v>4507633.005306921</v>
      </c>
      <c r="BQ4885" s="8">
        <v>-7663456.9626275385</v>
      </c>
      <c r="BR4885" s="8" t="str">
        <v>Yes</v>
      </c>
    </row>
    <row r="4886" spans="54:70" x14ac:dyDescent="0.2">
      <c r="BB4886" s="94"/>
      <c r="BL4886" s="8">
        <v>4837</v>
      </c>
      <c r="BM4886" s="8">
        <v>5064574.0031137643</v>
      </c>
      <c r="BN4886" s="8">
        <v>0</v>
      </c>
      <c r="BO4886" s="8">
        <v>5064574.0031137643</v>
      </c>
      <c r="BP4886" s="8">
        <v>4175508.1530891024</v>
      </c>
      <c r="BQ4886" s="8">
        <v>-889065.85002466198</v>
      </c>
      <c r="BR4886" s="8" t="str">
        <v>Yes</v>
      </c>
    </row>
    <row r="4887" spans="54:70" x14ac:dyDescent="0.2">
      <c r="BB4887" s="94"/>
      <c r="BL4887" s="8">
        <v>4838</v>
      </c>
      <c r="BM4887" s="8">
        <v>5369108.1578584909</v>
      </c>
      <c r="BN4887" s="8">
        <v>0</v>
      </c>
      <c r="BO4887" s="8">
        <v>5369108.1578584909</v>
      </c>
      <c r="BP4887" s="8">
        <v>6239360.5910618873</v>
      </c>
      <c r="BQ4887" s="8">
        <v>870252.43320339639</v>
      </c>
      <c r="BR4887" s="8" t="str">
        <v>No</v>
      </c>
    </row>
    <row r="4888" spans="54:70" x14ac:dyDescent="0.2">
      <c r="BB4888" s="94"/>
      <c r="BL4888" s="8">
        <v>4839</v>
      </c>
      <c r="BM4888" s="8">
        <v>5602881.7967642583</v>
      </c>
      <c r="BN4888" s="8">
        <v>5279523.4894702025</v>
      </c>
      <c r="BO4888" s="8">
        <v>10882405.286234461</v>
      </c>
      <c r="BP4888" s="8">
        <v>3255963.5726195155</v>
      </c>
      <c r="BQ4888" s="8">
        <v>-7626441.7136149453</v>
      </c>
      <c r="BR4888" s="8" t="str">
        <v>Yes</v>
      </c>
    </row>
    <row r="4889" spans="54:70" x14ac:dyDescent="0.2">
      <c r="BB4889" s="94"/>
      <c r="BL4889" s="8">
        <v>4840</v>
      </c>
      <c r="BM4889" s="8">
        <v>6294953.5110282768</v>
      </c>
      <c r="BN4889" s="8">
        <v>0</v>
      </c>
      <c r="BO4889" s="8">
        <v>6294953.5110282768</v>
      </c>
      <c r="BP4889" s="8">
        <v>6235091.409521075</v>
      </c>
      <c r="BQ4889" s="8">
        <v>-59862.101507201791</v>
      </c>
      <c r="BR4889" s="8" t="str">
        <v>Yes</v>
      </c>
    </row>
    <row r="4890" spans="54:70" x14ac:dyDescent="0.2">
      <c r="BB4890" s="94"/>
      <c r="BL4890" s="8">
        <v>4841</v>
      </c>
      <c r="BM4890" s="8">
        <v>8266473.664361814</v>
      </c>
      <c r="BN4890" s="8">
        <v>0</v>
      </c>
      <c r="BO4890" s="8">
        <v>8266473.664361814</v>
      </c>
      <c r="BP4890" s="8">
        <v>3308763.4014531714</v>
      </c>
      <c r="BQ4890" s="8">
        <v>-4957710.2629086431</v>
      </c>
      <c r="BR4890" s="8" t="str">
        <v>Yes</v>
      </c>
    </row>
    <row r="4891" spans="54:70" x14ac:dyDescent="0.2">
      <c r="BB4891" s="94"/>
      <c r="BL4891" s="8">
        <v>4842</v>
      </c>
      <c r="BM4891" s="8">
        <v>3962842.3380520968</v>
      </c>
      <c r="BN4891" s="8">
        <v>2458973.1909899893</v>
      </c>
      <c r="BO4891" s="8">
        <v>6421815.5290420856</v>
      </c>
      <c r="BP4891" s="8">
        <v>6471382.5989552038</v>
      </c>
      <c r="BQ4891" s="8">
        <v>49567.069913118146</v>
      </c>
      <c r="BR4891" s="8" t="str">
        <v>No</v>
      </c>
    </row>
    <row r="4892" spans="54:70" x14ac:dyDescent="0.2">
      <c r="BB4892" s="94"/>
      <c r="BL4892" s="8">
        <v>4843</v>
      </c>
      <c r="BM4892" s="8">
        <v>3256454.0456624269</v>
      </c>
      <c r="BN4892" s="8">
        <v>2745312.526675879</v>
      </c>
      <c r="BO4892" s="8">
        <v>6001766.5723383054</v>
      </c>
      <c r="BP4892" s="8">
        <v>2390990.5019494053</v>
      </c>
      <c r="BQ4892" s="8">
        <v>-3610776.0703889001</v>
      </c>
      <c r="BR4892" s="8" t="str">
        <v>Yes</v>
      </c>
    </row>
    <row r="4893" spans="54:70" x14ac:dyDescent="0.2">
      <c r="BB4893" s="94"/>
      <c r="BL4893" s="8">
        <v>4844</v>
      </c>
      <c r="BM4893" s="8">
        <v>11391133.560397552</v>
      </c>
      <c r="BN4893" s="8">
        <v>17427929.927479707</v>
      </c>
      <c r="BO4893" s="8">
        <v>28819063.487877257</v>
      </c>
      <c r="BP4893" s="8">
        <v>4328383.8963941615</v>
      </c>
      <c r="BQ4893" s="8">
        <v>-24490679.591483094</v>
      </c>
      <c r="BR4893" s="8" t="str">
        <v>Yes</v>
      </c>
    </row>
    <row r="4894" spans="54:70" x14ac:dyDescent="0.2">
      <c r="BB4894" s="94"/>
      <c r="BL4894" s="8">
        <v>4845</v>
      </c>
      <c r="BM4894" s="8">
        <v>3069959.1227361332</v>
      </c>
      <c r="BN4894" s="8">
        <v>2000043.684338531</v>
      </c>
      <c r="BO4894" s="8">
        <v>5070002.8070746642</v>
      </c>
      <c r="BP4894" s="8">
        <v>4483827.1237803046</v>
      </c>
      <c r="BQ4894" s="8">
        <v>-586175.68329435959</v>
      </c>
      <c r="BR4894" s="8" t="str">
        <v>Yes</v>
      </c>
    </row>
    <row r="4895" spans="54:70" x14ac:dyDescent="0.2">
      <c r="BB4895" s="94"/>
      <c r="BL4895" s="8">
        <v>4846</v>
      </c>
      <c r="BM4895" s="8">
        <v>3952657.9184271684</v>
      </c>
      <c r="BN4895" s="8">
        <v>0</v>
      </c>
      <c r="BO4895" s="8">
        <v>3952657.9184271684</v>
      </c>
      <c r="BP4895" s="8">
        <v>3046956.8684403859</v>
      </c>
      <c r="BQ4895" s="8">
        <v>-905701.04998678248</v>
      </c>
      <c r="BR4895" s="8" t="str">
        <v>Yes</v>
      </c>
    </row>
    <row r="4896" spans="54:70" x14ac:dyDescent="0.2">
      <c r="BB4896" s="94"/>
      <c r="BL4896" s="8">
        <v>4847</v>
      </c>
      <c r="BM4896" s="8">
        <v>3780946.8729409724</v>
      </c>
      <c r="BN4896" s="8">
        <v>1666623.0318968964</v>
      </c>
      <c r="BO4896" s="8">
        <v>5447569.9048378691</v>
      </c>
      <c r="BP4896" s="8">
        <v>4375099.4731651191</v>
      </c>
      <c r="BQ4896" s="8">
        <v>-1072470.43167275</v>
      </c>
      <c r="BR4896" s="8" t="str">
        <v>Yes</v>
      </c>
    </row>
    <row r="4897" spans="54:70" x14ac:dyDescent="0.2">
      <c r="BB4897" s="94"/>
      <c r="BL4897" s="8">
        <v>4848</v>
      </c>
      <c r="BM4897" s="8">
        <v>5961017.0673862593</v>
      </c>
      <c r="BN4897" s="8">
        <v>0</v>
      </c>
      <c r="BO4897" s="8">
        <v>5961017.0673862593</v>
      </c>
      <c r="BP4897" s="8">
        <v>4241034.4615921639</v>
      </c>
      <c r="BQ4897" s="8">
        <v>-1719982.6057940954</v>
      </c>
      <c r="BR4897" s="8" t="str">
        <v>Yes</v>
      </c>
    </row>
    <row r="4898" spans="54:70" x14ac:dyDescent="0.2">
      <c r="BB4898" s="94"/>
      <c r="BL4898" s="8">
        <v>4849</v>
      </c>
      <c r="BM4898" s="8">
        <v>3562695.2165179169</v>
      </c>
      <c r="BN4898" s="8">
        <v>0</v>
      </c>
      <c r="BO4898" s="8">
        <v>3562695.2165179169</v>
      </c>
      <c r="BP4898" s="8">
        <v>2126556.3415663764</v>
      </c>
      <c r="BQ4898" s="8">
        <v>-1436138.8749515405</v>
      </c>
      <c r="BR4898" s="8" t="str">
        <v>Yes</v>
      </c>
    </row>
    <row r="4899" spans="54:70" x14ac:dyDescent="0.2">
      <c r="BB4899" s="94"/>
      <c r="BL4899" s="8">
        <v>4850</v>
      </c>
      <c r="BM4899" s="8">
        <v>3730347.7958756573</v>
      </c>
      <c r="BN4899" s="8">
        <v>3080068.8401503172</v>
      </c>
      <c r="BO4899" s="8">
        <v>6810416.6360259745</v>
      </c>
      <c r="BP4899" s="8">
        <v>2389390.7058805693</v>
      </c>
      <c r="BQ4899" s="8">
        <v>-4421025.9301454052</v>
      </c>
      <c r="BR4899" s="8" t="str">
        <v>Yes</v>
      </c>
    </row>
    <row r="4900" spans="54:70" x14ac:dyDescent="0.2">
      <c r="BB4900" s="94"/>
      <c r="BL4900" s="8">
        <v>4851</v>
      </c>
      <c r="BM4900" s="8">
        <v>1124760.7245295087</v>
      </c>
      <c r="BN4900" s="8">
        <v>0</v>
      </c>
      <c r="BO4900" s="8">
        <v>1124760.7245295087</v>
      </c>
      <c r="BP4900" s="8">
        <v>2244953.3402634561</v>
      </c>
      <c r="BQ4900" s="8">
        <v>1120192.6157339474</v>
      </c>
      <c r="BR4900" s="8" t="str">
        <v>No</v>
      </c>
    </row>
    <row r="4901" spans="54:70" x14ac:dyDescent="0.2">
      <c r="BB4901" s="94"/>
      <c r="BL4901" s="8">
        <v>4852</v>
      </c>
      <c r="BM4901" s="8">
        <v>2437428.1972469664</v>
      </c>
      <c r="BN4901" s="8">
        <v>1820913.8622610844</v>
      </c>
      <c r="BO4901" s="8">
        <v>4258342.0595080508</v>
      </c>
      <c r="BP4901" s="8">
        <v>2259882.313589551</v>
      </c>
      <c r="BQ4901" s="8">
        <v>-1998459.7459184998</v>
      </c>
      <c r="BR4901" s="8" t="str">
        <v>Yes</v>
      </c>
    </row>
    <row r="4902" spans="54:70" x14ac:dyDescent="0.2">
      <c r="BB4902" s="94"/>
      <c r="BL4902" s="8">
        <v>4853</v>
      </c>
      <c r="BM4902" s="8">
        <v>7266547.2549945042</v>
      </c>
      <c r="BN4902" s="8">
        <v>0</v>
      </c>
      <c r="BO4902" s="8">
        <v>7266547.2549945042</v>
      </c>
      <c r="BP4902" s="8">
        <v>4321859.8426613817</v>
      </c>
      <c r="BQ4902" s="8">
        <v>-2944687.4123331225</v>
      </c>
      <c r="BR4902" s="8" t="str">
        <v>Yes</v>
      </c>
    </row>
    <row r="4903" spans="54:70" x14ac:dyDescent="0.2">
      <c r="BB4903" s="94"/>
      <c r="BL4903" s="8">
        <v>4854</v>
      </c>
      <c r="BM4903" s="8">
        <v>3848899.4797878028</v>
      </c>
      <c r="BN4903" s="8">
        <v>2250612.8413049062</v>
      </c>
      <c r="BO4903" s="8">
        <v>6099512.321092709</v>
      </c>
      <c r="BP4903" s="8">
        <v>5946644.1167647894</v>
      </c>
      <c r="BQ4903" s="8">
        <v>-152868.20432791952</v>
      </c>
      <c r="BR4903" s="8" t="str">
        <v>Yes</v>
      </c>
    </row>
    <row r="4904" spans="54:70" x14ac:dyDescent="0.2">
      <c r="BB4904" s="94"/>
      <c r="BL4904" s="8">
        <v>4855</v>
      </c>
      <c r="BM4904" s="8">
        <v>4851341.5019380823</v>
      </c>
      <c r="BN4904" s="8">
        <v>0</v>
      </c>
      <c r="BO4904" s="8">
        <v>4851341.5019380823</v>
      </c>
      <c r="BP4904" s="8">
        <v>3396847.3475396009</v>
      </c>
      <c r="BQ4904" s="8">
        <v>-1454494.1543984814</v>
      </c>
      <c r="BR4904" s="8" t="str">
        <v>Yes</v>
      </c>
    </row>
    <row r="4905" spans="54:70" x14ac:dyDescent="0.2">
      <c r="BB4905" s="94"/>
      <c r="BL4905" s="8">
        <v>4856</v>
      </c>
      <c r="BM4905" s="8">
        <v>1946658.5374863492</v>
      </c>
      <c r="BN4905" s="8">
        <v>571149.25774011342</v>
      </c>
      <c r="BO4905" s="8">
        <v>2517807.7952264627</v>
      </c>
      <c r="BP4905" s="8">
        <v>3616425.6488808831</v>
      </c>
      <c r="BQ4905" s="8">
        <v>1098617.8536544205</v>
      </c>
      <c r="BR4905" s="8" t="str">
        <v>No</v>
      </c>
    </row>
    <row r="4906" spans="54:70" x14ac:dyDescent="0.2">
      <c r="BB4906" s="94"/>
      <c r="BL4906" s="8">
        <v>4857</v>
      </c>
      <c r="BM4906" s="8">
        <v>2693869.9907074533</v>
      </c>
      <c r="BN4906" s="8">
        <v>1956981.3731760397</v>
      </c>
      <c r="BO4906" s="8">
        <v>4650851.3638834935</v>
      </c>
      <c r="BP4906" s="8">
        <v>3557582.070204197</v>
      </c>
      <c r="BQ4906" s="8">
        <v>-1093269.2936792965</v>
      </c>
      <c r="BR4906" s="8" t="str">
        <v>Yes</v>
      </c>
    </row>
    <row r="4907" spans="54:70" x14ac:dyDescent="0.2">
      <c r="BB4907" s="94"/>
      <c r="BL4907" s="8">
        <v>4858</v>
      </c>
      <c r="BM4907" s="8">
        <v>2369119.8146730214</v>
      </c>
      <c r="BN4907" s="8">
        <v>0</v>
      </c>
      <c r="BO4907" s="8">
        <v>2369119.8146730214</v>
      </c>
      <c r="BP4907" s="8">
        <v>2305445.9249786744</v>
      </c>
      <c r="BQ4907" s="8">
        <v>-63673.889694347046</v>
      </c>
      <c r="BR4907" s="8" t="str">
        <v>Yes</v>
      </c>
    </row>
    <row r="4908" spans="54:70" x14ac:dyDescent="0.2">
      <c r="BB4908" s="94"/>
      <c r="BL4908" s="8">
        <v>4859</v>
      </c>
      <c r="BM4908" s="8">
        <v>1710975.5192052145</v>
      </c>
      <c r="BN4908" s="8">
        <v>0</v>
      </c>
      <c r="BO4908" s="8">
        <v>1710975.5192052145</v>
      </c>
      <c r="BP4908" s="8">
        <v>6299099.3894076534</v>
      </c>
      <c r="BQ4908" s="8">
        <v>4588123.8702024389</v>
      </c>
      <c r="BR4908" s="8" t="str">
        <v>No</v>
      </c>
    </row>
    <row r="4909" spans="54:70" x14ac:dyDescent="0.2">
      <c r="BB4909" s="94"/>
      <c r="BL4909" s="8">
        <v>4860</v>
      </c>
      <c r="BM4909" s="8">
        <v>6412467.6326365639</v>
      </c>
      <c r="BN4909" s="8">
        <v>0</v>
      </c>
      <c r="BO4909" s="8">
        <v>6412467.6326365639</v>
      </c>
      <c r="BP4909" s="8">
        <v>4342366.433103716</v>
      </c>
      <c r="BQ4909" s="8">
        <v>-2070101.1995328479</v>
      </c>
      <c r="BR4909" s="8" t="str">
        <v>Yes</v>
      </c>
    </row>
    <row r="4910" spans="54:70" x14ac:dyDescent="0.2">
      <c r="BB4910" s="94"/>
      <c r="BL4910" s="8">
        <v>4861</v>
      </c>
      <c r="BM4910" s="8">
        <v>5233478.1520943344</v>
      </c>
      <c r="BN4910" s="8">
        <v>2997400.3643165231</v>
      </c>
      <c r="BO4910" s="8">
        <v>8230878.5164108574</v>
      </c>
      <c r="BP4910" s="8">
        <v>3547012.8982229941</v>
      </c>
      <c r="BQ4910" s="8">
        <v>-4683865.6181878634</v>
      </c>
      <c r="BR4910" s="8" t="str">
        <v>Yes</v>
      </c>
    </row>
    <row r="4911" spans="54:70" x14ac:dyDescent="0.2">
      <c r="BB4911" s="94"/>
      <c r="BL4911" s="8">
        <v>4862</v>
      </c>
      <c r="BM4911" s="8">
        <v>3471263.733465014</v>
      </c>
      <c r="BN4911" s="8">
        <v>2750103.8925247197</v>
      </c>
      <c r="BO4911" s="8">
        <v>6221367.6259897333</v>
      </c>
      <c r="BP4911" s="8">
        <v>3352510.4247256597</v>
      </c>
      <c r="BQ4911" s="8">
        <v>-2868857.2012640736</v>
      </c>
      <c r="BR4911" s="8" t="str">
        <v>Yes</v>
      </c>
    </row>
    <row r="4912" spans="54:70" x14ac:dyDescent="0.2">
      <c r="BB4912" s="94"/>
      <c r="BL4912" s="8">
        <v>4863</v>
      </c>
      <c r="BM4912" s="8">
        <v>3391094.767535104</v>
      </c>
      <c r="BN4912" s="8">
        <v>0</v>
      </c>
      <c r="BO4912" s="8">
        <v>3391094.767535104</v>
      </c>
      <c r="BP4912" s="8">
        <v>3452615.0968003594</v>
      </c>
      <c r="BQ4912" s="8">
        <v>61520.329265255481</v>
      </c>
      <c r="BR4912" s="8" t="str">
        <v>No</v>
      </c>
    </row>
    <row r="4913" spans="54:70" x14ac:dyDescent="0.2">
      <c r="BB4913" s="94"/>
      <c r="BL4913" s="8">
        <v>4864</v>
      </c>
      <c r="BM4913" s="8">
        <v>4022848.9774085903</v>
      </c>
      <c r="BN4913" s="8">
        <v>1546833.5486946292</v>
      </c>
      <c r="BO4913" s="8">
        <v>5569682.526103219</v>
      </c>
      <c r="BP4913" s="8">
        <v>6267602.5407548854</v>
      </c>
      <c r="BQ4913" s="8">
        <v>697920.0146516664</v>
      </c>
      <c r="BR4913" s="8" t="str">
        <v>No</v>
      </c>
    </row>
    <row r="4914" spans="54:70" x14ac:dyDescent="0.2">
      <c r="BB4914" s="94"/>
      <c r="BL4914" s="8">
        <v>4865</v>
      </c>
      <c r="BM4914" s="8">
        <v>1824117.3048954178</v>
      </c>
      <c r="BN4914" s="8">
        <v>1207583.6618573647</v>
      </c>
      <c r="BO4914" s="8">
        <v>3031700.9667527825</v>
      </c>
      <c r="BP4914" s="8">
        <v>2198218.0134929135</v>
      </c>
      <c r="BQ4914" s="8">
        <v>-833482.95325986901</v>
      </c>
      <c r="BR4914" s="8" t="str">
        <v>Yes</v>
      </c>
    </row>
    <row r="4915" spans="54:70" x14ac:dyDescent="0.2">
      <c r="BB4915" s="94"/>
      <c r="BL4915" s="8">
        <v>4866</v>
      </c>
      <c r="BM4915" s="8">
        <v>4111523.6261887667</v>
      </c>
      <c r="BN4915" s="8">
        <v>3329904.0077848933</v>
      </c>
      <c r="BO4915" s="8">
        <v>7441427.6339736599</v>
      </c>
      <c r="BP4915" s="8">
        <v>6359284.9595138701</v>
      </c>
      <c r="BQ4915" s="8">
        <v>-1082142.6744597899</v>
      </c>
      <c r="BR4915" s="8" t="str">
        <v>Yes</v>
      </c>
    </row>
    <row r="4916" spans="54:70" x14ac:dyDescent="0.2">
      <c r="BB4916" s="94"/>
      <c r="BL4916" s="8">
        <v>4867</v>
      </c>
      <c r="BM4916" s="8">
        <v>4395756.0010392116</v>
      </c>
      <c r="BN4916" s="8">
        <v>3598440.7243587794</v>
      </c>
      <c r="BO4916" s="8">
        <v>7994196.725397991</v>
      </c>
      <c r="BP4916" s="8">
        <v>4667152.9331669612</v>
      </c>
      <c r="BQ4916" s="8">
        <v>-3327043.7922310298</v>
      </c>
      <c r="BR4916" s="8" t="str">
        <v>Yes</v>
      </c>
    </row>
    <row r="4917" spans="54:70" x14ac:dyDescent="0.2">
      <c r="BB4917" s="94"/>
      <c r="BL4917" s="8">
        <v>4868</v>
      </c>
      <c r="BM4917" s="8">
        <v>1924443.6579561837</v>
      </c>
      <c r="BN4917" s="8">
        <v>768582.28535614931</v>
      </c>
      <c r="BO4917" s="8">
        <v>2693025.943312333</v>
      </c>
      <c r="BP4917" s="8">
        <v>6128716.6215803158</v>
      </c>
      <c r="BQ4917" s="8">
        <v>3435690.6782679828</v>
      </c>
      <c r="BR4917" s="8" t="str">
        <v>No</v>
      </c>
    </row>
    <row r="4918" spans="54:70" x14ac:dyDescent="0.2">
      <c r="BB4918" s="94"/>
      <c r="BL4918" s="8">
        <v>4869</v>
      </c>
      <c r="BM4918" s="8">
        <v>2603605.5651379041</v>
      </c>
      <c r="BN4918" s="8">
        <v>2375734.3110418422</v>
      </c>
      <c r="BO4918" s="8">
        <v>4979339.8761797464</v>
      </c>
      <c r="BP4918" s="8">
        <v>3265668.8355757357</v>
      </c>
      <c r="BQ4918" s="8">
        <v>-1713671.0406040107</v>
      </c>
      <c r="BR4918" s="8" t="str">
        <v>Yes</v>
      </c>
    </row>
    <row r="4919" spans="54:70" x14ac:dyDescent="0.2">
      <c r="BB4919" s="94"/>
      <c r="BL4919" s="8">
        <v>4870</v>
      </c>
      <c r="BM4919" s="8">
        <v>5058605.1583722839</v>
      </c>
      <c r="BN4919" s="8">
        <v>3887847.3827833096</v>
      </c>
      <c r="BO4919" s="8">
        <v>8946452.5411555935</v>
      </c>
      <c r="BP4919" s="8">
        <v>5832219.407284528</v>
      </c>
      <c r="BQ4919" s="8">
        <v>-3114233.1338710655</v>
      </c>
      <c r="BR4919" s="8" t="str">
        <v>Yes</v>
      </c>
    </row>
    <row r="4920" spans="54:70" x14ac:dyDescent="0.2">
      <c r="BB4920" s="94"/>
      <c r="BL4920" s="8">
        <v>4871</v>
      </c>
      <c r="BM4920" s="8">
        <v>2002291.8109905</v>
      </c>
      <c r="BN4920" s="8">
        <v>0</v>
      </c>
      <c r="BO4920" s="8">
        <v>2002291.8109905</v>
      </c>
      <c r="BP4920" s="8">
        <v>6512489.7405754765</v>
      </c>
      <c r="BQ4920" s="8">
        <v>4510197.9295849763</v>
      </c>
      <c r="BR4920" s="8" t="str">
        <v>No</v>
      </c>
    </row>
    <row r="4921" spans="54:70" x14ac:dyDescent="0.2">
      <c r="BB4921" s="94"/>
      <c r="BL4921" s="8">
        <v>4872</v>
      </c>
      <c r="BM4921" s="8">
        <v>6875397.2466390226</v>
      </c>
      <c r="BN4921" s="8">
        <v>5497960.8399985321</v>
      </c>
      <c r="BO4921" s="8">
        <v>12373358.086637555</v>
      </c>
      <c r="BP4921" s="8">
        <v>6838327.2323608706</v>
      </c>
      <c r="BQ4921" s="8">
        <v>-5535030.8542766841</v>
      </c>
      <c r="BR4921" s="8" t="str">
        <v>Yes</v>
      </c>
    </row>
    <row r="4922" spans="54:70" x14ac:dyDescent="0.2">
      <c r="BB4922" s="94"/>
      <c r="BL4922" s="8">
        <v>4873</v>
      </c>
      <c r="BM4922" s="8">
        <v>3076468.2629241077</v>
      </c>
      <c r="BN4922" s="8">
        <v>0</v>
      </c>
      <c r="BO4922" s="8">
        <v>3076468.2629241077</v>
      </c>
      <c r="BP4922" s="8">
        <v>6244434.6503156433</v>
      </c>
      <c r="BQ4922" s="8">
        <v>3167966.3873915356</v>
      </c>
      <c r="BR4922" s="8" t="str">
        <v>No</v>
      </c>
    </row>
    <row r="4923" spans="54:70" x14ac:dyDescent="0.2">
      <c r="BB4923" s="94"/>
      <c r="BL4923" s="8">
        <v>4874</v>
      </c>
      <c r="BM4923" s="8">
        <v>9340267.7099595629</v>
      </c>
      <c r="BN4923" s="8">
        <v>0</v>
      </c>
      <c r="BO4923" s="8">
        <v>9340267.7099595629</v>
      </c>
      <c r="BP4923" s="8">
        <v>3187049.1298523331</v>
      </c>
      <c r="BQ4923" s="8">
        <v>-6153218.5801072298</v>
      </c>
      <c r="BR4923" s="8" t="str">
        <v>Yes</v>
      </c>
    </row>
    <row r="4924" spans="54:70" x14ac:dyDescent="0.2">
      <c r="BB4924" s="94"/>
      <c r="BL4924" s="8">
        <v>4875</v>
      </c>
      <c r="BM4924" s="8">
        <v>3672058.5574456407</v>
      </c>
      <c r="BN4924" s="8">
        <v>0</v>
      </c>
      <c r="BO4924" s="8">
        <v>3672058.5574456407</v>
      </c>
      <c r="BP4924" s="8">
        <v>2095164.2727316062</v>
      </c>
      <c r="BQ4924" s="8">
        <v>-1576894.2847140345</v>
      </c>
      <c r="BR4924" s="8" t="str">
        <v>Yes</v>
      </c>
    </row>
    <row r="4925" spans="54:70" x14ac:dyDescent="0.2">
      <c r="BB4925" s="94"/>
      <c r="BL4925" s="8">
        <v>4876</v>
      </c>
      <c r="BM4925" s="8">
        <v>1844130.016581777</v>
      </c>
      <c r="BN4925" s="8">
        <v>-134969.89387687214</v>
      </c>
      <c r="BO4925" s="8">
        <v>1709160.122704905</v>
      </c>
      <c r="BP4925" s="8">
        <v>6549009.9957124274</v>
      </c>
      <c r="BQ4925" s="8">
        <v>4839849.8730075229</v>
      </c>
      <c r="BR4925" s="8" t="str">
        <v>No</v>
      </c>
    </row>
    <row r="4926" spans="54:70" x14ac:dyDescent="0.2">
      <c r="BB4926" s="94"/>
      <c r="BL4926" s="8">
        <v>4877</v>
      </c>
      <c r="BM4926" s="8">
        <v>5227571.4659788292</v>
      </c>
      <c r="BN4926" s="8">
        <v>0</v>
      </c>
      <c r="BO4926" s="8">
        <v>5227571.4659788292</v>
      </c>
      <c r="BP4926" s="8">
        <v>5982711.6286042323</v>
      </c>
      <c r="BQ4926" s="8">
        <v>755140.16262540314</v>
      </c>
      <c r="BR4926" s="8" t="str">
        <v>No</v>
      </c>
    </row>
    <row r="4927" spans="54:70" x14ac:dyDescent="0.2">
      <c r="BB4927" s="94"/>
      <c r="BL4927" s="8">
        <v>4878</v>
      </c>
      <c r="BM4927" s="8">
        <v>2569484.2050843937</v>
      </c>
      <c r="BN4927" s="8">
        <v>0</v>
      </c>
      <c r="BO4927" s="8">
        <v>2569484.2050843937</v>
      </c>
      <c r="BP4927" s="8">
        <v>3939969.2689332925</v>
      </c>
      <c r="BQ4927" s="8">
        <v>1370485.0638488987</v>
      </c>
      <c r="BR4927" s="8" t="str">
        <v>No</v>
      </c>
    </row>
    <row r="4928" spans="54:70" x14ac:dyDescent="0.2">
      <c r="BB4928" s="94"/>
      <c r="BL4928" s="8">
        <v>4879</v>
      </c>
      <c r="BM4928" s="8">
        <v>9132670.3879376072</v>
      </c>
      <c r="BN4928" s="8">
        <v>5852776.5771002946</v>
      </c>
      <c r="BO4928" s="8">
        <v>14985446.965037901</v>
      </c>
      <c r="BP4928" s="8">
        <v>6698218.6928337896</v>
      </c>
      <c r="BQ4928" s="8">
        <v>-8287228.2722041113</v>
      </c>
      <c r="BR4928" s="8" t="str">
        <v>Yes</v>
      </c>
    </row>
    <row r="4929" spans="54:70" x14ac:dyDescent="0.2">
      <c r="BB4929" s="94"/>
      <c r="BL4929" s="8">
        <v>4880</v>
      </c>
      <c r="BM4929" s="8">
        <v>4053572.0529918238</v>
      </c>
      <c r="BN4929" s="8">
        <v>0</v>
      </c>
      <c r="BO4929" s="8">
        <v>4053572.0529918238</v>
      </c>
      <c r="BP4929" s="8">
        <v>2400243.0031197532</v>
      </c>
      <c r="BQ4929" s="8">
        <v>-1653329.0498720706</v>
      </c>
      <c r="BR4929" s="8" t="str">
        <v>Yes</v>
      </c>
    </row>
    <row r="4930" spans="54:70" x14ac:dyDescent="0.2">
      <c r="BB4930" s="94"/>
      <c r="BL4930" s="8">
        <v>4881</v>
      </c>
      <c r="BM4930" s="8">
        <v>3588898.1130340667</v>
      </c>
      <c r="BN4930" s="8">
        <v>0</v>
      </c>
      <c r="BO4930" s="8">
        <v>3588898.1130340667</v>
      </c>
      <c r="BP4930" s="8">
        <v>3344679.9125008034</v>
      </c>
      <c r="BQ4930" s="8">
        <v>-244218.20053326339</v>
      </c>
      <c r="BR4930" s="8" t="str">
        <v>Yes</v>
      </c>
    </row>
    <row r="4931" spans="54:70" x14ac:dyDescent="0.2">
      <c r="BB4931" s="94"/>
      <c r="BL4931" s="8">
        <v>4882</v>
      </c>
      <c r="BM4931" s="8">
        <v>2362490.7043934399</v>
      </c>
      <c r="BN4931" s="8">
        <v>0</v>
      </c>
      <c r="BO4931" s="8">
        <v>2362490.7043934399</v>
      </c>
      <c r="BP4931" s="8">
        <v>3633776.5810014941</v>
      </c>
      <c r="BQ4931" s="8">
        <v>1271285.8766080542</v>
      </c>
      <c r="BR4931" s="8" t="str">
        <v>No</v>
      </c>
    </row>
    <row r="4932" spans="54:70" x14ac:dyDescent="0.2">
      <c r="BB4932" s="94"/>
      <c r="BL4932" s="8">
        <v>4883</v>
      </c>
      <c r="BM4932" s="8">
        <v>2542259.1666243398</v>
      </c>
      <c r="BN4932" s="8">
        <v>0</v>
      </c>
      <c r="BO4932" s="8">
        <v>2542259.1666243398</v>
      </c>
      <c r="BP4932" s="8">
        <v>4289792.1013718452</v>
      </c>
      <c r="BQ4932" s="8">
        <v>1747532.9347475055</v>
      </c>
      <c r="BR4932" s="8" t="str">
        <v>No</v>
      </c>
    </row>
    <row r="4933" spans="54:70" x14ac:dyDescent="0.2">
      <c r="BB4933" s="94"/>
      <c r="BL4933" s="8">
        <v>4884</v>
      </c>
      <c r="BM4933" s="8">
        <v>2345225.9423492402</v>
      </c>
      <c r="BN4933" s="8">
        <v>3456766.9460655814</v>
      </c>
      <c r="BO4933" s="8">
        <v>5801992.8884148216</v>
      </c>
      <c r="BP4933" s="8">
        <v>3231818.8338618083</v>
      </c>
      <c r="BQ4933" s="8">
        <v>-2570174.0545530133</v>
      </c>
      <c r="BR4933" s="8" t="str">
        <v>Yes</v>
      </c>
    </row>
    <row r="4934" spans="54:70" x14ac:dyDescent="0.2">
      <c r="BB4934" s="94"/>
      <c r="BL4934" s="8">
        <v>4885</v>
      </c>
      <c r="BM4934" s="8">
        <v>1794563.3694060529</v>
      </c>
      <c r="BN4934" s="8">
        <v>1903798.5473602558</v>
      </c>
      <c r="BO4934" s="8">
        <v>3698361.9167663087</v>
      </c>
      <c r="BP4934" s="8">
        <v>3088923.5633388064</v>
      </c>
      <c r="BQ4934" s="8">
        <v>-609438.35342750233</v>
      </c>
      <c r="BR4934" s="8" t="str">
        <v>Yes</v>
      </c>
    </row>
    <row r="4935" spans="54:70" x14ac:dyDescent="0.2">
      <c r="BB4935" s="94"/>
      <c r="BL4935" s="8">
        <v>4886</v>
      </c>
      <c r="BM4935" s="8">
        <v>7077039.3561714236</v>
      </c>
      <c r="BN4935" s="8">
        <v>0</v>
      </c>
      <c r="BO4935" s="8">
        <v>7077039.3561714236</v>
      </c>
      <c r="BP4935" s="8">
        <v>3498179.6296681543</v>
      </c>
      <c r="BQ4935" s="8">
        <v>-3578859.7265032693</v>
      </c>
      <c r="BR4935" s="8" t="str">
        <v>Yes</v>
      </c>
    </row>
    <row r="4936" spans="54:70" x14ac:dyDescent="0.2">
      <c r="BB4936" s="94"/>
      <c r="BL4936" s="8">
        <v>4887</v>
      </c>
      <c r="BM4936" s="8">
        <v>14187894.170117954</v>
      </c>
      <c r="BN4936" s="8">
        <v>13715465.002966899</v>
      </c>
      <c r="BO4936" s="8">
        <v>27903359.173084855</v>
      </c>
      <c r="BP4936" s="8">
        <v>6220309.2518024622</v>
      </c>
      <c r="BQ4936" s="8">
        <v>-21683049.921282392</v>
      </c>
      <c r="BR4936" s="8" t="str">
        <v>Yes</v>
      </c>
    </row>
    <row r="4937" spans="54:70" x14ac:dyDescent="0.2">
      <c r="BB4937" s="94"/>
      <c r="BL4937" s="8">
        <v>4888</v>
      </c>
      <c r="BM4937" s="8">
        <v>5122417.6998831304</v>
      </c>
      <c r="BN4937" s="8">
        <v>0</v>
      </c>
      <c r="BO4937" s="8">
        <v>5122417.6998831304</v>
      </c>
      <c r="BP4937" s="8">
        <v>5969425.3681160854</v>
      </c>
      <c r="BQ4937" s="8">
        <v>847007.66823295504</v>
      </c>
      <c r="BR4937" s="8" t="str">
        <v>No</v>
      </c>
    </row>
    <row r="4938" spans="54:70" x14ac:dyDescent="0.2">
      <c r="BB4938" s="94"/>
      <c r="BL4938" s="8">
        <v>4889</v>
      </c>
      <c r="BM4938" s="8">
        <v>1273810.2831995536</v>
      </c>
      <c r="BN4938" s="8">
        <v>0</v>
      </c>
      <c r="BO4938" s="8">
        <v>1273810.2831995536</v>
      </c>
      <c r="BP4938" s="8">
        <v>3351543.617430367</v>
      </c>
      <c r="BQ4938" s="8">
        <v>2077733.3342308134</v>
      </c>
      <c r="BR4938" s="8" t="str">
        <v>No</v>
      </c>
    </row>
    <row r="4939" spans="54:70" x14ac:dyDescent="0.2">
      <c r="BB4939" s="94"/>
      <c r="BL4939" s="8">
        <v>4890</v>
      </c>
      <c r="BM4939" s="8">
        <v>3584443.4538947139</v>
      </c>
      <c r="BN4939" s="8">
        <v>0</v>
      </c>
      <c r="BO4939" s="8">
        <v>3584443.4538947139</v>
      </c>
      <c r="BP4939" s="8">
        <v>3258012.4366996121</v>
      </c>
      <c r="BQ4939" s="8">
        <v>-326431.01719510183</v>
      </c>
      <c r="BR4939" s="8" t="str">
        <v>Yes</v>
      </c>
    </row>
    <row r="4940" spans="54:70" x14ac:dyDescent="0.2">
      <c r="BB4940" s="94"/>
      <c r="BL4940" s="8">
        <v>4891</v>
      </c>
      <c r="BM4940" s="8">
        <v>6659765.1582246255</v>
      </c>
      <c r="BN4940" s="8">
        <v>2501933.5556774167</v>
      </c>
      <c r="BO4940" s="8">
        <v>9161698.7139020413</v>
      </c>
      <c r="BP4940" s="8">
        <v>6724332.4815558363</v>
      </c>
      <c r="BQ4940" s="8">
        <v>-2437366.232346205</v>
      </c>
      <c r="BR4940" s="8" t="str">
        <v>Yes</v>
      </c>
    </row>
    <row r="4941" spans="54:70" x14ac:dyDescent="0.2">
      <c r="BB4941" s="94"/>
      <c r="BL4941" s="8">
        <v>4892</v>
      </c>
      <c r="BM4941" s="8">
        <v>4061642.5453020008</v>
      </c>
      <c r="BN4941" s="8">
        <v>0</v>
      </c>
      <c r="BO4941" s="8">
        <v>4061642.5453020008</v>
      </c>
      <c r="BP4941" s="8">
        <v>4399819.8599260226</v>
      </c>
      <c r="BQ4941" s="8">
        <v>338177.31462402176</v>
      </c>
      <c r="BR4941" s="8" t="str">
        <v>No</v>
      </c>
    </row>
    <row r="4942" spans="54:70" x14ac:dyDescent="0.2">
      <c r="BB4942" s="94"/>
      <c r="BL4942" s="8">
        <v>4893</v>
      </c>
      <c r="BM4942" s="8">
        <v>3541943.1104239514</v>
      </c>
      <c r="BN4942" s="8">
        <v>1400523.4379399684</v>
      </c>
      <c r="BO4942" s="8">
        <v>4942466.5483639203</v>
      </c>
      <c r="BP4942" s="8">
        <v>6018415.531406194</v>
      </c>
      <c r="BQ4942" s="8">
        <v>1075948.9830422737</v>
      </c>
      <c r="BR4942" s="8" t="str">
        <v>No</v>
      </c>
    </row>
    <row r="4943" spans="54:70" x14ac:dyDescent="0.2">
      <c r="BB4943" s="94"/>
      <c r="BL4943" s="8">
        <v>4894</v>
      </c>
      <c r="BM4943" s="8">
        <v>1878460.4533462131</v>
      </c>
      <c r="BN4943" s="8">
        <v>0</v>
      </c>
      <c r="BO4943" s="8">
        <v>1878460.4533462131</v>
      </c>
      <c r="BP4943" s="8">
        <v>3410244.0562949488</v>
      </c>
      <c r="BQ4943" s="8">
        <v>1531783.6029487357</v>
      </c>
      <c r="BR4943" s="8" t="str">
        <v>No</v>
      </c>
    </row>
    <row r="4944" spans="54:70" x14ac:dyDescent="0.2">
      <c r="BB4944" s="94"/>
      <c r="BL4944" s="8">
        <v>4895</v>
      </c>
      <c r="BM4944" s="8">
        <v>4307357.703073984</v>
      </c>
      <c r="BN4944" s="8">
        <v>2815130.0759486333</v>
      </c>
      <c r="BO4944" s="8">
        <v>7122487.7790226173</v>
      </c>
      <c r="BP4944" s="8">
        <v>3504621.1569812214</v>
      </c>
      <c r="BQ4944" s="8">
        <v>-3617866.6220413959</v>
      </c>
      <c r="BR4944" s="8" t="str">
        <v>Yes</v>
      </c>
    </row>
    <row r="4945" spans="54:70" x14ac:dyDescent="0.2">
      <c r="BB4945" s="94"/>
      <c r="BL4945" s="8">
        <v>4896</v>
      </c>
      <c r="BM4945" s="8">
        <v>2347421.8596044471</v>
      </c>
      <c r="BN4945" s="8">
        <v>0</v>
      </c>
      <c r="BO4945" s="8">
        <v>2347421.8596044471</v>
      </c>
      <c r="BP4945" s="8">
        <v>4207672.8230313249</v>
      </c>
      <c r="BQ4945" s="8">
        <v>1860250.9634268777</v>
      </c>
      <c r="BR4945" s="8" t="str">
        <v>No</v>
      </c>
    </row>
    <row r="4946" spans="54:70" x14ac:dyDescent="0.2">
      <c r="BB4946" s="94"/>
      <c r="BL4946" s="8">
        <v>4897</v>
      </c>
      <c r="BM4946" s="8">
        <v>2276666.2974699708</v>
      </c>
      <c r="BN4946" s="8">
        <v>0</v>
      </c>
      <c r="BO4946" s="8">
        <v>2276666.2974699708</v>
      </c>
      <c r="BP4946" s="8">
        <v>6061338.0730468007</v>
      </c>
      <c r="BQ4946" s="8">
        <v>3784671.7755768299</v>
      </c>
      <c r="BR4946" s="8" t="str">
        <v>No</v>
      </c>
    </row>
    <row r="4947" spans="54:70" x14ac:dyDescent="0.2">
      <c r="BB4947" s="94"/>
      <c r="BL4947" s="8">
        <v>4898</v>
      </c>
      <c r="BM4947" s="8">
        <v>3392630.3287015632</v>
      </c>
      <c r="BN4947" s="8">
        <v>5586620.1567622842</v>
      </c>
      <c r="BO4947" s="8">
        <v>8979250.4854638465</v>
      </c>
      <c r="BP4947" s="8">
        <v>4313739.8089809418</v>
      </c>
      <c r="BQ4947" s="8">
        <v>-4665510.6764829047</v>
      </c>
      <c r="BR4947" s="8" t="str">
        <v>Yes</v>
      </c>
    </row>
    <row r="4948" spans="54:70" x14ac:dyDescent="0.2">
      <c r="BB4948" s="94"/>
      <c r="BL4948" s="8">
        <v>4899</v>
      </c>
      <c r="BM4948" s="8">
        <v>7247709.3886840148</v>
      </c>
      <c r="BN4948" s="8">
        <v>2722615.7358094244</v>
      </c>
      <c r="BO4948" s="8">
        <v>9970325.1244934388</v>
      </c>
      <c r="BP4948" s="8">
        <v>2255586.1937571513</v>
      </c>
      <c r="BQ4948" s="8">
        <v>-7714738.9307362875</v>
      </c>
      <c r="BR4948" s="8" t="str">
        <v>Yes</v>
      </c>
    </row>
    <row r="4949" spans="54:70" x14ac:dyDescent="0.2">
      <c r="BB4949" s="94"/>
      <c r="BL4949" s="8">
        <v>4900</v>
      </c>
      <c r="BM4949" s="8">
        <v>1685844.9302108623</v>
      </c>
      <c r="BN4949" s="8">
        <v>0</v>
      </c>
      <c r="BO4949" s="8">
        <v>1685844.9302108623</v>
      </c>
      <c r="BP4949" s="8">
        <v>3267267.3534183525</v>
      </c>
      <c r="BQ4949" s="8">
        <v>1581422.4232074902</v>
      </c>
      <c r="BR4949" s="8" t="str">
        <v>No</v>
      </c>
    </row>
    <row r="4950" spans="54:70" x14ac:dyDescent="0.2">
      <c r="BB4950" s="94"/>
      <c r="BL4950" s="8">
        <v>4901</v>
      </c>
      <c r="BM4950" s="8">
        <v>3295467.6260290267</v>
      </c>
      <c r="BN4950" s="8">
        <v>0</v>
      </c>
      <c r="BO4950" s="8">
        <v>3295467.6260290267</v>
      </c>
      <c r="BP4950" s="8">
        <v>3259635.2944572694</v>
      </c>
      <c r="BQ4950" s="8">
        <v>-35832.331571757328</v>
      </c>
      <c r="BR4950" s="8" t="str">
        <v>Yes</v>
      </c>
    </row>
    <row r="4951" spans="54:70" x14ac:dyDescent="0.2">
      <c r="BB4951" s="94"/>
      <c r="BL4951" s="8">
        <v>4902</v>
      </c>
      <c r="BM4951" s="8">
        <v>6804420.2062675226</v>
      </c>
      <c r="BN4951" s="8">
        <v>0</v>
      </c>
      <c r="BO4951" s="8">
        <v>6804420.2062675226</v>
      </c>
      <c r="BP4951" s="8">
        <v>2205869.2739233053</v>
      </c>
      <c r="BQ4951" s="8">
        <v>-4598550.9323442169</v>
      </c>
      <c r="BR4951" s="8" t="str">
        <v>Yes</v>
      </c>
    </row>
    <row r="4952" spans="54:70" x14ac:dyDescent="0.2">
      <c r="BB4952" s="94"/>
      <c r="BL4952" s="8">
        <v>4903</v>
      </c>
      <c r="BM4952" s="8">
        <v>3912729.6426103082</v>
      </c>
      <c r="BN4952" s="8">
        <v>1427794.7106341191</v>
      </c>
      <c r="BO4952" s="8">
        <v>5340524.3532444276</v>
      </c>
      <c r="BP4952" s="8">
        <v>2038419.124902593</v>
      </c>
      <c r="BQ4952" s="8">
        <v>-3302105.2283418346</v>
      </c>
      <c r="BR4952" s="8" t="str">
        <v>Yes</v>
      </c>
    </row>
    <row r="4953" spans="54:70" x14ac:dyDescent="0.2">
      <c r="BB4953" s="94"/>
      <c r="BL4953" s="8">
        <v>4904</v>
      </c>
      <c r="BM4953" s="8">
        <v>8254318.4268835522</v>
      </c>
      <c r="BN4953" s="8">
        <v>10407294.149688678</v>
      </c>
      <c r="BO4953" s="8">
        <v>18661612.576572232</v>
      </c>
      <c r="BP4953" s="8">
        <v>6399525.4214766473</v>
      </c>
      <c r="BQ4953" s="8">
        <v>-12262087.155095585</v>
      </c>
      <c r="BR4953" s="8" t="str">
        <v>Yes</v>
      </c>
    </row>
    <row r="4954" spans="54:70" x14ac:dyDescent="0.2">
      <c r="BB4954" s="94"/>
      <c r="BL4954" s="8">
        <v>4905</v>
      </c>
      <c r="BM4954" s="8">
        <v>2366707.4797059027</v>
      </c>
      <c r="BN4954" s="8">
        <v>0</v>
      </c>
      <c r="BO4954" s="8">
        <v>2366707.4797059027</v>
      </c>
      <c r="BP4954" s="8">
        <v>3237640.4473616132</v>
      </c>
      <c r="BQ4954" s="8">
        <v>870932.96765571041</v>
      </c>
      <c r="BR4954" s="8" t="str">
        <v>No</v>
      </c>
    </row>
    <row r="4955" spans="54:70" x14ac:dyDescent="0.2">
      <c r="BB4955" s="94"/>
      <c r="BL4955" s="8">
        <v>4906</v>
      </c>
      <c r="BM4955" s="8">
        <v>4322268.5348991649</v>
      </c>
      <c r="BN4955" s="8">
        <v>2137886.0425094226</v>
      </c>
      <c r="BO4955" s="8">
        <v>6460154.5774085876</v>
      </c>
      <c r="BP4955" s="8">
        <v>4362625.3360123076</v>
      </c>
      <c r="BQ4955" s="8">
        <v>-2097529.24139628</v>
      </c>
      <c r="BR4955" s="8" t="str">
        <v>Yes</v>
      </c>
    </row>
    <row r="4956" spans="54:70" x14ac:dyDescent="0.2">
      <c r="BB4956" s="94"/>
      <c r="BL4956" s="8">
        <v>4907</v>
      </c>
      <c r="BM4956" s="8">
        <v>6632616.265099342</v>
      </c>
      <c r="BN4956" s="8">
        <v>0</v>
      </c>
      <c r="BO4956" s="8">
        <v>6632616.265099342</v>
      </c>
      <c r="BP4956" s="8">
        <v>6457774.3788554072</v>
      </c>
      <c r="BQ4956" s="8">
        <v>-174841.88624393474</v>
      </c>
      <c r="BR4956" s="8" t="str">
        <v>Yes</v>
      </c>
    </row>
    <row r="4957" spans="54:70" x14ac:dyDescent="0.2">
      <c r="BB4957" s="94"/>
      <c r="BL4957" s="8">
        <v>4908</v>
      </c>
      <c r="BM4957" s="8">
        <v>4523777.8185581286</v>
      </c>
      <c r="BN4957" s="8">
        <v>6130390.7189966198</v>
      </c>
      <c r="BO4957" s="8">
        <v>10654168.537554748</v>
      </c>
      <c r="BP4957" s="8">
        <v>3349459.1457097176</v>
      </c>
      <c r="BQ4957" s="8">
        <v>-7304709.3918450307</v>
      </c>
      <c r="BR4957" s="8" t="str">
        <v>Yes</v>
      </c>
    </row>
    <row r="4958" spans="54:70" x14ac:dyDescent="0.2">
      <c r="BB4958" s="94"/>
      <c r="BL4958" s="8">
        <v>4909</v>
      </c>
      <c r="BM4958" s="8">
        <v>2522547.5236429041</v>
      </c>
      <c r="BN4958" s="8">
        <v>446291.76137009298</v>
      </c>
      <c r="BO4958" s="8">
        <v>2968839.2850129972</v>
      </c>
      <c r="BP4958" s="8">
        <v>6222704.0787929669</v>
      </c>
      <c r="BQ4958" s="8">
        <v>3253864.7937799697</v>
      </c>
      <c r="BR4958" s="8" t="str">
        <v>No</v>
      </c>
    </row>
    <row r="4959" spans="54:70" x14ac:dyDescent="0.2">
      <c r="BB4959" s="94"/>
      <c r="BL4959" s="8">
        <v>4910</v>
      </c>
      <c r="BM4959" s="8">
        <v>3891808.2525614877</v>
      </c>
      <c r="BN4959" s="8">
        <v>3038250.2932586605</v>
      </c>
      <c r="BO4959" s="8">
        <v>6930058.5458201487</v>
      </c>
      <c r="BP4959" s="8">
        <v>2379832.0099781957</v>
      </c>
      <c r="BQ4959" s="8">
        <v>-4550226.535841953</v>
      </c>
      <c r="BR4959" s="8" t="str">
        <v>Yes</v>
      </c>
    </row>
    <row r="4960" spans="54:70" x14ac:dyDescent="0.2">
      <c r="BB4960" s="94"/>
      <c r="BL4960" s="8">
        <v>4911</v>
      </c>
      <c r="BM4960" s="8">
        <v>2327738.0380602982</v>
      </c>
      <c r="BN4960" s="8">
        <v>1432516.4336147078</v>
      </c>
      <c r="BO4960" s="8">
        <v>3760254.4716750057</v>
      </c>
      <c r="BP4960" s="8">
        <v>3422568.6273949677</v>
      </c>
      <c r="BQ4960" s="8">
        <v>-337685.84428003803</v>
      </c>
      <c r="BR4960" s="8" t="str">
        <v>Yes</v>
      </c>
    </row>
    <row r="4961" spans="54:70" x14ac:dyDescent="0.2">
      <c r="BB4961" s="94"/>
      <c r="BL4961" s="8">
        <v>4912</v>
      </c>
      <c r="BM4961" s="8">
        <v>10648390.966595838</v>
      </c>
      <c r="BN4961" s="8">
        <v>0</v>
      </c>
      <c r="BO4961" s="8">
        <v>10648390.966595838</v>
      </c>
      <c r="BP4961" s="8">
        <v>6245560.5597911244</v>
      </c>
      <c r="BQ4961" s="8">
        <v>-4402830.4068047134</v>
      </c>
      <c r="BR4961" s="8" t="str">
        <v>Yes</v>
      </c>
    </row>
    <row r="4962" spans="54:70" x14ac:dyDescent="0.2">
      <c r="BB4962" s="94"/>
      <c r="BL4962" s="8">
        <v>4913</v>
      </c>
      <c r="BM4962" s="8">
        <v>4636093.8994923858</v>
      </c>
      <c r="BN4962" s="8">
        <v>3738726.4346848973</v>
      </c>
      <c r="BO4962" s="8">
        <v>8374820.3341772836</v>
      </c>
      <c r="BP4962" s="8">
        <v>6304023.1761707794</v>
      </c>
      <c r="BQ4962" s="8">
        <v>-2070797.1580065042</v>
      </c>
      <c r="BR4962" s="8" t="str">
        <v>Yes</v>
      </c>
    </row>
    <row r="4963" spans="54:70" x14ac:dyDescent="0.2">
      <c r="BB4963" s="94"/>
      <c r="BL4963" s="8">
        <v>4914</v>
      </c>
      <c r="BM4963" s="8">
        <v>13048455.632603806</v>
      </c>
      <c r="BN4963" s="8">
        <v>0</v>
      </c>
      <c r="BO4963" s="8">
        <v>13048455.632603806</v>
      </c>
      <c r="BP4963" s="8">
        <v>3385762.2517548036</v>
      </c>
      <c r="BQ4963" s="8">
        <v>-9662693.3808490019</v>
      </c>
      <c r="BR4963" s="8" t="str">
        <v>Yes</v>
      </c>
    </row>
    <row r="4964" spans="54:70" x14ac:dyDescent="0.2">
      <c r="BB4964" s="94"/>
      <c r="BL4964" s="8">
        <v>4915</v>
      </c>
      <c r="BM4964" s="8">
        <v>4697771.4725431483</v>
      </c>
      <c r="BN4964" s="8">
        <v>0</v>
      </c>
      <c r="BO4964" s="8">
        <v>4697771.4725431483</v>
      </c>
      <c r="BP4964" s="8">
        <v>3065128.1400751127</v>
      </c>
      <c r="BQ4964" s="8">
        <v>-1632643.3324680356</v>
      </c>
      <c r="BR4964" s="8" t="str">
        <v>Yes</v>
      </c>
    </row>
    <row r="4965" spans="54:70" x14ac:dyDescent="0.2">
      <c r="BB4965" s="94"/>
      <c r="BL4965" s="8">
        <v>4916</v>
      </c>
      <c r="BM4965" s="8">
        <v>4277169.1141913217</v>
      </c>
      <c r="BN4965" s="8">
        <v>0</v>
      </c>
      <c r="BO4965" s="8">
        <v>4277169.1141913217</v>
      </c>
      <c r="BP4965" s="8">
        <v>2111784.0680565112</v>
      </c>
      <c r="BQ4965" s="8">
        <v>-2165385.0461348104</v>
      </c>
      <c r="BR4965" s="8" t="str">
        <v>Yes</v>
      </c>
    </row>
    <row r="4966" spans="54:70" x14ac:dyDescent="0.2">
      <c r="BB4966" s="94"/>
      <c r="BL4966" s="8">
        <v>4917</v>
      </c>
      <c r="BM4966" s="8">
        <v>12198525.398385091</v>
      </c>
      <c r="BN4966" s="8">
        <v>0</v>
      </c>
      <c r="BO4966" s="8">
        <v>12198525.398385091</v>
      </c>
      <c r="BP4966" s="8">
        <v>3046477.6943190815</v>
      </c>
      <c r="BQ4966" s="8">
        <v>-9152047.7040660083</v>
      </c>
      <c r="BR4966" s="8" t="str">
        <v>Yes</v>
      </c>
    </row>
    <row r="4967" spans="54:70" x14ac:dyDescent="0.2">
      <c r="BB4967" s="94"/>
      <c r="BL4967" s="8">
        <v>4918</v>
      </c>
      <c r="BM4967" s="8">
        <v>2160724.7081665881</v>
      </c>
      <c r="BN4967" s="8">
        <v>0</v>
      </c>
      <c r="BO4967" s="8">
        <v>2160724.7081665881</v>
      </c>
      <c r="BP4967" s="8">
        <v>3416745.8336018091</v>
      </c>
      <c r="BQ4967" s="8">
        <v>1256021.125435221</v>
      </c>
      <c r="BR4967" s="8" t="str">
        <v>No</v>
      </c>
    </row>
    <row r="4968" spans="54:70" x14ac:dyDescent="0.2">
      <c r="BB4968" s="94"/>
      <c r="BL4968" s="8">
        <v>4919</v>
      </c>
      <c r="BM4968" s="8">
        <v>5377487.1742886771</v>
      </c>
      <c r="BN4968" s="8">
        <v>0</v>
      </c>
      <c r="BO4968" s="8">
        <v>5377487.1742886771</v>
      </c>
      <c r="BP4968" s="8">
        <v>3453197.2630706956</v>
      </c>
      <c r="BQ4968" s="8">
        <v>-1924289.9112179815</v>
      </c>
      <c r="BR4968" s="8" t="str">
        <v>Yes</v>
      </c>
    </row>
    <row r="4969" spans="54:70" x14ac:dyDescent="0.2">
      <c r="BB4969" s="94"/>
      <c r="BL4969" s="8">
        <v>4920</v>
      </c>
      <c r="BM4969" s="8">
        <v>3949586.4039032813</v>
      </c>
      <c r="BN4969" s="8">
        <v>0</v>
      </c>
      <c r="BO4969" s="8">
        <v>3949586.4039032813</v>
      </c>
      <c r="BP4969" s="8">
        <v>4120915.2132566995</v>
      </c>
      <c r="BQ4969" s="8">
        <v>171328.80935341818</v>
      </c>
      <c r="BR4969" s="8" t="str">
        <v>No</v>
      </c>
    </row>
    <row r="4970" spans="54:70" x14ac:dyDescent="0.2">
      <c r="BB4970" s="94"/>
      <c r="BL4970" s="8">
        <v>4921</v>
      </c>
      <c r="BM4970" s="8">
        <v>9445929.4273141026</v>
      </c>
      <c r="BN4970" s="8">
        <v>6580387.4059410794</v>
      </c>
      <c r="BO4970" s="8">
        <v>16026316.833255183</v>
      </c>
      <c r="BP4970" s="8">
        <v>4104922.5887942594</v>
      </c>
      <c r="BQ4970" s="8">
        <v>-11921394.244460924</v>
      </c>
      <c r="BR4970" s="8" t="str">
        <v>Yes</v>
      </c>
    </row>
    <row r="4971" spans="54:70" x14ac:dyDescent="0.2">
      <c r="BB4971" s="94"/>
      <c r="BL4971" s="8">
        <v>4922</v>
      </c>
      <c r="BM4971" s="8">
        <v>7509780.1009866018</v>
      </c>
      <c r="BN4971" s="8">
        <v>0</v>
      </c>
      <c r="BO4971" s="8">
        <v>7509780.1009866018</v>
      </c>
      <c r="BP4971" s="8">
        <v>6683493.034115158</v>
      </c>
      <c r="BQ4971" s="8">
        <v>-826287.06687144376</v>
      </c>
      <c r="BR4971" s="8" t="str">
        <v>Yes</v>
      </c>
    </row>
    <row r="4972" spans="54:70" x14ac:dyDescent="0.2">
      <c r="BB4972" s="94"/>
      <c r="BL4972" s="8">
        <v>4923</v>
      </c>
      <c r="BM4972" s="8">
        <v>4362319.8576115873</v>
      </c>
      <c r="BN4972" s="8">
        <v>3612270.6847085087</v>
      </c>
      <c r="BO4972" s="8">
        <v>7974590.5423200959</v>
      </c>
      <c r="BP4972" s="8">
        <v>2325355.8135991413</v>
      </c>
      <c r="BQ4972" s="8">
        <v>-5649234.7287209546</v>
      </c>
      <c r="BR4972" s="8" t="str">
        <v>Yes</v>
      </c>
    </row>
    <row r="4973" spans="54:70" x14ac:dyDescent="0.2">
      <c r="BB4973" s="94"/>
      <c r="BL4973" s="8">
        <v>4924</v>
      </c>
      <c r="BM4973" s="8">
        <v>5226654.6431564866</v>
      </c>
      <c r="BN4973" s="8">
        <v>0</v>
      </c>
      <c r="BO4973" s="8">
        <v>5226654.6431564866</v>
      </c>
      <c r="BP4973" s="8">
        <v>3237336.4433126971</v>
      </c>
      <c r="BQ4973" s="8">
        <v>-1989318.1998437895</v>
      </c>
      <c r="BR4973" s="8" t="str">
        <v>Yes</v>
      </c>
    </row>
    <row r="4974" spans="54:70" x14ac:dyDescent="0.2">
      <c r="BB4974" s="94"/>
      <c r="BL4974" s="8">
        <v>4925</v>
      </c>
      <c r="BM4974" s="8">
        <v>3653020.3466612045</v>
      </c>
      <c r="BN4974" s="8">
        <v>0</v>
      </c>
      <c r="BO4974" s="8">
        <v>3653020.3466612045</v>
      </c>
      <c r="BP4974" s="8">
        <v>3332167.2568656318</v>
      </c>
      <c r="BQ4974" s="8">
        <v>-320853.08979557268</v>
      </c>
      <c r="BR4974" s="8" t="str">
        <v>Yes</v>
      </c>
    </row>
    <row r="4975" spans="54:70" x14ac:dyDescent="0.2">
      <c r="BB4975" s="94"/>
      <c r="BL4975" s="8">
        <v>4926</v>
      </c>
      <c r="BM4975" s="8">
        <v>3449207.2687330768</v>
      </c>
      <c r="BN4975" s="8">
        <v>3261618.0535537284</v>
      </c>
      <c r="BO4975" s="8">
        <v>6710825.3222868051</v>
      </c>
      <c r="BP4975" s="8">
        <v>4569474.0722844983</v>
      </c>
      <c r="BQ4975" s="8">
        <v>-2141351.2500023069</v>
      </c>
      <c r="BR4975" s="8" t="str">
        <v>Yes</v>
      </c>
    </row>
    <row r="4976" spans="54:70" x14ac:dyDescent="0.2">
      <c r="BB4976" s="94"/>
      <c r="BL4976" s="8">
        <v>4927</v>
      </c>
      <c r="BM4976" s="8">
        <v>4618164.9074700186</v>
      </c>
      <c r="BN4976" s="8">
        <v>3275255.3189519746</v>
      </c>
      <c r="BO4976" s="8">
        <v>7893420.2264219932</v>
      </c>
      <c r="BP4976" s="8">
        <v>6278694.3370214468</v>
      </c>
      <c r="BQ4976" s="8">
        <v>-1614725.8894005464</v>
      </c>
      <c r="BR4976" s="8" t="str">
        <v>Yes</v>
      </c>
    </row>
    <row r="4977" spans="54:70" x14ac:dyDescent="0.2">
      <c r="BB4977" s="94"/>
      <c r="BL4977" s="8">
        <v>4928</v>
      </c>
      <c r="BM4977" s="8">
        <v>6111432.9536315035</v>
      </c>
      <c r="BN4977" s="8">
        <v>5984907.1492008045</v>
      </c>
      <c r="BO4977" s="8">
        <v>12096340.102832308</v>
      </c>
      <c r="BP4977" s="8">
        <v>2243912.232729855</v>
      </c>
      <c r="BQ4977" s="8">
        <v>-9852427.870102454</v>
      </c>
      <c r="BR4977" s="8" t="str">
        <v>Yes</v>
      </c>
    </row>
    <row r="4978" spans="54:70" x14ac:dyDescent="0.2">
      <c r="BB4978" s="94"/>
      <c r="BL4978" s="8">
        <v>4929</v>
      </c>
      <c r="BM4978" s="8">
        <v>2012415.208257301</v>
      </c>
      <c r="BN4978" s="8">
        <v>0</v>
      </c>
      <c r="BO4978" s="8">
        <v>2012415.208257301</v>
      </c>
      <c r="BP4978" s="8">
        <v>6011094.9497362701</v>
      </c>
      <c r="BQ4978" s="8">
        <v>3998679.7414789693</v>
      </c>
      <c r="BR4978" s="8" t="str">
        <v>No</v>
      </c>
    </row>
    <row r="4979" spans="54:70" x14ac:dyDescent="0.2">
      <c r="BB4979" s="94"/>
      <c r="BL4979" s="8">
        <v>4930</v>
      </c>
      <c r="BM4979" s="8">
        <v>7997159.2406241409</v>
      </c>
      <c r="BN4979" s="8">
        <v>8897689.633837413</v>
      </c>
      <c r="BO4979" s="8">
        <v>16894848.874461554</v>
      </c>
      <c r="BP4979" s="8">
        <v>2996503.0151936943</v>
      </c>
      <c r="BQ4979" s="8">
        <v>-13898345.859267861</v>
      </c>
      <c r="BR4979" s="8" t="str">
        <v>Yes</v>
      </c>
    </row>
    <row r="4980" spans="54:70" x14ac:dyDescent="0.2">
      <c r="BB4980" s="94"/>
      <c r="BL4980" s="8">
        <v>4931</v>
      </c>
      <c r="BM4980" s="8">
        <v>11980348.634726077</v>
      </c>
      <c r="BN4980" s="8">
        <v>16308850.460149108</v>
      </c>
      <c r="BO4980" s="8">
        <v>28289199.094875187</v>
      </c>
      <c r="BP4980" s="8">
        <v>3975497.1516665663</v>
      </c>
      <c r="BQ4980" s="8">
        <v>-24313701.94320862</v>
      </c>
      <c r="BR4980" s="8" t="str">
        <v>Yes</v>
      </c>
    </row>
    <row r="4981" spans="54:70" x14ac:dyDescent="0.2">
      <c r="BB4981" s="94"/>
      <c r="BL4981" s="8">
        <v>4932</v>
      </c>
      <c r="BM4981" s="8">
        <v>5967658.0896028588</v>
      </c>
      <c r="BN4981" s="8">
        <v>5388694.0312894229</v>
      </c>
      <c r="BO4981" s="8">
        <v>11356352.120892283</v>
      </c>
      <c r="BP4981" s="8">
        <v>4101156.696762505</v>
      </c>
      <c r="BQ4981" s="8">
        <v>-7255195.4241297776</v>
      </c>
      <c r="BR4981" s="8" t="str">
        <v>Yes</v>
      </c>
    </row>
    <row r="4982" spans="54:70" x14ac:dyDescent="0.2">
      <c r="BB4982" s="94"/>
      <c r="BL4982" s="8">
        <v>4933</v>
      </c>
      <c r="BM4982" s="8">
        <v>2534505.4929212872</v>
      </c>
      <c r="BN4982" s="8">
        <v>1988878.0930997948</v>
      </c>
      <c r="BO4982" s="8">
        <v>4523383.5860210825</v>
      </c>
      <c r="BP4982" s="8">
        <v>3443483.9123391761</v>
      </c>
      <c r="BQ4982" s="8">
        <v>-1079899.6736819064</v>
      </c>
      <c r="BR4982" s="8" t="str">
        <v>Yes</v>
      </c>
    </row>
    <row r="4983" spans="54:70" x14ac:dyDescent="0.2">
      <c r="BB4983" s="94"/>
      <c r="BL4983" s="8">
        <v>4934</v>
      </c>
      <c r="BM4983" s="8">
        <v>4300890.9207859114</v>
      </c>
      <c r="BN4983" s="8">
        <v>1060994.3039477668</v>
      </c>
      <c r="BO4983" s="8">
        <v>5361885.2247336786</v>
      </c>
      <c r="BP4983" s="8">
        <v>4116400.6962287063</v>
      </c>
      <c r="BQ4983" s="8">
        <v>-1245484.5285049723</v>
      </c>
      <c r="BR4983" s="8" t="str">
        <v>Yes</v>
      </c>
    </row>
    <row r="4984" spans="54:70" x14ac:dyDescent="0.2">
      <c r="BB4984" s="94"/>
      <c r="BL4984" s="8">
        <v>4935</v>
      </c>
      <c r="BM4984" s="8">
        <v>5066013.2828023313</v>
      </c>
      <c r="BN4984" s="8">
        <v>2960621.2336216359</v>
      </c>
      <c r="BO4984" s="8">
        <v>8026634.5164239667</v>
      </c>
      <c r="BP4984" s="8">
        <v>6556491.8804643508</v>
      </c>
      <c r="BQ4984" s="8">
        <v>-1470142.6359596159</v>
      </c>
      <c r="BR4984" s="8" t="str">
        <v>Yes</v>
      </c>
    </row>
    <row r="4985" spans="54:70" x14ac:dyDescent="0.2">
      <c r="BB4985" s="94"/>
      <c r="BL4985" s="8">
        <v>4936</v>
      </c>
      <c r="BM4985" s="8">
        <v>3357463.0776159544</v>
      </c>
      <c r="BN4985" s="8">
        <v>1964854.1057608172</v>
      </c>
      <c r="BO4985" s="8">
        <v>5322317.1833767714</v>
      </c>
      <c r="BP4985" s="8">
        <v>3323877.212463703</v>
      </c>
      <c r="BQ4985" s="8">
        <v>-1998439.9709130684</v>
      </c>
      <c r="BR4985" s="8" t="str">
        <v>Yes</v>
      </c>
    </row>
    <row r="4986" spans="54:70" x14ac:dyDescent="0.2">
      <c r="BB4986" s="94"/>
      <c r="BL4986" s="8">
        <v>4937</v>
      </c>
      <c r="BM4986" s="8">
        <v>4308185.6190965809</v>
      </c>
      <c r="BN4986" s="8">
        <v>0</v>
      </c>
      <c r="BO4986" s="8">
        <v>4308185.6190965809</v>
      </c>
      <c r="BP4986" s="8">
        <v>2497891.593318793</v>
      </c>
      <c r="BQ4986" s="8">
        <v>-1810294.0257777879</v>
      </c>
      <c r="BR4986" s="8" t="str">
        <v>Yes</v>
      </c>
    </row>
    <row r="4987" spans="54:70" x14ac:dyDescent="0.2">
      <c r="BB4987" s="94"/>
      <c r="BL4987" s="8">
        <v>4938</v>
      </c>
      <c r="BM4987" s="8">
        <v>2587079.5972743505</v>
      </c>
      <c r="BN4987" s="8">
        <v>0</v>
      </c>
      <c r="BO4987" s="8">
        <v>2587079.5972743505</v>
      </c>
      <c r="BP4987" s="8">
        <v>2316263.1422654293</v>
      </c>
      <c r="BQ4987" s="8">
        <v>-270816.45500892121</v>
      </c>
      <c r="BR4987" s="8" t="str">
        <v>Yes</v>
      </c>
    </row>
    <row r="4988" spans="54:70" x14ac:dyDescent="0.2">
      <c r="BB4988" s="94"/>
      <c r="BL4988" s="8">
        <v>4939</v>
      </c>
      <c r="BM4988" s="8">
        <v>2577559.1133044572</v>
      </c>
      <c r="BN4988" s="8">
        <v>1464862.2446913547</v>
      </c>
      <c r="BO4988" s="8">
        <v>4042421.3579958118</v>
      </c>
      <c r="BP4988" s="8">
        <v>4273243.3154201992</v>
      </c>
      <c r="BQ4988" s="8">
        <v>230821.95742438734</v>
      </c>
      <c r="BR4988" s="8" t="str">
        <v>No</v>
      </c>
    </row>
    <row r="4989" spans="54:70" x14ac:dyDescent="0.2">
      <c r="BB4989" s="94"/>
      <c r="BL4989" s="8">
        <v>4940</v>
      </c>
      <c r="BM4989" s="8">
        <v>8986342.9462232441</v>
      </c>
      <c r="BN4989" s="8">
        <v>0</v>
      </c>
      <c r="BO4989" s="8">
        <v>8986342.9462232441</v>
      </c>
      <c r="BP4989" s="8">
        <v>4390252.4038326917</v>
      </c>
      <c r="BQ4989" s="8">
        <v>-4596090.5423905523</v>
      </c>
      <c r="BR4989" s="8" t="str">
        <v>Yes</v>
      </c>
    </row>
    <row r="4990" spans="54:70" x14ac:dyDescent="0.2">
      <c r="BB4990" s="94"/>
      <c r="BL4990" s="8">
        <v>4941</v>
      </c>
      <c r="BM4990" s="8">
        <v>2801794.8958960176</v>
      </c>
      <c r="BN4990" s="8">
        <v>1055858.1586815165</v>
      </c>
      <c r="BO4990" s="8">
        <v>3857653.0545775341</v>
      </c>
      <c r="BP4990" s="8">
        <v>4554370.1263494836</v>
      </c>
      <c r="BQ4990" s="8">
        <v>696717.07177194953</v>
      </c>
      <c r="BR4990" s="8" t="str">
        <v>No</v>
      </c>
    </row>
    <row r="4991" spans="54:70" x14ac:dyDescent="0.2">
      <c r="BB4991" s="94"/>
      <c r="BL4991" s="8">
        <v>4942</v>
      </c>
      <c r="BM4991" s="8">
        <v>3924457.4642407042</v>
      </c>
      <c r="BN4991" s="8">
        <v>0</v>
      </c>
      <c r="BO4991" s="8">
        <v>3924457.4642407042</v>
      </c>
      <c r="BP4991" s="8">
        <v>3442646.9067156729</v>
      </c>
      <c r="BQ4991" s="8">
        <v>-481810.55752503127</v>
      </c>
      <c r="BR4991" s="8" t="str">
        <v>Yes</v>
      </c>
    </row>
    <row r="4992" spans="54:70" x14ac:dyDescent="0.2">
      <c r="BB4992" s="94"/>
      <c r="BL4992" s="8">
        <v>4943</v>
      </c>
      <c r="BM4992" s="8">
        <v>5798473.8851494472</v>
      </c>
      <c r="BN4992" s="8">
        <v>5499561.937492732</v>
      </c>
      <c r="BO4992" s="8">
        <v>11298035.822642179</v>
      </c>
      <c r="BP4992" s="8">
        <v>6628929.5650699111</v>
      </c>
      <c r="BQ4992" s="8">
        <v>-4669106.2575722681</v>
      </c>
      <c r="BR4992" s="8" t="str">
        <v>Yes</v>
      </c>
    </row>
    <row r="4993" spans="54:70" x14ac:dyDescent="0.2">
      <c r="BB4993" s="94"/>
      <c r="BL4993" s="8">
        <v>4944</v>
      </c>
      <c r="BM4993" s="8">
        <v>2805965.878620537</v>
      </c>
      <c r="BN4993" s="8">
        <v>0</v>
      </c>
      <c r="BO4993" s="8">
        <v>2805965.878620537</v>
      </c>
      <c r="BP4993" s="8">
        <v>2322595.7319967146</v>
      </c>
      <c r="BQ4993" s="8">
        <v>-483370.14662382239</v>
      </c>
      <c r="BR4993" s="8" t="str">
        <v>Yes</v>
      </c>
    </row>
    <row r="4994" spans="54:70" x14ac:dyDescent="0.2">
      <c r="BB4994" s="94"/>
      <c r="BL4994" s="8">
        <v>4945</v>
      </c>
      <c r="BM4994" s="8">
        <v>4826511.2474299744</v>
      </c>
      <c r="BN4994" s="8">
        <v>4754557.73502101</v>
      </c>
      <c r="BO4994" s="8">
        <v>9581068.9824509844</v>
      </c>
      <c r="BP4994" s="8">
        <v>6149330.8605285278</v>
      </c>
      <c r="BQ4994" s="8">
        <v>-3431738.1219224567</v>
      </c>
      <c r="BR4994" s="8" t="str">
        <v>Yes</v>
      </c>
    </row>
    <row r="4995" spans="54:70" x14ac:dyDescent="0.2">
      <c r="BB4995" s="94"/>
      <c r="BL4995" s="8">
        <v>4946</v>
      </c>
      <c r="BM4995" s="8">
        <v>3697858.7325717728</v>
      </c>
      <c r="BN4995" s="8">
        <v>0</v>
      </c>
      <c r="BO4995" s="8">
        <v>3697858.7325717728</v>
      </c>
      <c r="BP4995" s="8">
        <v>2375706.989231044</v>
      </c>
      <c r="BQ4995" s="8">
        <v>-1322151.7433407288</v>
      </c>
      <c r="BR4995" s="8" t="str">
        <v>Yes</v>
      </c>
    </row>
    <row r="4996" spans="54:70" x14ac:dyDescent="0.2">
      <c r="BB4996" s="94"/>
      <c r="BL4996" s="8">
        <v>4947</v>
      </c>
      <c r="BM4996" s="8">
        <v>4986712.6122888681</v>
      </c>
      <c r="BN4996" s="8">
        <v>1254923.026425547</v>
      </c>
      <c r="BO4996" s="8">
        <v>6241635.638714415</v>
      </c>
      <c r="BP4996" s="8">
        <v>6144906.318262958</v>
      </c>
      <c r="BQ4996" s="8">
        <v>-96729.320451457053</v>
      </c>
      <c r="BR4996" s="8" t="str">
        <v>Yes</v>
      </c>
    </row>
    <row r="4997" spans="54:70" x14ac:dyDescent="0.2">
      <c r="BB4997" s="94"/>
      <c r="BL4997" s="8">
        <v>4948</v>
      </c>
      <c r="BM4997" s="8">
        <v>9637058.6905961297</v>
      </c>
      <c r="BN4997" s="8">
        <v>0</v>
      </c>
      <c r="BO4997" s="8">
        <v>9637058.6905961297</v>
      </c>
      <c r="BP4997" s="8">
        <v>6020762.0308033638</v>
      </c>
      <c r="BQ4997" s="8">
        <v>-3616296.659792766</v>
      </c>
      <c r="BR4997" s="8" t="str">
        <v>Yes</v>
      </c>
    </row>
    <row r="4998" spans="54:70" x14ac:dyDescent="0.2">
      <c r="BB4998" s="94"/>
      <c r="BL4998" s="8">
        <v>4949</v>
      </c>
      <c r="BM4998" s="8">
        <v>1314854.1295414967</v>
      </c>
      <c r="BN4998" s="8">
        <v>729561.22810573981</v>
      </c>
      <c r="BO4998" s="8">
        <v>2044415.3576472364</v>
      </c>
      <c r="BP4998" s="8">
        <v>3545776.6173315449</v>
      </c>
      <c r="BQ4998" s="8">
        <v>1501361.2596843084</v>
      </c>
      <c r="BR4998" s="8" t="str">
        <v>No</v>
      </c>
    </row>
    <row r="4999" spans="54:70" x14ac:dyDescent="0.2">
      <c r="BB4999" s="94"/>
      <c r="BL4999" s="8">
        <v>4950</v>
      </c>
      <c r="BM4999" s="8">
        <v>3090702.4452461787</v>
      </c>
      <c r="BN4999" s="8">
        <v>791184.57081118936</v>
      </c>
      <c r="BO4999" s="8">
        <v>3881887.0160573679</v>
      </c>
      <c r="BP4999" s="8">
        <v>6276460.3041817266</v>
      </c>
      <c r="BQ4999" s="8">
        <v>2394573.2881243587</v>
      </c>
      <c r="BR4999" s="8" t="str">
        <v>No</v>
      </c>
    </row>
    <row r="5000" spans="54:70" x14ac:dyDescent="0.2">
      <c r="BB5000" s="94"/>
      <c r="BL5000" s="8">
        <v>4951</v>
      </c>
      <c r="BM5000" s="8">
        <v>3756435.048420487</v>
      </c>
      <c r="BN5000" s="8">
        <v>0</v>
      </c>
      <c r="BO5000" s="8">
        <v>3756435.048420487</v>
      </c>
      <c r="BP5000" s="8">
        <v>2193528.7451868854</v>
      </c>
      <c r="BQ5000" s="8">
        <v>-1562906.3032336016</v>
      </c>
      <c r="BR5000" s="8" t="str">
        <v>Yes</v>
      </c>
    </row>
    <row r="5001" spans="54:70" x14ac:dyDescent="0.2">
      <c r="BB5001" s="94"/>
      <c r="BL5001" s="8">
        <v>4952</v>
      </c>
      <c r="BM5001" s="8">
        <v>3242857.8261336936</v>
      </c>
      <c r="BN5001" s="8">
        <v>0</v>
      </c>
      <c r="BO5001" s="8">
        <v>3242857.8261336936</v>
      </c>
      <c r="BP5001" s="8">
        <v>3425741.1958156889</v>
      </c>
      <c r="BQ5001" s="8">
        <v>182883.36968199536</v>
      </c>
      <c r="BR5001" s="8" t="str">
        <v>No</v>
      </c>
    </row>
    <row r="5002" spans="54:70" x14ac:dyDescent="0.2">
      <c r="BB5002" s="94"/>
      <c r="BL5002" s="8">
        <v>4953</v>
      </c>
      <c r="BM5002" s="8">
        <v>1962560.6521248685</v>
      </c>
      <c r="BN5002" s="8">
        <v>1492650.9169520126</v>
      </c>
      <c r="BO5002" s="8">
        <v>3455211.5690768808</v>
      </c>
      <c r="BP5002" s="8">
        <v>3216850.4850741993</v>
      </c>
      <c r="BQ5002" s="8">
        <v>-238361.08400268154</v>
      </c>
      <c r="BR5002" s="8" t="str">
        <v>Yes</v>
      </c>
    </row>
    <row r="5003" spans="54:70" x14ac:dyDescent="0.2">
      <c r="BB5003" s="94"/>
      <c r="BL5003" s="8">
        <v>4954</v>
      </c>
      <c r="BM5003" s="8">
        <v>4584712.9816364329</v>
      </c>
      <c r="BN5003" s="8">
        <v>6253682.7105801646</v>
      </c>
      <c r="BO5003" s="8">
        <v>10838395.692216597</v>
      </c>
      <c r="BP5003" s="8">
        <v>3047419.3255986939</v>
      </c>
      <c r="BQ5003" s="8">
        <v>-7790976.3666179031</v>
      </c>
      <c r="BR5003" s="8" t="str">
        <v>Yes</v>
      </c>
    </row>
    <row r="5004" spans="54:70" x14ac:dyDescent="0.2">
      <c r="BB5004" s="94"/>
      <c r="BL5004" s="8">
        <v>4955</v>
      </c>
      <c r="BM5004" s="8">
        <v>11920638.836182408</v>
      </c>
      <c r="BN5004" s="8">
        <v>9668683.0898355115</v>
      </c>
      <c r="BO5004" s="8">
        <v>21589321.926017918</v>
      </c>
      <c r="BP5004" s="8">
        <v>6754445.638853698</v>
      </c>
      <c r="BQ5004" s="8">
        <v>-14834876.287164219</v>
      </c>
      <c r="BR5004" s="8" t="str">
        <v>Yes</v>
      </c>
    </row>
    <row r="5005" spans="54:70" x14ac:dyDescent="0.2">
      <c r="BB5005" s="94"/>
      <c r="BL5005" s="8">
        <v>4956</v>
      </c>
      <c r="BM5005" s="8">
        <v>2842648.0711641405</v>
      </c>
      <c r="BN5005" s="8">
        <v>2102591.4851905056</v>
      </c>
      <c r="BO5005" s="8">
        <v>4945239.5563546456</v>
      </c>
      <c r="BP5005" s="8">
        <v>3024803.0659779231</v>
      </c>
      <c r="BQ5005" s="8">
        <v>-1920436.4903767225</v>
      </c>
      <c r="BR5005" s="8" t="str">
        <v>Yes</v>
      </c>
    </row>
    <row r="5006" spans="54:70" x14ac:dyDescent="0.2">
      <c r="BB5006" s="94"/>
      <c r="BL5006" s="8">
        <v>4957</v>
      </c>
      <c r="BM5006" s="8">
        <v>5616854.6690876018</v>
      </c>
      <c r="BN5006" s="8">
        <v>0</v>
      </c>
      <c r="BO5006" s="8">
        <v>5616854.6690876018</v>
      </c>
      <c r="BP5006" s="8">
        <v>6489817.9415768823</v>
      </c>
      <c r="BQ5006" s="8">
        <v>872963.27248928044</v>
      </c>
      <c r="BR5006" s="8" t="str">
        <v>No</v>
      </c>
    </row>
    <row r="5007" spans="54:70" x14ac:dyDescent="0.2">
      <c r="BB5007" s="94"/>
      <c r="BL5007" s="8">
        <v>4958</v>
      </c>
      <c r="BM5007" s="8">
        <v>3623703.4546070867</v>
      </c>
      <c r="BN5007" s="8">
        <v>0</v>
      </c>
      <c r="BO5007" s="8">
        <v>3623703.4546070867</v>
      </c>
      <c r="BP5007" s="8">
        <v>3455169.1200871044</v>
      </c>
      <c r="BQ5007" s="8">
        <v>-168534.33451998234</v>
      </c>
      <c r="BR5007" s="8" t="str">
        <v>Yes</v>
      </c>
    </row>
    <row r="5008" spans="54:70" x14ac:dyDescent="0.2">
      <c r="BB5008" s="94"/>
      <c r="BL5008" s="8">
        <v>4959</v>
      </c>
      <c r="BM5008" s="8">
        <v>6486894.9749076059</v>
      </c>
      <c r="BN5008" s="8">
        <v>6664594.3810701557</v>
      </c>
      <c r="BO5008" s="8">
        <v>13151489.355977762</v>
      </c>
      <c r="BP5008" s="8">
        <v>2251077.3859166284</v>
      </c>
      <c r="BQ5008" s="8">
        <v>-10900411.970061135</v>
      </c>
      <c r="BR5008" s="8" t="str">
        <v>Yes</v>
      </c>
    </row>
    <row r="5009" spans="54:70" x14ac:dyDescent="0.2">
      <c r="BB5009" s="94"/>
      <c r="BL5009" s="8">
        <v>4960</v>
      </c>
      <c r="BM5009" s="8">
        <v>3513661.2946662763</v>
      </c>
      <c r="BN5009" s="8">
        <v>0</v>
      </c>
      <c r="BO5009" s="8">
        <v>3513661.2946662763</v>
      </c>
      <c r="BP5009" s="8">
        <v>3578109.6926177028</v>
      </c>
      <c r="BQ5009" s="8">
        <v>64448.39795142645</v>
      </c>
      <c r="BR5009" s="8" t="str">
        <v>No</v>
      </c>
    </row>
    <row r="5010" spans="54:70" x14ac:dyDescent="0.2">
      <c r="BB5010" s="94"/>
      <c r="BL5010" s="8">
        <v>4961</v>
      </c>
      <c r="BM5010" s="8">
        <v>3398155.2493502679</v>
      </c>
      <c r="BN5010" s="8">
        <v>0</v>
      </c>
      <c r="BO5010" s="8">
        <v>3398155.2493502679</v>
      </c>
      <c r="BP5010" s="8">
        <v>6387316.4977914151</v>
      </c>
      <c r="BQ5010" s="8">
        <v>2989161.2484411472</v>
      </c>
      <c r="BR5010" s="8" t="str">
        <v>No</v>
      </c>
    </row>
    <row r="5011" spans="54:70" x14ac:dyDescent="0.2">
      <c r="BB5011" s="94"/>
      <c r="BL5011" s="8">
        <v>4962</v>
      </c>
      <c r="BM5011" s="8">
        <v>4233231.8500757478</v>
      </c>
      <c r="BN5011" s="8">
        <v>0</v>
      </c>
      <c r="BO5011" s="8">
        <v>4233231.8500757478</v>
      </c>
      <c r="BP5011" s="8">
        <v>2925816.2216607225</v>
      </c>
      <c r="BQ5011" s="8">
        <v>-1307415.6284150253</v>
      </c>
      <c r="BR5011" s="8" t="str">
        <v>Yes</v>
      </c>
    </row>
    <row r="5012" spans="54:70" x14ac:dyDescent="0.2">
      <c r="BB5012" s="94"/>
      <c r="BL5012" s="8">
        <v>4963</v>
      </c>
      <c r="BM5012" s="8">
        <v>8936672.113294458</v>
      </c>
      <c r="BN5012" s="8">
        <v>5851777.2483035326</v>
      </c>
      <c r="BO5012" s="8">
        <v>14788449.361597991</v>
      </c>
      <c r="BP5012" s="8">
        <v>3378636.1407631771</v>
      </c>
      <c r="BQ5012" s="8">
        <v>-11409813.220834814</v>
      </c>
      <c r="BR5012" s="8" t="str">
        <v>Yes</v>
      </c>
    </row>
    <row r="5013" spans="54:70" x14ac:dyDescent="0.2">
      <c r="BB5013" s="94"/>
      <c r="BL5013" s="8">
        <v>4964</v>
      </c>
      <c r="BM5013" s="8">
        <v>3050310.0033720848</v>
      </c>
      <c r="BN5013" s="8">
        <v>0</v>
      </c>
      <c r="BO5013" s="8">
        <v>3050310.0033720848</v>
      </c>
      <c r="BP5013" s="8">
        <v>3969237.828358172</v>
      </c>
      <c r="BQ5013" s="8">
        <v>918927.82498608716</v>
      </c>
      <c r="BR5013" s="8" t="str">
        <v>No</v>
      </c>
    </row>
    <row r="5014" spans="54:70" x14ac:dyDescent="0.2">
      <c r="BB5014" s="94"/>
      <c r="BL5014" s="8">
        <v>4965</v>
      </c>
      <c r="BM5014" s="8">
        <v>6711971.0394830564</v>
      </c>
      <c r="BN5014" s="8">
        <v>8341764.2671069745</v>
      </c>
      <c r="BO5014" s="8">
        <v>15053735.306590032</v>
      </c>
      <c r="BP5014" s="8">
        <v>2320438.0411437722</v>
      </c>
      <c r="BQ5014" s="8">
        <v>-12733297.265446261</v>
      </c>
      <c r="BR5014" s="8" t="str">
        <v>Yes</v>
      </c>
    </row>
    <row r="5015" spans="54:70" x14ac:dyDescent="0.2">
      <c r="BB5015" s="94"/>
      <c r="BL5015" s="8">
        <v>4966</v>
      </c>
      <c r="BM5015" s="8">
        <v>6580120.1151134511</v>
      </c>
      <c r="BN5015" s="8">
        <v>0</v>
      </c>
      <c r="BO5015" s="8">
        <v>6580120.1151134511</v>
      </c>
      <c r="BP5015" s="8">
        <v>6836988.7805020614</v>
      </c>
      <c r="BQ5015" s="8">
        <v>256868.66538861021</v>
      </c>
      <c r="BR5015" s="8" t="str">
        <v>No</v>
      </c>
    </row>
    <row r="5016" spans="54:70" x14ac:dyDescent="0.2">
      <c r="BB5016" s="94"/>
      <c r="BL5016" s="8">
        <v>4967</v>
      </c>
      <c r="BM5016" s="8">
        <v>6567200.2616249081</v>
      </c>
      <c r="BN5016" s="8">
        <v>2825782.8860318377</v>
      </c>
      <c r="BO5016" s="8">
        <v>9392983.1476567462</v>
      </c>
      <c r="BP5016" s="8">
        <v>6637448.8135460708</v>
      </c>
      <c r="BQ5016" s="8">
        <v>-2755534.3341106754</v>
      </c>
      <c r="BR5016" s="8" t="str">
        <v>Yes</v>
      </c>
    </row>
    <row r="5017" spans="54:70" x14ac:dyDescent="0.2">
      <c r="BB5017" s="94"/>
      <c r="BL5017" s="8">
        <v>4968</v>
      </c>
      <c r="BM5017" s="8">
        <v>3361286.6176808104</v>
      </c>
      <c r="BN5017" s="8">
        <v>0</v>
      </c>
      <c r="BO5017" s="8">
        <v>3361286.6176808104</v>
      </c>
      <c r="BP5017" s="8">
        <v>3846918.1842657882</v>
      </c>
      <c r="BQ5017" s="8">
        <v>485631.56658497779</v>
      </c>
      <c r="BR5017" s="8" t="str">
        <v>No</v>
      </c>
    </row>
    <row r="5018" spans="54:70" x14ac:dyDescent="0.2">
      <c r="BB5018" s="94"/>
      <c r="BL5018" s="8">
        <v>4969</v>
      </c>
      <c r="BM5018" s="8">
        <v>3636758.2980912984</v>
      </c>
      <c r="BN5018" s="8">
        <v>0</v>
      </c>
      <c r="BO5018" s="8">
        <v>3636758.2980912984</v>
      </c>
      <c r="BP5018" s="8">
        <v>6596728.6508366996</v>
      </c>
      <c r="BQ5018" s="8">
        <v>2959970.3527454012</v>
      </c>
      <c r="BR5018" s="8" t="str">
        <v>No</v>
      </c>
    </row>
    <row r="5019" spans="54:70" x14ac:dyDescent="0.2">
      <c r="BB5019" s="94"/>
      <c r="BL5019" s="8">
        <v>4970</v>
      </c>
      <c r="BM5019" s="8">
        <v>4141948.3203142113</v>
      </c>
      <c r="BN5019" s="8">
        <v>4716220.9629332982</v>
      </c>
      <c r="BO5019" s="8">
        <v>8858169.28324751</v>
      </c>
      <c r="BP5019" s="8">
        <v>2201760.2981741084</v>
      </c>
      <c r="BQ5019" s="8">
        <v>-6656408.9850734016</v>
      </c>
      <c r="BR5019" s="8" t="str">
        <v>Yes</v>
      </c>
    </row>
    <row r="5020" spans="54:70" x14ac:dyDescent="0.2">
      <c r="BB5020" s="94"/>
      <c r="BL5020" s="8">
        <v>4971</v>
      </c>
      <c r="BM5020" s="8">
        <v>5443319.456986241</v>
      </c>
      <c r="BN5020" s="8">
        <v>0</v>
      </c>
      <c r="BO5020" s="8">
        <v>5443319.456986241</v>
      </c>
      <c r="BP5020" s="8">
        <v>4436723.4315255508</v>
      </c>
      <c r="BQ5020" s="8">
        <v>-1006596.0254606903</v>
      </c>
      <c r="BR5020" s="8" t="str">
        <v>Yes</v>
      </c>
    </row>
    <row r="5021" spans="54:70" x14ac:dyDescent="0.2">
      <c r="BB5021" s="94"/>
      <c r="BL5021" s="8">
        <v>4972</v>
      </c>
      <c r="BM5021" s="8">
        <v>12393079.024740648</v>
      </c>
      <c r="BN5021" s="8">
        <v>0</v>
      </c>
      <c r="BO5021" s="8">
        <v>12393079.024740648</v>
      </c>
      <c r="BP5021" s="8">
        <v>6173229.1411031485</v>
      </c>
      <c r="BQ5021" s="8">
        <v>-6219849.8836374991</v>
      </c>
      <c r="BR5021" s="8" t="str">
        <v>Yes</v>
      </c>
    </row>
    <row r="5022" spans="54:70" x14ac:dyDescent="0.2">
      <c r="BB5022" s="94"/>
      <c r="BL5022" s="8">
        <v>4973</v>
      </c>
      <c r="BM5022" s="8">
        <v>3225017.2311351867</v>
      </c>
      <c r="BN5022" s="8">
        <v>0</v>
      </c>
      <c r="BO5022" s="8">
        <v>3225017.2311351867</v>
      </c>
      <c r="BP5022" s="8">
        <v>3294829.9398916773</v>
      </c>
      <c r="BQ5022" s="8">
        <v>69812.708756490611</v>
      </c>
      <c r="BR5022" s="8" t="str">
        <v>No</v>
      </c>
    </row>
    <row r="5023" spans="54:70" x14ac:dyDescent="0.2">
      <c r="BB5023" s="94"/>
      <c r="BL5023" s="8">
        <v>4974</v>
      </c>
      <c r="BM5023" s="8">
        <v>5033652.8485699948</v>
      </c>
      <c r="BN5023" s="8">
        <v>4050548.5069356109</v>
      </c>
      <c r="BO5023" s="8">
        <v>9084201.3555056062</v>
      </c>
      <c r="BP5023" s="8">
        <v>5751458.2404354131</v>
      </c>
      <c r="BQ5023" s="8">
        <v>-3332743.1150701931</v>
      </c>
      <c r="BR5023" s="8" t="str">
        <v>Yes</v>
      </c>
    </row>
    <row r="5024" spans="54:70" x14ac:dyDescent="0.2">
      <c r="BB5024" s="94"/>
      <c r="BL5024" s="8">
        <v>4975</v>
      </c>
      <c r="BM5024" s="8">
        <v>3126536.1116996091</v>
      </c>
      <c r="BN5024" s="8">
        <v>0</v>
      </c>
      <c r="BO5024" s="8">
        <v>3126536.1116996091</v>
      </c>
      <c r="BP5024" s="8">
        <v>4317019.7358930493</v>
      </c>
      <c r="BQ5024" s="8">
        <v>1190483.6241934402</v>
      </c>
      <c r="BR5024" s="8" t="str">
        <v>No</v>
      </c>
    </row>
    <row r="5025" spans="54:70" x14ac:dyDescent="0.2">
      <c r="BB5025" s="94"/>
      <c r="BL5025" s="8">
        <v>4976</v>
      </c>
      <c r="BM5025" s="8">
        <v>4432785.842523424</v>
      </c>
      <c r="BN5025" s="8">
        <v>4354341.1326321149</v>
      </c>
      <c r="BO5025" s="8">
        <v>8787126.9751555398</v>
      </c>
      <c r="BP5025" s="8">
        <v>4035797.7559632636</v>
      </c>
      <c r="BQ5025" s="8">
        <v>-4751329.2191922758</v>
      </c>
      <c r="BR5025" s="8" t="str">
        <v>Yes</v>
      </c>
    </row>
    <row r="5026" spans="54:70" x14ac:dyDescent="0.2">
      <c r="BB5026" s="94"/>
      <c r="BL5026" s="8">
        <v>4977</v>
      </c>
      <c r="BM5026" s="8">
        <v>3662408.6417770237</v>
      </c>
      <c r="BN5026" s="8">
        <v>5078280.0995658133</v>
      </c>
      <c r="BO5026" s="8">
        <v>8740688.741342837</v>
      </c>
      <c r="BP5026" s="8">
        <v>2343273.1538496176</v>
      </c>
      <c r="BQ5026" s="8">
        <v>-6397415.5874932194</v>
      </c>
      <c r="BR5026" s="8" t="str">
        <v>Yes</v>
      </c>
    </row>
    <row r="5027" spans="54:70" x14ac:dyDescent="0.2">
      <c r="BB5027" s="94"/>
      <c r="BL5027" s="8">
        <v>4978</v>
      </c>
      <c r="BM5027" s="8">
        <v>5416789.7212501504</v>
      </c>
      <c r="BN5027" s="8">
        <v>4648177.2160446066</v>
      </c>
      <c r="BO5027" s="8">
        <v>10064966.937294757</v>
      </c>
      <c r="BP5027" s="8">
        <v>4131676.4418120887</v>
      </c>
      <c r="BQ5027" s="8">
        <v>-5933290.4954826683</v>
      </c>
      <c r="BR5027" s="8" t="str">
        <v>Yes</v>
      </c>
    </row>
    <row r="5028" spans="54:70" x14ac:dyDescent="0.2">
      <c r="BB5028" s="94"/>
      <c r="BL5028" s="8">
        <v>4979</v>
      </c>
      <c r="BM5028" s="8">
        <v>6411112.9399706749</v>
      </c>
      <c r="BN5028" s="8">
        <v>6641579.4974813862</v>
      </c>
      <c r="BO5028" s="8">
        <v>13052692.437452061</v>
      </c>
      <c r="BP5028" s="8">
        <v>2236908.0077860137</v>
      </c>
      <c r="BQ5028" s="8">
        <v>-10815784.429666048</v>
      </c>
      <c r="BR5028" s="8" t="str">
        <v>Yes</v>
      </c>
    </row>
    <row r="5029" spans="54:70" x14ac:dyDescent="0.2">
      <c r="BB5029" s="94"/>
      <c r="BL5029" s="8">
        <v>4980</v>
      </c>
      <c r="BM5029" s="8">
        <v>3672029.1965762726</v>
      </c>
      <c r="BN5029" s="8">
        <v>930615.47635390062</v>
      </c>
      <c r="BO5029" s="8">
        <v>4602644.6729301736</v>
      </c>
      <c r="BP5029" s="8">
        <v>6795186.0057408381</v>
      </c>
      <c r="BQ5029" s="8">
        <v>2192541.3328106645</v>
      </c>
      <c r="BR5029" s="8" t="str">
        <v>No</v>
      </c>
    </row>
    <row r="5030" spans="54:70" x14ac:dyDescent="0.2">
      <c r="BB5030" s="94"/>
      <c r="BL5030" s="8">
        <v>4981</v>
      </c>
      <c r="BM5030" s="8">
        <v>4047315.2495249133</v>
      </c>
      <c r="BN5030" s="8">
        <v>3316698.372265067</v>
      </c>
      <c r="BO5030" s="8">
        <v>7364013.6217899807</v>
      </c>
      <c r="BP5030" s="8">
        <v>2232493.1725087743</v>
      </c>
      <c r="BQ5030" s="8">
        <v>-5131520.4492812064</v>
      </c>
      <c r="BR5030" s="8" t="str">
        <v>Yes</v>
      </c>
    </row>
    <row r="5031" spans="54:70" x14ac:dyDescent="0.2">
      <c r="BB5031" s="94"/>
      <c r="BL5031" s="8">
        <v>4982</v>
      </c>
      <c r="BM5031" s="8">
        <v>3642656.663643131</v>
      </c>
      <c r="BN5031" s="8">
        <v>4019824.1060230951</v>
      </c>
      <c r="BO5031" s="8">
        <v>7662480.7696662266</v>
      </c>
      <c r="BP5031" s="8">
        <v>2210881.7266133726</v>
      </c>
      <c r="BQ5031" s="8">
        <v>-5451599.043052854</v>
      </c>
      <c r="BR5031" s="8" t="str">
        <v>Yes</v>
      </c>
    </row>
    <row r="5032" spans="54:70" x14ac:dyDescent="0.2">
      <c r="BB5032" s="94"/>
      <c r="BL5032" s="8">
        <v>4983</v>
      </c>
      <c r="BM5032" s="8">
        <v>2344338.0358745074</v>
      </c>
      <c r="BN5032" s="8">
        <v>0</v>
      </c>
      <c r="BO5032" s="8">
        <v>2344338.0358745074</v>
      </c>
      <c r="BP5032" s="8">
        <v>3278948.8835623581</v>
      </c>
      <c r="BQ5032" s="8">
        <v>934610.84768785071</v>
      </c>
      <c r="BR5032" s="8" t="str">
        <v>No</v>
      </c>
    </row>
    <row r="5033" spans="54:70" x14ac:dyDescent="0.2">
      <c r="BB5033" s="94"/>
      <c r="BL5033" s="8">
        <v>4984</v>
      </c>
      <c r="BM5033" s="8">
        <v>3665087.5600044103</v>
      </c>
      <c r="BN5033" s="8">
        <v>3999577.8395377081</v>
      </c>
      <c r="BO5033" s="8">
        <v>7664665.3995421184</v>
      </c>
      <c r="BP5033" s="8">
        <v>6436712.8619100265</v>
      </c>
      <c r="BQ5033" s="8">
        <v>-1227952.5376320919</v>
      </c>
      <c r="BR5033" s="8" t="str">
        <v>Yes</v>
      </c>
    </row>
    <row r="5034" spans="54:70" x14ac:dyDescent="0.2">
      <c r="BB5034" s="94"/>
      <c r="BL5034" s="8">
        <v>4985</v>
      </c>
      <c r="BM5034" s="8">
        <v>3623283.8076019771</v>
      </c>
      <c r="BN5034" s="8">
        <v>0</v>
      </c>
      <c r="BO5034" s="8">
        <v>3623283.8076019771</v>
      </c>
      <c r="BP5034" s="8">
        <v>4304125.9455831358</v>
      </c>
      <c r="BQ5034" s="8">
        <v>680842.13798115868</v>
      </c>
      <c r="BR5034" s="8" t="str">
        <v>No</v>
      </c>
    </row>
    <row r="5035" spans="54:70" x14ac:dyDescent="0.2">
      <c r="BB5035" s="94"/>
      <c r="BL5035" s="8">
        <v>4986</v>
      </c>
      <c r="BM5035" s="8">
        <v>7304952.131248327</v>
      </c>
      <c r="BN5035" s="8">
        <v>8951547.8021916114</v>
      </c>
      <c r="BO5035" s="8">
        <v>16256499.933439938</v>
      </c>
      <c r="BP5035" s="8">
        <v>2277778.6143628256</v>
      </c>
      <c r="BQ5035" s="8">
        <v>-13978721.319077112</v>
      </c>
      <c r="BR5035" s="8" t="str">
        <v>Yes</v>
      </c>
    </row>
    <row r="5036" spans="54:70" x14ac:dyDescent="0.2">
      <c r="BB5036" s="94"/>
      <c r="BL5036" s="8">
        <v>4987</v>
      </c>
      <c r="BM5036" s="8">
        <v>2575929.8724529115</v>
      </c>
      <c r="BN5036" s="8">
        <v>1629939.5506477095</v>
      </c>
      <c r="BO5036" s="8">
        <v>4205869.4231006205</v>
      </c>
      <c r="BP5036" s="8">
        <v>2169056.7860321198</v>
      </c>
      <c r="BQ5036" s="8">
        <v>-2036812.6370685007</v>
      </c>
      <c r="BR5036" s="8" t="str">
        <v>Yes</v>
      </c>
    </row>
    <row r="5037" spans="54:70" x14ac:dyDescent="0.2">
      <c r="BB5037" s="94"/>
      <c r="BL5037" s="8">
        <v>4988</v>
      </c>
      <c r="BM5037" s="8">
        <v>2819242.6012561484</v>
      </c>
      <c r="BN5037" s="8">
        <v>5493436.7336434983</v>
      </c>
      <c r="BO5037" s="8">
        <v>8312679.3348996472</v>
      </c>
      <c r="BP5037" s="8">
        <v>3227428.3987813159</v>
      </c>
      <c r="BQ5037" s="8">
        <v>-5085250.9361183308</v>
      </c>
      <c r="BR5037" s="8" t="str">
        <v>Yes</v>
      </c>
    </row>
    <row r="5038" spans="54:70" x14ac:dyDescent="0.2">
      <c r="BB5038" s="94"/>
      <c r="BL5038" s="8">
        <v>4989</v>
      </c>
      <c r="BM5038" s="8">
        <v>2768730.4715126026</v>
      </c>
      <c r="BN5038" s="8">
        <v>0</v>
      </c>
      <c r="BO5038" s="8">
        <v>2768730.4715126026</v>
      </c>
      <c r="BP5038" s="8">
        <v>3845580.6174775958</v>
      </c>
      <c r="BQ5038" s="8">
        <v>1076850.1459649932</v>
      </c>
      <c r="BR5038" s="8" t="str">
        <v>No</v>
      </c>
    </row>
    <row r="5039" spans="54:70" x14ac:dyDescent="0.2">
      <c r="BB5039" s="94"/>
      <c r="BL5039" s="8">
        <v>4990</v>
      </c>
      <c r="BM5039" s="8">
        <v>3983471.14374224</v>
      </c>
      <c r="BN5039" s="8">
        <v>4615192.8640077617</v>
      </c>
      <c r="BO5039" s="8">
        <v>8598664.0077500008</v>
      </c>
      <c r="BP5039" s="8">
        <v>5826320.79470364</v>
      </c>
      <c r="BQ5039" s="8">
        <v>-2772343.2130463608</v>
      </c>
      <c r="BR5039" s="8" t="str">
        <v>Yes</v>
      </c>
    </row>
    <row r="5040" spans="54:70" x14ac:dyDescent="0.2">
      <c r="BB5040" s="94"/>
      <c r="BL5040" s="8">
        <v>4991</v>
      </c>
      <c r="BM5040" s="8">
        <v>5539808.0881334525</v>
      </c>
      <c r="BN5040" s="8">
        <v>0</v>
      </c>
      <c r="BO5040" s="8">
        <v>5539808.0881334525</v>
      </c>
      <c r="BP5040" s="8">
        <v>3352550.0919450871</v>
      </c>
      <c r="BQ5040" s="8">
        <v>-2187257.9961883654</v>
      </c>
      <c r="BR5040" s="8" t="str">
        <v>Yes</v>
      </c>
    </row>
    <row r="5041" spans="54:70" x14ac:dyDescent="0.2">
      <c r="BB5041" s="94"/>
      <c r="BL5041" s="8">
        <v>4992</v>
      </c>
      <c r="BM5041" s="8">
        <v>4735597.2769348267</v>
      </c>
      <c r="BN5041" s="8">
        <v>0</v>
      </c>
      <c r="BO5041" s="8">
        <v>4735597.2769348267</v>
      </c>
      <c r="BP5041" s="8">
        <v>3325163.3804422463</v>
      </c>
      <c r="BQ5041" s="8">
        <v>-1410433.8964925804</v>
      </c>
      <c r="BR5041" s="8" t="str">
        <v>Yes</v>
      </c>
    </row>
    <row r="5042" spans="54:70" x14ac:dyDescent="0.2">
      <c r="BB5042" s="94"/>
      <c r="BL5042" s="8">
        <v>4993</v>
      </c>
      <c r="BM5042" s="8">
        <v>4158090.1851826468</v>
      </c>
      <c r="BN5042" s="8">
        <v>1456331.2634210358</v>
      </c>
      <c r="BO5042" s="8">
        <v>5614421.4486036822</v>
      </c>
      <c r="BP5042" s="8">
        <v>6296005.5731856991</v>
      </c>
      <c r="BQ5042" s="8">
        <v>681584.12458201684</v>
      </c>
      <c r="BR5042" s="8" t="str">
        <v>No</v>
      </c>
    </row>
    <row r="5043" spans="54:70" x14ac:dyDescent="0.2">
      <c r="BB5043" s="94"/>
      <c r="BL5043" s="8">
        <v>4994</v>
      </c>
      <c r="BM5043" s="8">
        <v>3584515.1363570616</v>
      </c>
      <c r="BN5043" s="8">
        <v>0</v>
      </c>
      <c r="BO5043" s="8">
        <v>3584515.1363570616</v>
      </c>
      <c r="BP5043" s="8">
        <v>3249897.2662797924</v>
      </c>
      <c r="BQ5043" s="8">
        <v>-334617.87007726915</v>
      </c>
      <c r="BR5043" s="8" t="str">
        <v>Yes</v>
      </c>
    </row>
    <row r="5044" spans="54:70" x14ac:dyDescent="0.2">
      <c r="BB5044" s="94"/>
      <c r="BL5044" s="8">
        <v>4995</v>
      </c>
      <c r="BM5044" s="8">
        <v>5628994.4309599511</v>
      </c>
      <c r="BN5044" s="8">
        <v>0</v>
      </c>
      <c r="BO5044" s="8">
        <v>5628994.4309599511</v>
      </c>
      <c r="BP5044" s="8">
        <v>2399071.8918158957</v>
      </c>
      <c r="BQ5044" s="8">
        <v>-3229922.5391440555</v>
      </c>
      <c r="BR5044" s="8" t="str">
        <v>Yes</v>
      </c>
    </row>
    <row r="5045" spans="54:70" x14ac:dyDescent="0.2">
      <c r="BB5045" s="94"/>
      <c r="BL5045" s="8">
        <v>4996</v>
      </c>
      <c r="BM5045" s="8">
        <v>3913344.8763262792</v>
      </c>
      <c r="BN5045" s="8">
        <v>0</v>
      </c>
      <c r="BO5045" s="8">
        <v>3913344.8763262792</v>
      </c>
      <c r="BP5045" s="8">
        <v>4292111.1677169809</v>
      </c>
      <c r="BQ5045" s="8">
        <v>378766.29139070166</v>
      </c>
      <c r="BR5045" s="8" t="str">
        <v>No</v>
      </c>
    </row>
    <row r="5046" spans="54:70" x14ac:dyDescent="0.2">
      <c r="BB5046" s="94"/>
      <c r="BL5046" s="8">
        <v>4997</v>
      </c>
      <c r="BM5046" s="8">
        <v>3925994.1714832438</v>
      </c>
      <c r="BN5046" s="8">
        <v>4265104.2909307117</v>
      </c>
      <c r="BO5046" s="8">
        <v>8191098.4624139555</v>
      </c>
      <c r="BP5046" s="8">
        <v>3590037.5827759667</v>
      </c>
      <c r="BQ5046" s="8">
        <v>-4601060.8796379883</v>
      </c>
      <c r="BR5046" s="8" t="str">
        <v>Yes</v>
      </c>
    </row>
    <row r="5047" spans="54:70" x14ac:dyDescent="0.2">
      <c r="BB5047" s="94"/>
      <c r="BL5047" s="8">
        <v>4998</v>
      </c>
      <c r="BM5047" s="8">
        <v>4786192.6287128162</v>
      </c>
      <c r="BN5047" s="8">
        <v>0</v>
      </c>
      <c r="BO5047" s="8">
        <v>4786192.6287128162</v>
      </c>
      <c r="BP5047" s="8">
        <v>4228753.9990417231</v>
      </c>
      <c r="BQ5047" s="8">
        <v>-557438.62967109308</v>
      </c>
      <c r="BR5047" s="8" t="str">
        <v>Yes</v>
      </c>
    </row>
    <row r="5048" spans="54:70" x14ac:dyDescent="0.2">
      <c r="BB5048" s="94"/>
      <c r="BL5048" s="8">
        <v>4999</v>
      </c>
      <c r="BM5048" s="8">
        <v>3098108.0603902759</v>
      </c>
      <c r="BN5048" s="8">
        <v>2191426.7543154261</v>
      </c>
      <c r="BO5048" s="8">
        <v>5289534.8147057015</v>
      </c>
      <c r="BP5048" s="8">
        <v>3154998.9680163562</v>
      </c>
      <c r="BQ5048" s="8">
        <v>-2134535.8466893453</v>
      </c>
      <c r="BR5048" s="8" t="str">
        <v>Yes</v>
      </c>
    </row>
    <row r="5049" spans="54:70" x14ac:dyDescent="0.2">
      <c r="BB5049" s="94"/>
      <c r="BL5049" s="8">
        <v>5000</v>
      </c>
      <c r="BM5049" s="8">
        <v>4051162.8759216922</v>
      </c>
      <c r="BN5049" s="8">
        <v>0</v>
      </c>
      <c r="BO5049" s="8">
        <v>4051162.8759216922</v>
      </c>
      <c r="BP5049" s="8">
        <v>3347517.4668529872</v>
      </c>
      <c r="BQ5049" s="8">
        <v>-703645.40906870505</v>
      </c>
      <c r="BR5049" s="8" t="str">
        <v>Yes</v>
      </c>
    </row>
    <row r="5050" spans="54:70" x14ac:dyDescent="0.2">
      <c r="BB5050" s="94"/>
    </row>
    <row r="5051" spans="54:70" x14ac:dyDescent="0.2">
      <c r="BB5051" s="94"/>
    </row>
    <row r="5052" spans="54:70" x14ac:dyDescent="0.2">
      <c r="BB5052" s="94"/>
    </row>
    <row r="5053" spans="54:70" x14ac:dyDescent="0.2">
      <c r="BB5053" s="94"/>
    </row>
    <row r="5054" spans="54:70" x14ac:dyDescent="0.2">
      <c r="BB5054" s="94"/>
    </row>
    <row r="5055" spans="54:70" x14ac:dyDescent="0.2">
      <c r="BB5055" s="94"/>
    </row>
    <row r="5056" spans="54:70" x14ac:dyDescent="0.2">
      <c r="BB5056" s="94"/>
    </row>
    <row r="5057" spans="54:54" x14ac:dyDescent="0.2">
      <c r="BB5057" s="94"/>
    </row>
    <row r="5058" spans="54:54" x14ac:dyDescent="0.2">
      <c r="BB5058" s="94"/>
    </row>
    <row r="5059" spans="54:54" x14ac:dyDescent="0.2">
      <c r="BB5059" s="94"/>
    </row>
    <row r="5060" spans="54:54" x14ac:dyDescent="0.2">
      <c r="BB5060" s="94"/>
    </row>
    <row r="5061" spans="54:54" x14ac:dyDescent="0.2">
      <c r="BB5061" s="94"/>
    </row>
    <row r="5062" spans="54:54" x14ac:dyDescent="0.2">
      <c r="BB5062" s="94"/>
    </row>
  </sheetData>
  <autoFilter ref="BL49:BR5049" xr:uid="{10FA8AF9-2F45-4345-AB29-DB4A6C0ADB5A}"/>
  <mergeCells count="17">
    <mergeCell ref="A9:P10"/>
    <mergeCell ref="BQ12:CF13"/>
    <mergeCell ref="U1:Z2"/>
    <mergeCell ref="P1:Q2"/>
    <mergeCell ref="P3:Q4"/>
    <mergeCell ref="O3:O4"/>
    <mergeCell ref="M1:O1"/>
    <mergeCell ref="A54:BC57"/>
    <mergeCell ref="Q7:Q8"/>
    <mergeCell ref="I1:J2"/>
    <mergeCell ref="K1:L2"/>
    <mergeCell ref="I3:J4"/>
    <mergeCell ref="K3:L4"/>
    <mergeCell ref="R1:S2"/>
    <mergeCell ref="R3:S4"/>
    <mergeCell ref="M3:M4"/>
    <mergeCell ref="N3:N4"/>
  </mergeCells>
  <dataValidations count="2">
    <dataValidation type="list" allowBlank="1" showInputMessage="1" showErrorMessage="1" sqref="W10" xr:uid="{7B028BBA-0551-D041-9072-D3C2A9D66E26}">
      <formula1>$U$8:$W$8</formula1>
    </dataValidation>
    <dataValidation type="list" allowBlank="1" showInputMessage="1" showErrorMessage="1" sqref="V10" xr:uid="{D166277E-1549-7349-8890-4438146F7F0B}">
      <formula1>$U$8:$X$8</formula1>
    </dataValidation>
  </dataValidations>
  <hyperlinks>
    <hyperlink ref="BT51" r:id="rId1" xr:uid="{AE3DFEED-D1F6-D240-A686-47298937E088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673CC-634E-4DC7-A16F-10F773F12D84}">
  <dimension ref="A1:P5025"/>
  <sheetViews>
    <sheetView zoomScale="94" zoomScaleNormal="70" workbookViewId="0">
      <selection activeCell="I44" sqref="I44"/>
    </sheetView>
  </sheetViews>
  <sheetFormatPr baseColWidth="10" defaultColWidth="8.83203125" defaultRowHeight="15" x14ac:dyDescent="0.2"/>
  <cols>
    <col min="1" max="1" width="7.5" customWidth="1"/>
    <col min="2" max="2" width="20.6640625" customWidth="1"/>
    <col min="3" max="3" width="9.83203125" customWidth="1"/>
    <col min="4" max="4" width="27.83203125" customWidth="1"/>
    <col min="5" max="5" width="26.5" customWidth="1"/>
    <col min="6" max="6" width="22.83203125" customWidth="1"/>
    <col min="7" max="7" width="27.83203125" customWidth="1"/>
    <col min="8" max="8" width="22.5" customWidth="1"/>
    <col min="9" max="9" width="22" customWidth="1"/>
    <col min="10" max="10" width="14.1640625" customWidth="1"/>
    <col min="11" max="11" width="18.1640625" customWidth="1"/>
    <col min="12" max="12" width="19" customWidth="1"/>
  </cols>
  <sheetData>
    <row r="1" spans="1:12" x14ac:dyDescent="0.2">
      <c r="A1" s="60" t="s">
        <v>28</v>
      </c>
      <c r="B1" s="61" t="s">
        <v>79</v>
      </c>
      <c r="C1" s="61" t="s">
        <v>30</v>
      </c>
      <c r="D1" s="61" t="s">
        <v>80</v>
      </c>
      <c r="E1" s="61" t="s">
        <v>81</v>
      </c>
      <c r="F1" s="61" t="s">
        <v>82</v>
      </c>
      <c r="G1" s="61" t="s">
        <v>83</v>
      </c>
      <c r="H1" s="61" t="s">
        <v>84</v>
      </c>
      <c r="I1" s="61" t="s">
        <v>85</v>
      </c>
      <c r="J1" s="61" t="s">
        <v>86</v>
      </c>
      <c r="K1" s="61" t="s">
        <v>87</v>
      </c>
      <c r="L1" s="66" t="s">
        <v>88</v>
      </c>
    </row>
    <row r="2" spans="1:12" x14ac:dyDescent="0.2">
      <c r="A2" s="62"/>
      <c r="B2" s="63">
        <v>1</v>
      </c>
      <c r="C2" s="63">
        <v>66</v>
      </c>
      <c r="D2" s="76">
        <f ca="1">'Pre-Retirement_cal'!AX48</f>
        <v>143809.59116451067</v>
      </c>
      <c r="E2" s="44">
        <f ca="1">D2/K2</f>
        <v>2.8948334063138775E-2</v>
      </c>
      <c r="F2" s="76">
        <f>'Lifestyle Strategy'!$M$22*(1+'Lifestyle Strategy'!$M$16)^('Lifestyle Strategy'!$M$23 + B2-1)</f>
        <v>54583.719279523524</v>
      </c>
      <c r="G2" s="76">
        <f ca="1">D2-F2</f>
        <v>89225.871884987137</v>
      </c>
      <c r="H2" s="44">
        <f ca="1">G2/K2</f>
        <v>1.7960835056172856E-2</v>
      </c>
      <c r="I2" s="45">
        <f ca="1">IFERROR(_xlfn.NORM.INV(RAND(),'Lifestyle Strategy'!$M$27,'Lifestyle Strategy'!$M$28),0)</f>
        <v>5.2663362000977348E-2</v>
      </c>
      <c r="J2" s="76">
        <f ca="1">'Lifestyle Strategy'!$M$26*I2</f>
        <v>252996.44484895663</v>
      </c>
      <c r="K2" s="76">
        <f ca="1">('Pre-Retirement_cal'!$BB$48 + J2)-G2</f>
        <v>4967801.9761292562</v>
      </c>
      <c r="L2" s="77">
        <f ca="1">IF('Post-Retirement_Cal'!$K2&lt;0, ABS('Post-Retirement_Cal'!$K2),0)</f>
        <v>0</v>
      </c>
    </row>
    <row r="3" spans="1:12" x14ac:dyDescent="0.2">
      <c r="A3" s="62"/>
      <c r="B3" s="63">
        <v>2</v>
      </c>
      <c r="C3" s="63">
        <v>67</v>
      </c>
      <c r="D3" s="76">
        <f ca="1">IF(C3&lt;'Lifestyle Strategy'!$M$14, 0,
   'Lifestyle Strategy'!$M$15 *
   (1 + 'Lifestyle Strategy'!$M$16)^(C3-'Lifestyle Strategy'!$M$14) *
   (1 + IF(RAND() &lt; (0.08 - 0.06) / (0.1 - 0.06),
             0.06 + SQRT(RAND() * (0.08 - 0.06) * (0.1 - 0.06)),
             0.1 - SQRT((1 - RAND()) * (0.1 - 0.08) * (0.1 - 0.06))
         ))^INT((C3-'Lifestyle Strategy'!$M$14)/5)
)</f>
        <v>147404.83094362341</v>
      </c>
      <c r="E3" s="44">
        <f t="shared" ref="E3:E21" ca="1" si="0">D3/K3</f>
        <v>3.0644457830865487E-2</v>
      </c>
      <c r="F3" s="76">
        <f>'Lifestyle Strategy'!$M$22*(1+'Lifestyle Strategy'!$M$16)^('Lifestyle Strategy'!$M$23 + B3-1)</f>
        <v>55948.312261511615</v>
      </c>
      <c r="G3" s="76">
        <f t="shared" ref="G3:G21" ca="1" si="1">D3-F3</f>
        <v>91456.518682111797</v>
      </c>
      <c r="H3" s="44">
        <f t="shared" ref="H3:H21" ca="1" si="2">G3/K3</f>
        <v>1.9013185742763311E-2</v>
      </c>
      <c r="I3" s="45">
        <f ca="1">IFERROR(_xlfn.NORM.INV(RAND(),'Lifestyle Strategy'!$M$27,'Lifestyle Strategy'!$M$28),0)</f>
        <v>-1.33223229010394E-2</v>
      </c>
      <c r="J3" s="76">
        <f ca="1">K2*I3</f>
        <v>-66182.662034415582</v>
      </c>
      <c r="K3" s="76">
        <f ca="1">(K2+J3)-G3</f>
        <v>4810162.7954127286</v>
      </c>
      <c r="L3" s="77">
        <f ca="1">IF('Post-Retirement_Cal'!$K3&lt;0, ABS('Post-Retirement_Cal'!$K3),0)</f>
        <v>0</v>
      </c>
    </row>
    <row r="4" spans="1:12" x14ac:dyDescent="0.2">
      <c r="A4" s="62"/>
      <c r="B4" s="63">
        <v>3</v>
      </c>
      <c r="C4" s="63">
        <v>68</v>
      </c>
      <c r="D4" s="76">
        <f ca="1">IF(C4&lt;'Lifestyle Strategy'!$M$14, 0,
   'Lifestyle Strategy'!$M$15 *
   (1 + 'Lifestyle Strategy'!$M$16)^(C4-'Lifestyle Strategy'!$M$14) *
   (1 + IF(RAND() &lt; (0.08 - 0.06) / (0.1 - 0.06),
             0.06 + SQRT(RAND() * (0.08 - 0.06) * (0.1 - 0.06)),
             0.1 - SQRT((1 - RAND()) * (0.1 - 0.08) * (0.1 - 0.06))
         ))^INT((C4-'Lifestyle Strategy'!$M$14)/5)
)</f>
        <v>151089.95171721402</v>
      </c>
      <c r="E4" s="44">
        <f t="shared" ca="1" si="0"/>
        <v>3.2286595788392845E-2</v>
      </c>
      <c r="F4" s="76">
        <f>'Lifestyle Strategy'!$M$22*(1+'Lifestyle Strategy'!$M$16)^('Lifestyle Strategy'!$M$23 + B4-1)</f>
        <v>57347.020068049402</v>
      </c>
      <c r="G4" s="76">
        <f t="shared" ca="1" si="1"/>
        <v>93742.931649164617</v>
      </c>
      <c r="H4" s="44">
        <f t="shared" ca="1" si="2"/>
        <v>2.0032041229586843E-2</v>
      </c>
      <c r="I4" s="45">
        <f ca="1">IFERROR(_xlfn.NORM.INV(RAND(),'Lifestyle Strategy'!$M$27,'Lifestyle Strategy'!$M$28),0)</f>
        <v>-7.6443083246966193E-3</v>
      </c>
      <c r="J4" s="76">
        <f t="shared" ref="J4:J21" ca="1" si="3">K3*I4</f>
        <v>-36770.367500119479</v>
      </c>
      <c r="K4" s="76">
        <f t="shared" ref="K4:K21" ca="1" si="4">(K3+J4)-G4</f>
        <v>4679649.4962634444</v>
      </c>
      <c r="L4" s="77">
        <f ca="1">IF('Post-Retirement_Cal'!$K4&lt;0, ABS('Post-Retirement_Cal'!$K4),0)</f>
        <v>0</v>
      </c>
    </row>
    <row r="5" spans="1:12" x14ac:dyDescent="0.2">
      <c r="A5" s="62"/>
      <c r="B5" s="63">
        <v>4</v>
      </c>
      <c r="C5" s="63">
        <v>69</v>
      </c>
      <c r="D5" s="76">
        <f ca="1">IF(C5&lt;'Lifestyle Strategy'!$M$14, 0,
   'Lifestyle Strategy'!$M$15 *
   (1 + 'Lifestyle Strategy'!$M$16)^(C5-'Lifestyle Strategy'!$M$14) *
   (1 + IF(RAND() &lt; (0.08 - 0.06) / (0.1 - 0.06),
             0.06 + SQRT(RAND() * (0.08 - 0.06) * (0.1 - 0.06)),
             0.1 - SQRT((1 - RAND()) * (0.1 - 0.08) * (0.1 - 0.06))
         ))^INT((C5-'Lifestyle Strategy'!$M$14)/5)
)</f>
        <v>154867.20051014435</v>
      </c>
      <c r="E5" s="44">
        <f t="shared" ca="1" si="0"/>
        <v>3.2327006928954606E-2</v>
      </c>
      <c r="F5" s="76">
        <f>'Lifestyle Strategy'!$M$22*(1+'Lifestyle Strategy'!$M$16)^('Lifestyle Strategy'!$M$23 + B5-1)</f>
        <v>58780.69556975062</v>
      </c>
      <c r="G5" s="76">
        <f t="shared" ca="1" si="1"/>
        <v>96086.50494039373</v>
      </c>
      <c r="H5" s="44">
        <f t="shared" ca="1" si="2"/>
        <v>2.0057114100049046E-2</v>
      </c>
      <c r="I5" s="45">
        <f ca="1">IFERROR(_xlfn.NORM.INV(RAND(),'Lifestyle Strategy'!$M$27,'Lifestyle Strategy'!$M$28),0)</f>
        <v>4.4251516736845645E-2</v>
      </c>
      <c r="J5" s="76">
        <f t="shared" ca="1" si="3"/>
        <v>207081.58800647309</v>
      </c>
      <c r="K5" s="76">
        <f t="shared" ca="1" si="4"/>
        <v>4790644.5793295242</v>
      </c>
      <c r="L5" s="77">
        <f ca="1">IF('Post-Retirement_Cal'!$K5&lt;0, ABS('Post-Retirement_Cal'!$K5),0)</f>
        <v>0</v>
      </c>
    </row>
    <row r="6" spans="1:12" x14ac:dyDescent="0.2">
      <c r="A6" s="62"/>
      <c r="B6" s="63">
        <v>5</v>
      </c>
      <c r="C6" s="63">
        <v>70</v>
      </c>
      <c r="D6" s="76">
        <f ca="1">IF(C6&lt;'Lifestyle Strategy'!$M$14, 0,
   'Lifestyle Strategy'!$M$15 *
   (1 + 'Lifestyle Strategy'!$M$16)^(C6-'Lifestyle Strategy'!$M$14) *
   (1 + IF(RAND() &lt; (0.08 - 0.06) / (0.1 - 0.06),
             0.06 + SQRT(RAND() * (0.08 - 0.06) * (0.1 - 0.06)),
             0.1 - SQRT((1 - RAND()) * (0.1 - 0.08) * (0.1 - 0.06))
         ))^INT((C6-'Lifestyle Strategy'!$M$14)/5)
)</f>
        <v>158738.88052289793</v>
      </c>
      <c r="E6" s="44">
        <f t="shared" ca="1" si="0"/>
        <v>3.2807586250019082E-2</v>
      </c>
      <c r="F6" s="76">
        <f>'Lifestyle Strategy'!$M$22*(1+'Lifestyle Strategy'!$M$16)^('Lifestyle Strategy'!$M$23 + B6-1)</f>
        <v>60250.212958994394</v>
      </c>
      <c r="G6" s="76">
        <f t="shared" ca="1" si="1"/>
        <v>98488.667563903538</v>
      </c>
      <c r="H6" s="44">
        <f t="shared" ca="1" si="2"/>
        <v>2.0355286903299838E-2</v>
      </c>
      <c r="I6" s="45">
        <f ca="1">IFERROR(_xlfn.NORM.INV(RAND(),'Lifestyle Strategy'!$M$27,'Lifestyle Strategy'!$M$28),0)</f>
        <v>3.0543910874934427E-2</v>
      </c>
      <c r="J6" s="76">
        <f t="shared" ca="1" si="3"/>
        <v>146325.02106452873</v>
      </c>
      <c r="K6" s="76">
        <f t="shared" ca="1" si="4"/>
        <v>4838480.9328301502</v>
      </c>
      <c r="L6" s="77">
        <f ca="1">IF('Post-Retirement_Cal'!$K6&lt;0, ABS('Post-Retirement_Cal'!$K6),0)</f>
        <v>0</v>
      </c>
    </row>
    <row r="7" spans="1:12" x14ac:dyDescent="0.2">
      <c r="A7" s="62"/>
      <c r="B7" s="63">
        <v>6</v>
      </c>
      <c r="C7" s="63">
        <v>71</v>
      </c>
      <c r="D7" s="76">
        <f ca="1">IF(C7&lt;'Lifestyle Strategy'!$M$14, 0,
   'Lifestyle Strategy'!$M$15 *
   (1 + 'Lifestyle Strategy'!$M$16)^(C7-'Lifestyle Strategy'!$M$14) *
   (1 + IF(RAND() &lt; (0.08 - 0.06) / (0.1 - 0.06),
             0.06 + SQRT(RAND() * (0.08 - 0.06) * (0.1 - 0.06)),
             0.1 - SQRT((1 - RAND()) * (0.1 - 0.08) * (0.1 - 0.06))
         ))^INT((C7-'Lifestyle Strategy'!$M$14)/5)
)</f>
        <v>176463.53702081827</v>
      </c>
      <c r="E7" s="44">
        <f t="shared" ca="1" si="0"/>
        <v>3.4510773048255027E-2</v>
      </c>
      <c r="F7" s="76">
        <f>'Lifestyle Strategy'!$M$22*(1+'Lifestyle Strategy'!$M$16)^('Lifestyle Strategy'!$M$23 + B7-1)</f>
        <v>61756.468282969247</v>
      </c>
      <c r="G7" s="76">
        <f t="shared" ca="1" si="1"/>
        <v>114707.06873784903</v>
      </c>
      <c r="H7" s="44">
        <f t="shared" ca="1" si="2"/>
        <v>2.243313085000375E-2</v>
      </c>
      <c r="I7" s="45">
        <f ca="1">IFERROR(_xlfn.NORM.INV(RAND(),'Lifestyle Strategy'!$M$27,'Lifestyle Strategy'!$M$28),0)</f>
        <v>8.0503485557868182E-2</v>
      </c>
      <c r="J7" s="76">
        <f t="shared" ca="1" si="3"/>
        <v>389514.57989811257</v>
      </c>
      <c r="K7" s="76">
        <f t="shared" ca="1" si="4"/>
        <v>5113288.443990414</v>
      </c>
      <c r="L7" s="77">
        <f ca="1">IF('Post-Retirement_Cal'!$K7&lt;0, ABS('Post-Retirement_Cal'!$K7),0)</f>
        <v>0</v>
      </c>
    </row>
    <row r="8" spans="1:12" x14ac:dyDescent="0.2">
      <c r="A8" s="62"/>
      <c r="B8" s="63">
        <v>7</v>
      </c>
      <c r="C8" s="63">
        <v>72</v>
      </c>
      <c r="D8" s="76">
        <f ca="1">IF(C8&lt;'Lifestyle Strategy'!$M$14, 0,
   'Lifestyle Strategy'!$M$15 *
   (1 + 'Lifestyle Strategy'!$M$16)^(C8-'Lifestyle Strategy'!$M$14) *
   (1 + IF(RAND() &lt; (0.08 - 0.06) / (0.1 - 0.06),
             0.06 + SQRT(RAND() * (0.08 - 0.06) * (0.1 - 0.06)),
             0.1 - SQRT((1 - RAND()) * (0.1 - 0.08) * (0.1 - 0.06))
         ))^INT((C8-'Lifestyle Strategy'!$M$14)/5)
)</f>
        <v>181417.17235875191</v>
      </c>
      <c r="E8" s="44">
        <f t="shared" ca="1" si="0"/>
        <v>3.5192521125099255E-2</v>
      </c>
      <c r="F8" s="76">
        <f>'Lifestyle Strategy'!$M$22*(1+'Lifestyle Strategy'!$M$16)^('Lifestyle Strategy'!$M$23 + B8-1)</f>
        <v>63300.379990043475</v>
      </c>
      <c r="G8" s="76">
        <f t="shared" ca="1" si="1"/>
        <v>118116.79236870844</v>
      </c>
      <c r="H8" s="44">
        <f t="shared" ca="1" si="2"/>
        <v>2.2913088417256446E-2</v>
      </c>
      <c r="I8" s="45">
        <f ca="1">IFERROR(_xlfn.NORM.INV(RAND(),'Lifestyle Strategy'!$M$27,'Lifestyle Strategy'!$M$28),0)</f>
        <v>3.1255925265109764E-2</v>
      </c>
      <c r="J8" s="76">
        <f t="shared" ca="1" si="3"/>
        <v>159820.56146431377</v>
      </c>
      <c r="K8" s="76">
        <f t="shared" ca="1" si="4"/>
        <v>5154992.2130860193</v>
      </c>
      <c r="L8" s="77">
        <f ca="1">IF('Post-Retirement_Cal'!$K8&lt;0, ABS('Post-Retirement_Cal'!$K8),0)</f>
        <v>0</v>
      </c>
    </row>
    <row r="9" spans="1:12" x14ac:dyDescent="0.2">
      <c r="A9" s="62"/>
      <c r="B9" s="63">
        <v>8</v>
      </c>
      <c r="C9" s="63">
        <v>73</v>
      </c>
      <c r="D9" s="76">
        <f ca="1">IF(C9&lt;'Lifestyle Strategy'!$M$14, 0,
   'Lifestyle Strategy'!$M$15 *
   (1 + 'Lifestyle Strategy'!$M$16)^(C9-'Lifestyle Strategy'!$M$14) *
   (1 + IF(RAND() &lt; (0.08 - 0.06) / (0.1 - 0.06),
             0.06 + SQRT(RAND() * (0.08 - 0.06) * (0.1 - 0.06)),
             0.1 - SQRT((1 - RAND()) * (0.1 - 0.08) * (0.1 - 0.06))
         ))^INT((C9-'Lifestyle Strategy'!$M$14)/5)
)</f>
        <v>183362.23597785653</v>
      </c>
      <c r="E9" s="44">
        <f t="shared" ca="1" si="0"/>
        <v>3.7167883187897328E-2</v>
      </c>
      <c r="F9" s="76">
        <f>'Lifestyle Strategy'!$M$22*(1+'Lifestyle Strategy'!$M$16)^('Lifestyle Strategy'!$M$23 + B9-1)</f>
        <v>64882.889489794557</v>
      </c>
      <c r="G9" s="76">
        <f t="shared" ca="1" si="1"/>
        <v>118479.34648806197</v>
      </c>
      <c r="H9" s="44">
        <f t="shared" ca="1" si="2"/>
        <v>2.4015994825556653E-2</v>
      </c>
      <c r="I9" s="45">
        <f ca="1">IFERROR(_xlfn.NORM.INV(RAND(),'Lifestyle Strategy'!$M$27,'Lifestyle Strategy'!$M$28),0)</f>
        <v>-2.0011915199477398E-2</v>
      </c>
      <c r="J9" s="76">
        <f t="shared" ca="1" si="3"/>
        <v>-103161.26702224374</v>
      </c>
      <c r="K9" s="76">
        <f t="shared" ca="1" si="4"/>
        <v>4933351.5995757133</v>
      </c>
      <c r="L9" s="77">
        <f ca="1">IF('Post-Retirement_Cal'!$K9&lt;0, ABS('Post-Retirement_Cal'!$K9),0)</f>
        <v>0</v>
      </c>
    </row>
    <row r="10" spans="1:12" x14ac:dyDescent="0.2">
      <c r="A10" s="62"/>
      <c r="B10" s="63">
        <v>9</v>
      </c>
      <c r="C10" s="63">
        <v>74</v>
      </c>
      <c r="D10" s="76">
        <f ca="1">IF(C10&lt;'Lifestyle Strategy'!$M$14, 0,
   'Lifestyle Strategy'!$M$15 *
   (1 + 'Lifestyle Strategy'!$M$16)^(C10-'Lifestyle Strategy'!$M$14) *
   (1 + IF(RAND() &lt; (0.08 - 0.06) / (0.1 - 0.06),
             0.06 + SQRT(RAND() * (0.08 - 0.06) * (0.1 - 0.06)),
             0.1 - SQRT((1 - RAND()) * (0.1 - 0.08) * (0.1 - 0.06))
         ))^INT((C10-'Lifestyle Strategy'!$M$14)/5)
)</f>
        <v>188009.96749560046</v>
      </c>
      <c r="E10" s="44">
        <f t="shared" ca="1" si="0"/>
        <v>3.910197735734279E-2</v>
      </c>
      <c r="F10" s="76">
        <f>'Lifestyle Strategy'!$M$22*(1+'Lifestyle Strategy'!$M$16)^('Lifestyle Strategy'!$M$23 + B10-1)</f>
        <v>66504.961727039423</v>
      </c>
      <c r="G10" s="76">
        <f t="shared" ca="1" si="1"/>
        <v>121505.00576856104</v>
      </c>
      <c r="H10" s="44">
        <f t="shared" ca="1" si="2"/>
        <v>2.5270394158635537E-2</v>
      </c>
      <c r="I10" s="45">
        <f ca="1">IFERROR(_xlfn.NORM.INV(RAND(),'Lifestyle Strategy'!$M$27,'Lifestyle Strategy'!$M$28),0)</f>
        <v>-7.4000128858247444E-4</v>
      </c>
      <c r="J10" s="76">
        <f t="shared" ca="1" si="3"/>
        <v>-3650.6865407164391</v>
      </c>
      <c r="K10" s="76">
        <f t="shared" ca="1" si="4"/>
        <v>4808195.9072664361</v>
      </c>
      <c r="L10" s="77">
        <f ca="1">IF('Post-Retirement_Cal'!$K10&lt;0, ABS('Post-Retirement_Cal'!$K10),0)</f>
        <v>0</v>
      </c>
    </row>
    <row r="11" spans="1:12" x14ac:dyDescent="0.2">
      <c r="A11" s="62"/>
      <c r="B11" s="63">
        <v>10</v>
      </c>
      <c r="C11" s="63">
        <v>75</v>
      </c>
      <c r="D11" s="76">
        <f ca="1">IF(C11&lt;'Lifestyle Strategy'!$M$14, 0,
   'Lifestyle Strategy'!$M$15 *
   (1 + 'Lifestyle Strategy'!$M$16)^(C11-'Lifestyle Strategy'!$M$14) *
   (1 + IF(RAND() &lt; (0.08 - 0.06) / (0.1 - 0.06),
             0.06 + SQRT(RAND() * (0.08 - 0.06) * (0.1 - 0.06)),
             0.1 - SQRT((1 - RAND()) * (0.1 - 0.08) * (0.1 - 0.06))
         ))^INT((C11-'Lifestyle Strategy'!$M$14)/5)
)</f>
        <v>193969.50755339969</v>
      </c>
      <c r="E11" s="44">
        <f t="shared" ca="1" si="0"/>
        <v>4.2545322244034199E-2</v>
      </c>
      <c r="F11" s="76">
        <f>'Lifestyle Strategy'!$M$22*(1+'Lifestyle Strategy'!$M$16)^('Lifestyle Strategy'!$M$23 + B11-1)</f>
        <v>68167.585770215403</v>
      </c>
      <c r="G11" s="76">
        <f t="shared" ca="1" si="1"/>
        <v>125801.92178318428</v>
      </c>
      <c r="H11" s="44">
        <f t="shared" ca="1" si="2"/>
        <v>2.7593426248766859E-2</v>
      </c>
      <c r="I11" s="45">
        <f ca="1">IFERROR(_xlfn.NORM.INV(RAND(),'Lifestyle Strategy'!$M$27,'Lifestyle Strategy'!$M$28),0)</f>
        <v>-2.5636944407859082E-2</v>
      </c>
      <c r="J11" s="76">
        <f t="shared" ca="1" si="3"/>
        <v>-123267.45117668518</v>
      </c>
      <c r="K11" s="76">
        <f t="shared" ca="1" si="4"/>
        <v>4559126.5343065662</v>
      </c>
      <c r="L11" s="77">
        <f ca="1">IF('Post-Retirement_Cal'!$K11&lt;0, ABS('Post-Retirement_Cal'!$K11),0)</f>
        <v>0</v>
      </c>
    </row>
    <row r="12" spans="1:12" x14ac:dyDescent="0.2">
      <c r="A12" s="62"/>
      <c r="B12" s="63">
        <v>11</v>
      </c>
      <c r="C12" s="63">
        <v>76</v>
      </c>
      <c r="D12" s="76">
        <f ca="1">IF(C12&lt;'Lifestyle Strategy'!$M$14, 0,
   'Lifestyle Strategy'!$M$15 *
   (1 + 'Lifestyle Strategy'!$M$16)^(C12-'Lifestyle Strategy'!$M$14) *
   (1 + IF(RAND() &lt; (0.08 - 0.06) / (0.1 - 0.06),
             0.06 + SQRT(RAND() * (0.08 - 0.06) * (0.1 - 0.06)),
             0.1 - SQRT((1 - RAND()) * (0.1 - 0.08) * (0.1 - 0.06))
         ))^INT((C12-'Lifestyle Strategy'!$M$14)/5)
)</f>
        <v>214533.67600328513</v>
      </c>
      <c r="E12" s="44">
        <f t="shared" ca="1" si="0"/>
        <v>4.8005723236590629E-2</v>
      </c>
      <c r="F12" s="76">
        <f>'Lifestyle Strategy'!$M$22*(1+'Lifestyle Strategy'!$M$16)^('Lifestyle Strategy'!$M$23 + B12-1)</f>
        <v>69871.775414470787</v>
      </c>
      <c r="G12" s="76">
        <f t="shared" ca="1" si="1"/>
        <v>144661.90058881434</v>
      </c>
      <c r="H12" s="44">
        <f t="shared" ca="1" si="2"/>
        <v>3.2370671551069062E-2</v>
      </c>
      <c r="I12" s="45">
        <f ca="1">IFERROR(_xlfn.NORM.INV(RAND(),'Lifestyle Strategy'!$M$27,'Lifestyle Strategy'!$M$28),0)</f>
        <v>1.1943976941703065E-2</v>
      </c>
      <c r="J12" s="76">
        <f t="shared" ca="1" si="3"/>
        <v>54454.102200064233</v>
      </c>
      <c r="K12" s="76">
        <f t="shared" ca="1" si="4"/>
        <v>4468918.7359178159</v>
      </c>
      <c r="L12" s="77">
        <f ca="1">IF('Post-Retirement_Cal'!$K12&lt;0, ABS('Post-Retirement_Cal'!$K12),0)</f>
        <v>0</v>
      </c>
    </row>
    <row r="13" spans="1:12" x14ac:dyDescent="0.2">
      <c r="A13" s="62"/>
      <c r="B13" s="63">
        <v>12</v>
      </c>
      <c r="C13" s="63">
        <v>77</v>
      </c>
      <c r="D13" s="76">
        <f ca="1">IF(C13&lt;'Lifestyle Strategy'!$M$14, 0,
   'Lifestyle Strategy'!$M$15 *
   (1 + 'Lifestyle Strategy'!$M$16)^(C13-'Lifestyle Strategy'!$M$14) *
   (1 + IF(RAND() &lt; (0.08 - 0.06) / (0.1 - 0.06),
             0.06 + SQRT(RAND() * (0.08 - 0.06) * (0.1 - 0.06)),
             0.1 - SQRT((1 - RAND()) * (0.1 - 0.08) * (0.1 - 0.06))
         ))^INT((C13-'Lifestyle Strategy'!$M$14)/5)
)</f>
        <v>222458.01065009329</v>
      </c>
      <c r="E13" s="44">
        <f t="shared" ca="1" si="0"/>
        <v>4.4467493784617312E-2</v>
      </c>
      <c r="F13" s="76">
        <f>'Lifestyle Strategy'!$M$22*(1+'Lifestyle Strategy'!$M$16)^('Lifestyle Strategy'!$M$23 + B13-1)</f>
        <v>71618.569799832534</v>
      </c>
      <c r="G13" s="76">
        <f t="shared" ca="1" si="1"/>
        <v>150839.44085026075</v>
      </c>
      <c r="H13" s="44">
        <f t="shared" ca="1" si="2"/>
        <v>3.0151541312820364E-2</v>
      </c>
      <c r="I13" s="45">
        <f ca="1">IFERROR(_xlfn.NORM.INV(RAND(),'Lifestyle Strategy'!$M$27,'Lifestyle Strategy'!$M$28),0)</f>
        <v>0.15319846441778939</v>
      </c>
      <c r="J13" s="76">
        <f t="shared" ca="1" si="3"/>
        <v>684631.48795049789</v>
      </c>
      <c r="K13" s="76">
        <f t="shared" ca="1" si="4"/>
        <v>5002710.7830180535</v>
      </c>
      <c r="L13" s="77">
        <f ca="1">IF('Post-Retirement_Cal'!$K13&lt;0, ABS('Post-Retirement_Cal'!$K13),0)</f>
        <v>0</v>
      </c>
    </row>
    <row r="14" spans="1:12" x14ac:dyDescent="0.2">
      <c r="A14" s="62"/>
      <c r="B14" s="63">
        <v>13</v>
      </c>
      <c r="C14" s="63">
        <v>78</v>
      </c>
      <c r="D14" s="76">
        <f ca="1">IF(C14&lt;'Lifestyle Strategy'!$M$14, 0,
   'Lifestyle Strategy'!$M$15 *
   (1 + 'Lifestyle Strategy'!$M$16)^(C14-'Lifestyle Strategy'!$M$14) *
   (1 + IF(RAND() &lt; (0.08 - 0.06) / (0.1 - 0.06),
             0.06 + SQRT(RAND() * (0.08 - 0.06) * (0.1 - 0.06)),
             0.1 - SQRT((1 - RAND()) * (0.1 - 0.08) * (0.1 - 0.06))
         ))^INT((C14-'Lifestyle Strategy'!$M$14)/5)
)</f>
        <v>227075.29818854385</v>
      </c>
      <c r="E14" s="44">
        <f t="shared" ca="1" si="0"/>
        <v>4.5639164749196305E-2</v>
      </c>
      <c r="F14" s="76">
        <f>'Lifestyle Strategy'!$M$22*(1+'Lifestyle Strategy'!$M$16)^('Lifestyle Strategy'!$M$23 + B14-1)</f>
        <v>73409.034044828368</v>
      </c>
      <c r="G14" s="76">
        <f t="shared" ca="1" si="1"/>
        <v>153666.2641437155</v>
      </c>
      <c r="H14" s="44">
        <f t="shared" ca="1" si="2"/>
        <v>3.0884909109864467E-2</v>
      </c>
      <c r="I14" s="45">
        <f ca="1">IFERROR(_xlfn.NORM.INV(RAND(),'Lifestyle Strategy'!$M$27,'Lifestyle Strategy'!$M$28),0)</f>
        <v>2.5267029158125696E-2</v>
      </c>
      <c r="J14" s="76">
        <f t="shared" ca="1" si="3"/>
        <v>126403.63922418699</v>
      </c>
      <c r="K14" s="76">
        <f t="shared" ca="1" si="4"/>
        <v>4975448.1580985244</v>
      </c>
      <c r="L14" s="77">
        <f ca="1">IF('Post-Retirement_Cal'!$K14&lt;0, ABS('Post-Retirement_Cal'!$K14),0)</f>
        <v>0</v>
      </c>
    </row>
    <row r="15" spans="1:12" x14ac:dyDescent="0.2">
      <c r="A15" s="62"/>
      <c r="B15" s="63">
        <v>14</v>
      </c>
      <c r="C15" s="63">
        <v>79</v>
      </c>
      <c r="D15" s="76">
        <f ca="1">IF(C15&lt;'Lifestyle Strategy'!$M$14, 0,
   'Lifestyle Strategy'!$M$15 *
   (1 + 'Lifestyle Strategy'!$M$16)^(C15-'Lifestyle Strategy'!$M$14) *
   (1 + IF(RAND() &lt; (0.08 - 0.06) / (0.1 - 0.06),
             0.06 + SQRT(RAND() * (0.08 - 0.06) * (0.1 - 0.06)),
             0.1 - SQRT((1 - RAND()) * (0.1 - 0.08) * (0.1 - 0.06))
         ))^INT((C15-'Lifestyle Strategy'!$M$14)/5)
)</f>
        <v>224356.21268808635</v>
      </c>
      <c r="E15" s="44">
        <f t="shared" ca="1" si="0"/>
        <v>4.4567571763251712E-2</v>
      </c>
      <c r="F15" s="76">
        <f>'Lifestyle Strategy'!$M$22*(1+'Lifestyle Strategy'!$M$16)^('Lifestyle Strategy'!$M$23 + B15-1)</f>
        <v>75244.259895949072</v>
      </c>
      <c r="G15" s="76">
        <f t="shared" ca="1" si="1"/>
        <v>149111.95279213728</v>
      </c>
      <c r="H15" s="44">
        <f t="shared" ca="1" si="2"/>
        <v>2.9620564446152589E-2</v>
      </c>
      <c r="I15" s="45">
        <f ca="1">IFERROR(_xlfn.NORM.INV(RAND(),'Lifestyle Strategy'!$M$27,'Lifestyle Strategy'!$M$28),0)</f>
        <v>4.1751490080722396E-2</v>
      </c>
      <c r="J15" s="76">
        <f t="shared" ca="1" si="3"/>
        <v>207732.37441999905</v>
      </c>
      <c r="K15" s="76">
        <f t="shared" ca="1" si="4"/>
        <v>5034068.5797263868</v>
      </c>
      <c r="L15" s="77">
        <f ca="1">IF('Post-Retirement_Cal'!$K15&lt;0, ABS('Post-Retirement_Cal'!$K15),0)</f>
        <v>0</v>
      </c>
    </row>
    <row r="16" spans="1:12" x14ac:dyDescent="0.2">
      <c r="A16" s="62"/>
      <c r="B16" s="63">
        <v>15</v>
      </c>
      <c r="C16" s="63">
        <v>80</v>
      </c>
      <c r="D16" s="76">
        <f ca="1">IF(C16&lt;'Lifestyle Strategy'!$M$14, 0,
   'Lifestyle Strategy'!$M$15 *
   (1 + 'Lifestyle Strategy'!$M$16)^(C16-'Lifestyle Strategy'!$M$14) *
   (1 + IF(RAND() &lt; (0.08 - 0.06) / (0.1 - 0.06),
             0.06 + SQRT(RAND() * (0.08 - 0.06) * (0.1 - 0.06)),
             0.1 - SQRT((1 - RAND()) * (0.1 - 0.08) * (0.1 - 0.06))
         ))^INT((C16-'Lifestyle Strategy'!$M$14)/5)
)</f>
        <v>243777.20744414019</v>
      </c>
      <c r="E16" s="44">
        <f t="shared" ca="1" si="0"/>
        <v>5.3246824375304057E-2</v>
      </c>
      <c r="F16" s="76">
        <f>'Lifestyle Strategy'!$M$22*(1+'Lifestyle Strategy'!$M$16)^('Lifestyle Strategy'!$M$23 + B16-1)</f>
        <v>77125.36639334778</v>
      </c>
      <c r="G16" s="76">
        <f t="shared" ca="1" si="1"/>
        <v>166651.84105079243</v>
      </c>
      <c r="H16" s="44">
        <f t="shared" ca="1" si="2"/>
        <v>3.6400783343479605E-2</v>
      </c>
      <c r="I16" s="45">
        <f ca="1">IFERROR(_xlfn.NORM.INV(RAND(),'Lifestyle Strategy'!$M$27,'Lifestyle Strategy'!$M$28),0)</f>
        <v>-5.7442201738205738E-2</v>
      </c>
      <c r="J16" s="76">
        <f t="shared" ca="1" si="3"/>
        <v>-289167.98292060592</v>
      </c>
      <c r="K16" s="76">
        <f t="shared" ca="1" si="4"/>
        <v>4578248.7557549886</v>
      </c>
      <c r="L16" s="77">
        <f ca="1">IF('Post-Retirement_Cal'!$K16&lt;0, ABS('Post-Retirement_Cal'!$K16),0)</f>
        <v>0</v>
      </c>
    </row>
    <row r="17" spans="1:16" x14ac:dyDescent="0.2">
      <c r="A17" s="62"/>
      <c r="B17" s="63">
        <v>16</v>
      </c>
      <c r="C17" s="63">
        <v>81</v>
      </c>
      <c r="D17" s="76">
        <f ca="1">IF(C17&lt;'Lifestyle Strategy'!$M$14, 0,
   'Lifestyle Strategy'!$M$15 *
   (1 + 'Lifestyle Strategy'!$M$16)^(C17-'Lifestyle Strategy'!$M$14) *
   (1 + IF(RAND() &lt; (0.08 - 0.06) / (0.1 - 0.06),
             0.06 + SQRT(RAND() * (0.08 - 0.06) * (0.1 - 0.06)),
             0.1 - SQRT((1 - RAND()) * (0.1 - 0.08) * (0.1 - 0.06))
         ))^INT((C17-'Lifestyle Strategy'!$M$14)/5)
)</f>
        <v>268090.98625508737</v>
      </c>
      <c r="E17" s="44">
        <f t="shared" ca="1" si="0"/>
        <v>5.5802875752227706E-2</v>
      </c>
      <c r="F17" s="76">
        <f>'Lifestyle Strategy'!$M$22*(1+'Lifestyle Strategy'!$M$16)^('Lifestyle Strategy'!$M$23 + B17-1)</f>
        <v>79053.500553181482</v>
      </c>
      <c r="G17" s="76">
        <f t="shared" ca="1" si="1"/>
        <v>189037.48570190588</v>
      </c>
      <c r="H17" s="44">
        <f t="shared" ca="1" si="2"/>
        <v>3.9347967175217914E-2</v>
      </c>
      <c r="I17" s="45">
        <f ca="1">IFERROR(_xlfn.NORM.INV(RAND(),'Lifestyle Strategy'!$M$27,'Lifestyle Strategy'!$M$28),0)</f>
        <v>9.0654553315833136E-2</v>
      </c>
      <c r="J17" s="76">
        <f t="shared" ca="1" si="3"/>
        <v>415039.09592173732</v>
      </c>
      <c r="K17" s="76">
        <f t="shared" ca="1" si="4"/>
        <v>4804250.3659748202</v>
      </c>
      <c r="L17" s="77">
        <f ca="1">IF('Post-Retirement_Cal'!$K17&lt;0, ABS('Post-Retirement_Cal'!$K17),0)</f>
        <v>0</v>
      </c>
    </row>
    <row r="18" spans="1:16" x14ac:dyDescent="0.2">
      <c r="A18" s="62"/>
      <c r="B18" s="63">
        <v>17</v>
      </c>
      <c r="C18" s="63">
        <v>82</v>
      </c>
      <c r="D18" s="76">
        <f ca="1">IF(C18&lt;'Lifestyle Strategy'!$M$14, 0,
   'Lifestyle Strategy'!$M$15 *
   (1 + 'Lifestyle Strategy'!$M$16)^(C18-'Lifestyle Strategy'!$M$14) *
   (1 + IF(RAND() &lt; (0.08 - 0.06) / (0.1 - 0.06),
             0.06 + SQRT(RAND() * (0.08 - 0.06) * (0.1 - 0.06)),
             0.1 - SQRT((1 - RAND()) * (0.1 - 0.08) * (0.1 - 0.06))
         ))^INT((C18-'Lifestyle Strategy'!$M$14)/5)
)</f>
        <v>275155.22010826005</v>
      </c>
      <c r="E18" s="44">
        <f t="shared" ca="1" si="0"/>
        <v>5.9530060297832241E-2</v>
      </c>
      <c r="F18" s="76">
        <f>'Lifestyle Strategy'!$M$22*(1+'Lifestyle Strategy'!$M$16)^('Lifestyle Strategy'!$M$23 + B18-1)</f>
        <v>81029.83806701102</v>
      </c>
      <c r="G18" s="76">
        <f t="shared" ca="1" si="1"/>
        <v>194125.38204124902</v>
      </c>
      <c r="H18" s="44">
        <f t="shared" ca="1" si="2"/>
        <v>4.1999187562963329E-2</v>
      </c>
      <c r="I18" s="45">
        <f ca="1">IFERROR(_xlfn.NORM.INV(RAND(),'Lifestyle Strategy'!$M$27,'Lifestyle Strategy'!$M$28),0)</f>
        <v>2.4972326635931477E-3</v>
      </c>
      <c r="J18" s="76">
        <f t="shared" ca="1" si="3"/>
        <v>11997.330937991655</v>
      </c>
      <c r="K18" s="76">
        <f t="shared" ca="1" si="4"/>
        <v>4622122.3148715626</v>
      </c>
      <c r="L18" s="77">
        <f ca="1">IF('Post-Retirement_Cal'!$K18&lt;0, ABS('Post-Retirement_Cal'!$K18),0)</f>
        <v>0</v>
      </c>
    </row>
    <row r="19" spans="1:16" x14ac:dyDescent="0.2">
      <c r="A19" s="62"/>
      <c r="B19" s="63">
        <v>18</v>
      </c>
      <c r="C19" s="63">
        <v>83</v>
      </c>
      <c r="D19" s="76">
        <f ca="1">IF(C19&lt;'Lifestyle Strategy'!$M$14, 0,
   'Lifestyle Strategy'!$M$15 *
   (1 + 'Lifestyle Strategy'!$M$16)^(C19-'Lifestyle Strategy'!$M$14) *
   (1 + IF(RAND() &lt; (0.08 - 0.06) / (0.1 - 0.06),
             0.06 + SQRT(RAND() * (0.08 - 0.06) * (0.1 - 0.06)),
             0.1 - SQRT((1 - RAND()) * (0.1 - 0.08) * (0.1 - 0.06))
         ))^INT((C19-'Lifestyle Strategy'!$M$14)/5)
)</f>
        <v>280154.96862306073</v>
      </c>
      <c r="E19" s="44">
        <f t="shared" ca="1" si="0"/>
        <v>6.3700984186069537E-2</v>
      </c>
      <c r="F19" s="76">
        <f>'Lifestyle Strategy'!$M$22*(1+'Lifestyle Strategy'!$M$16)^('Lifestyle Strategy'!$M$23 + B19-1)</f>
        <v>83055.584018686292</v>
      </c>
      <c r="G19" s="76">
        <f t="shared" ca="1" si="1"/>
        <v>197099.38460437444</v>
      </c>
      <c r="H19" s="44">
        <f t="shared" ca="1" si="2"/>
        <v>4.4815998957563385E-2</v>
      </c>
      <c r="I19" s="45">
        <f ca="1">IFERROR(_xlfn.NORM.INV(RAND(),'Lifestyle Strategy'!$M$27,'Lifestyle Strategy'!$M$28),0)</f>
        <v>-5.8530896562381807E-3</v>
      </c>
      <c r="J19" s="76">
        <f t="shared" ca="1" si="3"/>
        <v>-27053.696311042419</v>
      </c>
      <c r="K19" s="76">
        <f t="shared" ca="1" si="4"/>
        <v>4397969.2339561451</v>
      </c>
      <c r="L19" s="77">
        <f ca="1">IF('Post-Retirement_Cal'!$K19&lt;0, ABS('Post-Retirement_Cal'!$K19),0)</f>
        <v>0</v>
      </c>
    </row>
    <row r="20" spans="1:16" x14ac:dyDescent="0.2">
      <c r="A20" s="62"/>
      <c r="B20" s="63">
        <v>19</v>
      </c>
      <c r="C20" s="63">
        <v>84</v>
      </c>
      <c r="D20" s="76">
        <f ca="1">IF(C20&lt;'Lifestyle Strategy'!$M$14, 0,
   'Lifestyle Strategy'!$M$15 *
   (1 + 'Lifestyle Strategy'!$M$16)^(C20-'Lifestyle Strategy'!$M$14) *
   (1 + IF(RAND() &lt; (0.08 - 0.06) / (0.1 - 0.06),
             0.06 + SQRT(RAND() * (0.08 - 0.06) * (0.1 - 0.06)),
             0.1 - SQRT((1 - RAND()) * (0.1 - 0.08) * (0.1 - 0.06))
         ))^INT((C20-'Lifestyle Strategy'!$M$14)/5)
)</f>
        <v>277318.19872745685</v>
      </c>
      <c r="E20" s="44">
        <f t="shared" ca="1" si="0"/>
        <v>6.7049273553418248E-2</v>
      </c>
      <c r="F20" s="76">
        <f>'Lifestyle Strategy'!$M$22*(1+'Lifestyle Strategy'!$M$16)^('Lifestyle Strategy'!$M$23 + B20-1)</f>
        <v>85131.973619153447</v>
      </c>
      <c r="G20" s="76">
        <f t="shared" ca="1" si="1"/>
        <v>192186.22510830342</v>
      </c>
      <c r="H20" s="44">
        <f t="shared" ca="1" si="2"/>
        <v>4.6466286163749107E-2</v>
      </c>
      <c r="I20" s="45">
        <f ca="1">IFERROR(_xlfn.NORM.INV(RAND(),'Lifestyle Strategy'!$M$27,'Lifestyle Strategy'!$M$28),0)</f>
        <v>-1.5858947889779491E-2</v>
      </c>
      <c r="J20" s="76">
        <f t="shared" ca="1" si="3"/>
        <v>-69747.164902163931</v>
      </c>
      <c r="K20" s="76">
        <f t="shared" ca="1" si="4"/>
        <v>4136035.8439456779</v>
      </c>
      <c r="L20" s="77">
        <f ca="1">IF('Post-Retirement_Cal'!$K20&lt;0, ABS('Post-Retirement_Cal'!$K20),0)</f>
        <v>0</v>
      </c>
    </row>
    <row r="21" spans="1:16" x14ac:dyDescent="0.2">
      <c r="A21" s="64"/>
      <c r="B21" s="65">
        <v>20</v>
      </c>
      <c r="C21" s="65">
        <v>85</v>
      </c>
      <c r="D21" s="78">
        <f ca="1">IF(C21&lt;'Lifestyle Strategy'!$M$14, 0,
   'Lifestyle Strategy'!$M$15 *
   (1 + 'Lifestyle Strategy'!$M$16)^(C21-'Lifestyle Strategy'!$M$14) *
   (1 + IF(RAND() &lt; (0.08 - 0.06) / (0.1 - 0.06),
             0.06 + SQRT(RAND() * (0.08 - 0.06) * (0.1 - 0.06)),
             0.1 - SQRT((1 - RAND()) * (0.1 - 0.08) * (0.1 - 0.06))
         ))^INT((C21-'Lifestyle Strategy'!$M$14)/5)
)</f>
        <v>289332.68132857856</v>
      </c>
      <c r="E21" s="79">
        <f t="shared" ca="1" si="0"/>
        <v>7.0977142436707857E-2</v>
      </c>
      <c r="F21" s="78">
        <f>'Lifestyle Strategy'!$M$22*(1+'Lifestyle Strategy'!$M$16)^('Lifestyle Strategy'!$M$23 + B21-1)</f>
        <v>87260.272959632275</v>
      </c>
      <c r="G21" s="78">
        <f t="shared" ca="1" si="1"/>
        <v>202072.40836894629</v>
      </c>
      <c r="H21" s="79">
        <f t="shared" ca="1" si="2"/>
        <v>4.9571040663198757E-2</v>
      </c>
      <c r="I21" s="45">
        <f ca="1">IFERROR(_xlfn.NORM.INV(RAND(),'Lifestyle Strategy'!$M$27,'Lifestyle Strategy'!$M$28),0)</f>
        <v>3.44429086709837E-2</v>
      </c>
      <c r="J21" s="78">
        <f t="shared" ca="1" si="3"/>
        <v>142457.10483293596</v>
      </c>
      <c r="K21" s="76">
        <f t="shared" ca="1" si="4"/>
        <v>4076420.5404096674</v>
      </c>
      <c r="L21" s="80">
        <f ca="1">IF('Post-Retirement_Cal'!$K21&lt;0, ABS('Post-Retirement_Cal'!$K21),0)</f>
        <v>0</v>
      </c>
    </row>
    <row r="23" spans="1:16" ht="22" x14ac:dyDescent="0.3">
      <c r="A23" s="91" t="s">
        <v>206</v>
      </c>
      <c r="B23" s="91"/>
      <c r="C23" s="91"/>
      <c r="D23" s="91"/>
    </row>
    <row r="24" spans="1:16" x14ac:dyDescent="0.2">
      <c r="F24" s="2" t="s">
        <v>18</v>
      </c>
      <c r="G24" s="2">
        <f ca="1">_xlfn.PERCENTILE.INC(B25:B1024,0.5)</f>
        <v>3133054.2687741872</v>
      </c>
    </row>
    <row r="25" spans="1:16" x14ac:dyDescent="0.2">
      <c r="A25">
        <v>1</v>
      </c>
      <c r="B25" s="2">
        <f ca="1">K21</f>
        <v>4076420.5404096674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2">
      <c r="A26">
        <v>2</v>
      </c>
      <c r="B26">
        <f t="dataTable" ref="B26:B1024" dt2D="0" dtr="0" r1="E25" ca="1"/>
        <v>2176665.9848676487</v>
      </c>
      <c r="F26" t="s">
        <v>7</v>
      </c>
      <c r="G26" s="2">
        <f ca="1">COUNT(B25:B1024)</f>
        <v>1000</v>
      </c>
      <c r="H26" s="2"/>
      <c r="I26" s="2"/>
      <c r="J26" s="2"/>
      <c r="K26" s="2"/>
    </row>
    <row r="27" spans="1:16" x14ac:dyDescent="0.2">
      <c r="A27">
        <v>3</v>
      </c>
      <c r="B27">
        <v>2911389.3973802729</v>
      </c>
      <c r="D27" s="2"/>
      <c r="E27" s="2"/>
      <c r="F27" t="s">
        <v>10</v>
      </c>
      <c r="G27" s="2">
        <f ca="1">MAX($B$25:$B$1024)</f>
        <v>33316188.669883166</v>
      </c>
      <c r="H27" s="2"/>
      <c r="I27" s="2"/>
      <c r="J27" s="2"/>
      <c r="K27" s="2"/>
    </row>
    <row r="28" spans="1:16" x14ac:dyDescent="0.2">
      <c r="A28">
        <v>4</v>
      </c>
      <c r="B28">
        <v>5894489.1168912007</v>
      </c>
      <c r="D28" s="2"/>
      <c r="E28" s="2"/>
      <c r="F28" t="s">
        <v>14</v>
      </c>
      <c r="G28" s="2">
        <f ca="1">MIN($B$25:$B$1024)</f>
        <v>-3606903.1292006327</v>
      </c>
      <c r="H28" s="2"/>
      <c r="I28" s="2"/>
      <c r="J28" s="2"/>
      <c r="K28" s="2"/>
    </row>
    <row r="29" spans="1:16" x14ac:dyDescent="0.2">
      <c r="A29">
        <v>5</v>
      </c>
      <c r="B29">
        <v>3154715.4112825911</v>
      </c>
      <c r="D29" s="2"/>
      <c r="E29" s="2"/>
      <c r="F29" t="s">
        <v>19</v>
      </c>
      <c r="G29" s="2">
        <f ca="1">_xlfn.STDEV.S($B$25:$B$1024)</f>
        <v>4510930.7074711462</v>
      </c>
      <c r="H29" s="2"/>
      <c r="I29" s="2"/>
      <c r="J29" s="2"/>
      <c r="K29" s="2"/>
    </row>
    <row r="30" spans="1:16" x14ac:dyDescent="0.2">
      <c r="A30">
        <v>6</v>
      </c>
      <c r="B30">
        <v>3072147.4833423663</v>
      </c>
      <c r="D30" s="2"/>
      <c r="E30" s="2"/>
      <c r="F30" t="s">
        <v>23</v>
      </c>
      <c r="G30" s="2">
        <f ca="1">AVERAGE($B$25:$B$1024)</f>
        <v>4149752.5989061436</v>
      </c>
      <c r="H30" s="2"/>
      <c r="I30" s="2"/>
      <c r="J30" s="2"/>
      <c r="K30" s="2"/>
    </row>
    <row r="31" spans="1:16" x14ac:dyDescent="0.2">
      <c r="A31">
        <v>7</v>
      </c>
      <c r="B31">
        <v>4612680.2416074704</v>
      </c>
      <c r="D31" s="2"/>
      <c r="E31" s="2"/>
      <c r="G31" s="2"/>
      <c r="H31" s="2"/>
      <c r="I31" s="2"/>
      <c r="J31" s="2"/>
      <c r="K31" s="2"/>
    </row>
    <row r="32" spans="1:16" x14ac:dyDescent="0.2">
      <c r="A32">
        <v>8</v>
      </c>
      <c r="B32">
        <v>1607196.7543680964</v>
      </c>
      <c r="D32" s="2"/>
      <c r="E32" s="2"/>
      <c r="F32" s="1" t="s">
        <v>27</v>
      </c>
      <c r="G32" s="2">
        <f ca="1">$G$30-_xlfn.CONFIDENCE.T(0.025,$G$29,$G$26)</f>
        <v>3829537.9479656485</v>
      </c>
      <c r="H32" s="2"/>
      <c r="I32" s="2"/>
      <c r="J32" s="2"/>
      <c r="K32" s="2"/>
    </row>
    <row r="33" spans="1:11" x14ac:dyDescent="0.2">
      <c r="A33">
        <v>9</v>
      </c>
      <c r="B33">
        <v>1307410.8117845678</v>
      </c>
      <c r="D33" s="2"/>
      <c r="E33" s="2"/>
      <c r="G33" s="2">
        <f ca="1">$G$30-_xlfn.CONFIDENCE.T(0.025,$G$29,$G$26)</f>
        <v>3829537.9479656485</v>
      </c>
      <c r="H33" s="2"/>
      <c r="I33" s="2"/>
      <c r="J33" s="2"/>
      <c r="K33" s="2"/>
    </row>
    <row r="34" spans="1:11" x14ac:dyDescent="0.2">
      <c r="A34">
        <v>10</v>
      </c>
      <c r="B34">
        <v>6168439.5681088716</v>
      </c>
      <c r="D34" s="2"/>
      <c r="E34" s="2"/>
      <c r="F34" s="2"/>
      <c r="G34" s="2"/>
      <c r="H34" s="2"/>
      <c r="I34" s="2"/>
      <c r="J34" s="2"/>
      <c r="K34" s="2"/>
    </row>
    <row r="35" spans="1:11" x14ac:dyDescent="0.2">
      <c r="A35">
        <v>11</v>
      </c>
      <c r="B35">
        <v>1825315.632707072</v>
      </c>
      <c r="D35" s="2"/>
      <c r="E35" s="2"/>
      <c r="F35" s="2"/>
      <c r="G35" s="2"/>
      <c r="H35" s="2"/>
      <c r="I35" s="2"/>
      <c r="J35" s="2"/>
      <c r="K35" s="2"/>
    </row>
    <row r="36" spans="1:11" x14ac:dyDescent="0.2">
      <c r="A36">
        <v>12</v>
      </c>
      <c r="B36">
        <v>2809478.3865912007</v>
      </c>
      <c r="D36" s="2"/>
      <c r="E36" s="2"/>
      <c r="F36" s="2"/>
      <c r="G36" s="2"/>
      <c r="H36" s="2"/>
      <c r="I36" s="2"/>
      <c r="J36" s="2"/>
      <c r="K36" s="2"/>
    </row>
    <row r="37" spans="1:11" x14ac:dyDescent="0.2">
      <c r="A37">
        <v>13</v>
      </c>
      <c r="B37">
        <v>2909017.0186712672</v>
      </c>
      <c r="D37" s="2"/>
      <c r="E37" s="2"/>
      <c r="F37" s="2"/>
      <c r="G37" s="2"/>
      <c r="H37" s="2"/>
      <c r="I37" s="2"/>
      <c r="J37" s="2"/>
      <c r="K37" s="2"/>
    </row>
    <row r="38" spans="1:11" x14ac:dyDescent="0.2">
      <c r="A38">
        <v>14</v>
      </c>
      <c r="B38">
        <v>1737836.341955574</v>
      </c>
      <c r="D38" s="2"/>
      <c r="E38" s="2"/>
      <c r="F38" s="2"/>
      <c r="G38" s="2"/>
      <c r="H38" s="2"/>
      <c r="I38" s="2"/>
      <c r="J38" s="2"/>
      <c r="K38" s="2"/>
    </row>
    <row r="39" spans="1:11" x14ac:dyDescent="0.2">
      <c r="A39">
        <v>15</v>
      </c>
      <c r="B39">
        <v>6682198.9361765385</v>
      </c>
      <c r="D39" s="2"/>
      <c r="E39" s="2"/>
      <c r="F39" s="2"/>
      <c r="G39" s="2"/>
      <c r="H39" s="2"/>
      <c r="I39" s="2"/>
      <c r="J39" s="2"/>
      <c r="K39" s="2"/>
    </row>
    <row r="40" spans="1:11" x14ac:dyDescent="0.2">
      <c r="A40">
        <v>16</v>
      </c>
      <c r="B40">
        <v>10636365.548280634</v>
      </c>
      <c r="D40" s="2"/>
      <c r="E40" s="2"/>
      <c r="F40" s="2"/>
      <c r="G40" s="2"/>
      <c r="H40" s="2"/>
      <c r="I40" s="2"/>
      <c r="J40" s="2"/>
      <c r="K40" s="2"/>
    </row>
    <row r="41" spans="1:11" x14ac:dyDescent="0.2">
      <c r="A41">
        <v>17</v>
      </c>
      <c r="B41">
        <v>2786331.5758623485</v>
      </c>
      <c r="D41" s="2"/>
      <c r="E41" s="2"/>
      <c r="F41" s="2"/>
      <c r="G41" s="2"/>
      <c r="H41" s="2"/>
      <c r="I41" s="2"/>
      <c r="J41" s="2"/>
      <c r="K41" s="2"/>
    </row>
    <row r="42" spans="1:11" x14ac:dyDescent="0.2">
      <c r="A42">
        <v>18</v>
      </c>
      <c r="B42">
        <v>206346.57904079859</v>
      </c>
      <c r="D42" s="2"/>
      <c r="E42" s="2"/>
      <c r="F42" s="2"/>
      <c r="G42" s="2"/>
      <c r="H42" s="2"/>
      <c r="I42" s="2"/>
      <c r="J42" s="2"/>
      <c r="K42" s="2"/>
    </row>
    <row r="43" spans="1:11" x14ac:dyDescent="0.2">
      <c r="A43">
        <v>19</v>
      </c>
      <c r="B43">
        <v>11067368.692104315</v>
      </c>
      <c r="D43" s="2"/>
      <c r="E43" s="2"/>
      <c r="F43" s="2"/>
      <c r="G43" s="2"/>
      <c r="H43" s="2"/>
      <c r="I43" s="2"/>
      <c r="J43" s="2"/>
      <c r="K43" s="2"/>
    </row>
    <row r="44" spans="1:11" x14ac:dyDescent="0.2">
      <c r="A44">
        <v>20</v>
      </c>
      <c r="B44">
        <v>10942599.979947943</v>
      </c>
      <c r="D44" s="2"/>
      <c r="E44" s="2"/>
      <c r="F44" s="2"/>
      <c r="G44" s="2"/>
      <c r="H44" s="2"/>
      <c r="I44" s="2"/>
      <c r="J44" s="2"/>
      <c r="K44" s="2"/>
    </row>
    <row r="45" spans="1:11" x14ac:dyDescent="0.2">
      <c r="A45">
        <v>21</v>
      </c>
      <c r="B45">
        <v>3191351.400248263</v>
      </c>
      <c r="D45" s="2"/>
      <c r="E45" s="2"/>
      <c r="F45" s="2"/>
      <c r="G45" s="2"/>
      <c r="H45" s="2"/>
      <c r="I45" s="2"/>
      <c r="J45" s="2"/>
      <c r="K45" s="2"/>
    </row>
    <row r="46" spans="1:11" x14ac:dyDescent="0.2">
      <c r="A46">
        <v>22</v>
      </c>
      <c r="B46">
        <v>3693467.149792097</v>
      </c>
      <c r="D46" s="2"/>
      <c r="E46" s="2"/>
      <c r="F46" s="2"/>
      <c r="G46" s="2"/>
      <c r="H46" s="2"/>
      <c r="I46" s="2"/>
      <c r="J46" s="2"/>
      <c r="K46" s="2"/>
    </row>
    <row r="47" spans="1:11" x14ac:dyDescent="0.2">
      <c r="A47">
        <v>23</v>
      </c>
      <c r="B47">
        <v>55338.907441666117</v>
      </c>
      <c r="D47" s="2"/>
      <c r="E47" s="2"/>
      <c r="F47" s="2"/>
      <c r="G47" s="2"/>
      <c r="H47" s="2"/>
      <c r="I47" s="2"/>
      <c r="J47" s="2"/>
      <c r="K47" s="2"/>
    </row>
    <row r="48" spans="1:11" x14ac:dyDescent="0.2">
      <c r="A48">
        <v>24</v>
      </c>
      <c r="B48">
        <v>4225350.6338378545</v>
      </c>
      <c r="D48" s="2"/>
      <c r="E48" s="2"/>
      <c r="F48" s="2"/>
      <c r="G48" s="2"/>
      <c r="H48" s="2"/>
      <c r="I48" s="2"/>
      <c r="J48" s="2"/>
      <c r="K48" s="2"/>
    </row>
    <row r="49" spans="1:11" x14ac:dyDescent="0.2">
      <c r="A49">
        <v>25</v>
      </c>
      <c r="B49">
        <v>3946380.0685667484</v>
      </c>
      <c r="D49" s="2"/>
      <c r="E49" s="2"/>
      <c r="F49" s="2"/>
      <c r="G49" s="2"/>
      <c r="H49" s="2"/>
      <c r="I49" s="2"/>
      <c r="J49" s="2"/>
      <c r="K49" s="2"/>
    </row>
    <row r="50" spans="1:11" x14ac:dyDescent="0.2">
      <c r="A50">
        <v>26</v>
      </c>
      <c r="B50">
        <v>3647231.5723398812</v>
      </c>
      <c r="D50" s="2"/>
      <c r="E50" s="2"/>
      <c r="F50" s="2"/>
      <c r="G50" s="2"/>
      <c r="H50" s="2"/>
      <c r="I50" s="2"/>
      <c r="J50" s="2"/>
      <c r="K50" s="2"/>
    </row>
    <row r="51" spans="1:11" x14ac:dyDescent="0.2">
      <c r="A51">
        <v>27</v>
      </c>
      <c r="B51">
        <v>-1258929.2974738933</v>
      </c>
      <c r="D51" s="2"/>
      <c r="E51" s="2"/>
      <c r="F51" s="2"/>
      <c r="G51" s="2"/>
      <c r="H51" s="2"/>
      <c r="I51" s="2"/>
      <c r="J51" s="2"/>
      <c r="K51" s="2"/>
    </row>
    <row r="52" spans="1:11" x14ac:dyDescent="0.2">
      <c r="A52">
        <v>28</v>
      </c>
      <c r="B52">
        <v>3745966.477397271</v>
      </c>
      <c r="D52" s="2"/>
      <c r="E52" s="2"/>
      <c r="F52" s="2"/>
      <c r="G52" s="2"/>
      <c r="H52" s="2"/>
      <c r="I52" s="2"/>
      <c r="J52" s="2"/>
      <c r="K52" s="2"/>
    </row>
    <row r="53" spans="1:11" x14ac:dyDescent="0.2">
      <c r="A53">
        <v>29</v>
      </c>
      <c r="B53">
        <v>1537119.078895085</v>
      </c>
      <c r="D53" s="2"/>
      <c r="E53" s="2"/>
      <c r="F53" s="2"/>
      <c r="G53" s="2"/>
      <c r="H53" s="2"/>
      <c r="I53" s="2"/>
      <c r="J53" s="2"/>
      <c r="K53" s="2"/>
    </row>
    <row r="54" spans="1:11" x14ac:dyDescent="0.2">
      <c r="A54">
        <v>30</v>
      </c>
      <c r="B54">
        <v>-1057492.3595643342</v>
      </c>
      <c r="D54" s="2"/>
      <c r="E54" s="2"/>
      <c r="F54" s="2"/>
      <c r="G54" s="2"/>
      <c r="H54" s="2"/>
      <c r="I54" s="2"/>
      <c r="J54" s="2"/>
      <c r="K54" s="2"/>
    </row>
    <row r="55" spans="1:11" x14ac:dyDescent="0.2">
      <c r="A55">
        <v>31</v>
      </c>
      <c r="B55">
        <v>9614267.1368717086</v>
      </c>
      <c r="D55" s="2"/>
      <c r="E55" s="2"/>
      <c r="F55" s="2"/>
      <c r="G55" s="2"/>
      <c r="H55" s="2"/>
      <c r="I55" s="2"/>
      <c r="J55" s="2"/>
      <c r="K55" s="2"/>
    </row>
    <row r="56" spans="1:11" x14ac:dyDescent="0.2">
      <c r="A56">
        <v>32</v>
      </c>
      <c r="B56">
        <v>5262187.9856467498</v>
      </c>
      <c r="D56" s="2"/>
      <c r="E56" s="2"/>
      <c r="F56" s="2"/>
      <c r="G56" s="2"/>
      <c r="H56" s="2"/>
      <c r="I56" s="2"/>
      <c r="J56" s="2"/>
      <c r="K56" s="2"/>
    </row>
    <row r="57" spans="1:11" x14ac:dyDescent="0.2">
      <c r="A57">
        <v>33</v>
      </c>
      <c r="B57">
        <v>1838502.2976550981</v>
      </c>
      <c r="D57" s="2"/>
      <c r="E57" s="2"/>
      <c r="F57" s="2"/>
      <c r="G57" s="2"/>
      <c r="H57" s="2"/>
      <c r="I57" s="2"/>
      <c r="J57" s="2"/>
      <c r="K57" s="2"/>
    </row>
    <row r="58" spans="1:11" x14ac:dyDescent="0.2">
      <c r="A58">
        <v>34</v>
      </c>
      <c r="B58">
        <v>-706001.32107910281</v>
      </c>
      <c r="D58" s="2"/>
      <c r="E58" s="2"/>
      <c r="F58" s="2"/>
      <c r="G58" s="2"/>
      <c r="H58" s="2"/>
      <c r="I58" s="2"/>
      <c r="J58" s="2"/>
      <c r="K58" s="2"/>
    </row>
    <row r="59" spans="1:11" x14ac:dyDescent="0.2">
      <c r="A59">
        <v>35</v>
      </c>
      <c r="B59">
        <v>7110872.7879540371</v>
      </c>
      <c r="D59" s="2"/>
      <c r="E59" s="2"/>
      <c r="F59" s="2"/>
      <c r="G59" s="2"/>
      <c r="H59" s="2"/>
      <c r="I59" s="2"/>
      <c r="J59" s="2"/>
      <c r="K59" s="2"/>
    </row>
    <row r="60" spans="1:11" x14ac:dyDescent="0.2">
      <c r="A60">
        <v>36</v>
      </c>
      <c r="B60">
        <v>6561174.0420428179</v>
      </c>
      <c r="D60" s="2"/>
      <c r="E60" s="2"/>
      <c r="F60" s="2"/>
      <c r="G60" s="2"/>
      <c r="H60" s="2"/>
      <c r="I60" s="2"/>
      <c r="J60" s="2"/>
      <c r="K60" s="2"/>
    </row>
    <row r="61" spans="1:11" x14ac:dyDescent="0.2">
      <c r="A61">
        <v>37</v>
      </c>
      <c r="B61">
        <v>11442502.142618097</v>
      </c>
      <c r="D61" s="2"/>
      <c r="E61" s="2"/>
      <c r="F61" s="2"/>
      <c r="G61" s="2"/>
      <c r="H61" s="2"/>
      <c r="I61" s="2"/>
      <c r="J61" s="2"/>
      <c r="K61" s="2"/>
    </row>
    <row r="62" spans="1:11" x14ac:dyDescent="0.2">
      <c r="A62">
        <v>38</v>
      </c>
      <c r="B62">
        <v>1581635.1062173236</v>
      </c>
      <c r="D62" s="2"/>
      <c r="E62" s="2"/>
      <c r="F62" s="2"/>
      <c r="G62" s="2"/>
      <c r="H62" s="2"/>
      <c r="I62" s="2"/>
      <c r="J62" s="2"/>
      <c r="K62" s="2"/>
    </row>
    <row r="63" spans="1:11" x14ac:dyDescent="0.2">
      <c r="A63">
        <v>39</v>
      </c>
      <c r="B63">
        <v>3106665.7955127447</v>
      </c>
      <c r="D63" s="2"/>
      <c r="E63" s="2"/>
      <c r="F63" s="2"/>
      <c r="G63" s="2"/>
      <c r="H63" s="2"/>
      <c r="I63" s="2"/>
      <c r="J63" s="2"/>
      <c r="K63" s="2"/>
    </row>
    <row r="64" spans="1:11" x14ac:dyDescent="0.2">
      <c r="A64">
        <v>40</v>
      </c>
      <c r="B64">
        <v>46429.056424531329</v>
      </c>
      <c r="D64" s="2"/>
      <c r="E64" s="2"/>
      <c r="F64" s="2"/>
      <c r="G64" s="2"/>
      <c r="H64" s="2"/>
      <c r="I64" s="2"/>
      <c r="J64" s="2"/>
      <c r="K64" s="2"/>
    </row>
    <row r="65" spans="1:11" x14ac:dyDescent="0.2">
      <c r="A65">
        <v>41</v>
      </c>
      <c r="B65">
        <v>1889126.1725257102</v>
      </c>
      <c r="D65" s="2"/>
      <c r="E65" s="2"/>
      <c r="F65" s="2"/>
      <c r="G65" s="2"/>
      <c r="H65" s="2"/>
      <c r="I65" s="2"/>
      <c r="J65" s="2"/>
      <c r="K65" s="2"/>
    </row>
    <row r="66" spans="1:11" x14ac:dyDescent="0.2">
      <c r="A66">
        <v>42</v>
      </c>
      <c r="B66">
        <v>13105346.583313467</v>
      </c>
      <c r="D66" s="2"/>
      <c r="E66" s="2"/>
      <c r="F66" s="2"/>
      <c r="G66" s="2"/>
      <c r="H66" s="2"/>
      <c r="I66" s="2"/>
      <c r="J66" s="2"/>
      <c r="K66" s="2"/>
    </row>
    <row r="67" spans="1:11" x14ac:dyDescent="0.2">
      <c r="A67">
        <v>43</v>
      </c>
      <c r="B67">
        <v>6643483.4750820901</v>
      </c>
      <c r="D67" s="2"/>
      <c r="E67" s="2"/>
      <c r="F67" s="2"/>
      <c r="G67" s="2"/>
      <c r="H67" s="2"/>
      <c r="I67" s="2"/>
      <c r="J67" s="2"/>
      <c r="K67" s="2"/>
    </row>
    <row r="68" spans="1:11" x14ac:dyDescent="0.2">
      <c r="A68">
        <v>44</v>
      </c>
      <c r="B68">
        <v>2611230.9672985645</v>
      </c>
      <c r="D68" s="2"/>
      <c r="E68" s="2"/>
      <c r="F68" s="2"/>
      <c r="G68" s="2"/>
      <c r="H68" s="2"/>
      <c r="I68" s="2"/>
      <c r="J68" s="2"/>
      <c r="K68" s="2"/>
    </row>
    <row r="69" spans="1:11" x14ac:dyDescent="0.2">
      <c r="A69">
        <v>45</v>
      </c>
      <c r="B69">
        <v>6581695.3185771583</v>
      </c>
      <c r="D69" s="2"/>
      <c r="E69" s="2"/>
      <c r="F69" s="2"/>
      <c r="G69" s="2"/>
      <c r="H69" s="2"/>
      <c r="I69" s="2"/>
      <c r="J69" s="2"/>
      <c r="K69" s="2"/>
    </row>
    <row r="70" spans="1:11" x14ac:dyDescent="0.2">
      <c r="A70">
        <v>46</v>
      </c>
      <c r="B70">
        <v>6126833.3070116527</v>
      </c>
      <c r="D70" s="2"/>
      <c r="E70" s="2"/>
      <c r="F70" s="2"/>
      <c r="G70" s="2"/>
      <c r="H70" s="2"/>
      <c r="I70" s="2"/>
      <c r="J70" s="2"/>
      <c r="K70" s="2"/>
    </row>
    <row r="71" spans="1:11" x14ac:dyDescent="0.2">
      <c r="A71">
        <v>47</v>
      </c>
      <c r="B71">
        <v>386447.48588307598</v>
      </c>
      <c r="D71" s="2"/>
      <c r="E71" s="2"/>
      <c r="F71" s="2"/>
      <c r="G71" s="2"/>
      <c r="H71" s="2"/>
      <c r="I71" s="2"/>
      <c r="J71" s="2"/>
      <c r="K71" s="2"/>
    </row>
    <row r="72" spans="1:11" x14ac:dyDescent="0.2">
      <c r="A72">
        <v>48</v>
      </c>
      <c r="B72">
        <v>1922522.6637213661</v>
      </c>
      <c r="D72" s="2"/>
      <c r="E72" s="2"/>
      <c r="F72" s="2"/>
      <c r="G72" s="2"/>
      <c r="H72" s="2"/>
      <c r="I72" s="2"/>
      <c r="J72" s="2"/>
      <c r="K72" s="2"/>
    </row>
    <row r="73" spans="1:11" x14ac:dyDescent="0.2">
      <c r="A73">
        <v>49</v>
      </c>
      <c r="B73">
        <v>1427050.049780387</v>
      </c>
      <c r="D73" s="2"/>
      <c r="E73" s="2"/>
      <c r="F73" s="2"/>
      <c r="G73" s="2"/>
      <c r="H73" s="2"/>
      <c r="I73" s="2"/>
      <c r="J73" s="2"/>
      <c r="K73" s="2"/>
    </row>
    <row r="74" spans="1:11" x14ac:dyDescent="0.2">
      <c r="A74">
        <v>50</v>
      </c>
      <c r="B74">
        <v>-746327.28247934266</v>
      </c>
      <c r="D74" s="2"/>
      <c r="E74" s="2"/>
      <c r="F74" s="2"/>
      <c r="G74" s="2"/>
      <c r="H74" s="2"/>
      <c r="I74" s="2"/>
      <c r="J74" s="2"/>
      <c r="K74" s="2"/>
    </row>
    <row r="75" spans="1:11" x14ac:dyDescent="0.2">
      <c r="A75">
        <v>51</v>
      </c>
      <c r="B75">
        <v>5842334.3354093768</v>
      </c>
      <c r="D75" s="2"/>
      <c r="E75" s="2"/>
      <c r="F75" s="2"/>
      <c r="G75" s="2"/>
      <c r="H75" s="2"/>
      <c r="I75" s="2"/>
      <c r="J75" s="2"/>
      <c r="K75" s="2"/>
    </row>
    <row r="76" spans="1:11" x14ac:dyDescent="0.2">
      <c r="A76">
        <v>52</v>
      </c>
      <c r="B76">
        <v>3208720.1419898621</v>
      </c>
      <c r="D76" s="2"/>
      <c r="E76" s="2"/>
      <c r="F76" s="2"/>
      <c r="G76" s="2"/>
      <c r="H76" s="2"/>
      <c r="I76" s="2"/>
      <c r="J76" s="2"/>
      <c r="K76" s="2"/>
    </row>
    <row r="77" spans="1:11" x14ac:dyDescent="0.2">
      <c r="A77">
        <v>53</v>
      </c>
      <c r="B77">
        <v>2938122.6551761562</v>
      </c>
      <c r="D77" s="2"/>
      <c r="E77" s="2"/>
      <c r="F77" s="2"/>
      <c r="G77" s="2"/>
      <c r="H77" s="2"/>
      <c r="I77" s="2"/>
      <c r="J77" s="2"/>
      <c r="K77" s="2"/>
    </row>
    <row r="78" spans="1:11" x14ac:dyDescent="0.2">
      <c r="A78">
        <v>54</v>
      </c>
      <c r="B78">
        <v>-2768972.8026604122</v>
      </c>
      <c r="D78" s="2"/>
      <c r="E78" s="2"/>
      <c r="F78" s="2"/>
      <c r="G78" s="2"/>
      <c r="H78" s="2"/>
      <c r="I78" s="2"/>
      <c r="J78" s="2"/>
      <c r="K78" s="2"/>
    </row>
    <row r="79" spans="1:11" x14ac:dyDescent="0.2">
      <c r="A79">
        <v>55</v>
      </c>
      <c r="B79">
        <v>1558229.9048139339</v>
      </c>
      <c r="D79" s="2"/>
      <c r="E79" s="2"/>
      <c r="F79" s="2"/>
      <c r="G79" s="2"/>
      <c r="H79" s="2"/>
      <c r="I79" s="2"/>
      <c r="J79" s="2"/>
      <c r="K79" s="2"/>
    </row>
    <row r="80" spans="1:11" x14ac:dyDescent="0.2">
      <c r="A80">
        <v>56</v>
      </c>
      <c r="B80">
        <v>-666673.58959058858</v>
      </c>
      <c r="D80" s="2"/>
      <c r="E80" s="2"/>
      <c r="F80" s="2"/>
      <c r="G80" s="2"/>
      <c r="H80" s="2"/>
      <c r="I80" s="2"/>
      <c r="J80" s="2"/>
      <c r="K80" s="2"/>
    </row>
    <row r="81" spans="1:11" x14ac:dyDescent="0.2">
      <c r="A81">
        <v>57</v>
      </c>
      <c r="B81">
        <v>562790.53476295364</v>
      </c>
      <c r="D81" s="2"/>
      <c r="E81" s="2"/>
      <c r="F81" s="2"/>
      <c r="G81" s="2"/>
      <c r="H81" s="2"/>
      <c r="I81" s="2"/>
      <c r="J81" s="2"/>
      <c r="K81" s="2"/>
    </row>
    <row r="82" spans="1:11" x14ac:dyDescent="0.2">
      <c r="A82">
        <v>58</v>
      </c>
      <c r="B82">
        <v>9903527.981353784</v>
      </c>
      <c r="D82" s="2"/>
      <c r="E82" s="2"/>
      <c r="F82" s="2"/>
      <c r="G82" s="2"/>
      <c r="H82" s="2"/>
      <c r="I82" s="2"/>
      <c r="J82" s="2"/>
      <c r="K82" s="2"/>
    </row>
    <row r="83" spans="1:11" x14ac:dyDescent="0.2">
      <c r="A83">
        <v>59</v>
      </c>
      <c r="B83">
        <v>2809741.5564566124</v>
      </c>
      <c r="D83" s="2"/>
      <c r="E83" s="2"/>
      <c r="F83" s="2"/>
      <c r="G83" s="2"/>
      <c r="H83" s="2"/>
      <c r="I83" s="2"/>
      <c r="J83" s="2"/>
      <c r="K83" s="2"/>
    </row>
    <row r="84" spans="1:11" x14ac:dyDescent="0.2">
      <c r="A84">
        <v>60</v>
      </c>
      <c r="B84">
        <v>13945218.471005952</v>
      </c>
      <c r="D84" s="2"/>
      <c r="E84" s="2"/>
      <c r="F84" s="2"/>
      <c r="G84" s="2"/>
      <c r="H84" s="2"/>
      <c r="I84" s="2"/>
      <c r="J84" s="2"/>
      <c r="K84" s="2"/>
    </row>
    <row r="85" spans="1:11" x14ac:dyDescent="0.2">
      <c r="A85">
        <v>61</v>
      </c>
      <c r="B85">
        <v>1789321.8851574776</v>
      </c>
      <c r="D85" s="2"/>
      <c r="E85" s="2"/>
      <c r="F85" s="2"/>
      <c r="G85" s="2"/>
      <c r="H85" s="2"/>
      <c r="I85" s="2"/>
      <c r="J85" s="2"/>
      <c r="K85" s="2"/>
    </row>
    <row r="86" spans="1:11" x14ac:dyDescent="0.2">
      <c r="A86">
        <v>62</v>
      </c>
      <c r="B86">
        <v>3911733.0389455729</v>
      </c>
      <c r="D86" s="2"/>
      <c r="E86" s="2"/>
      <c r="F86" s="2"/>
      <c r="G86" s="2"/>
      <c r="H86" s="2"/>
      <c r="I86" s="2"/>
      <c r="J86" s="2"/>
      <c r="K86" s="2"/>
    </row>
    <row r="87" spans="1:11" x14ac:dyDescent="0.2">
      <c r="A87">
        <v>63</v>
      </c>
      <c r="B87">
        <v>989646.28298953804</v>
      </c>
      <c r="D87" s="2"/>
      <c r="E87" s="2"/>
      <c r="F87" s="2"/>
      <c r="G87" s="2"/>
      <c r="H87" s="2"/>
      <c r="I87" s="2"/>
      <c r="J87" s="2"/>
      <c r="K87" s="2"/>
    </row>
    <row r="88" spans="1:11" x14ac:dyDescent="0.2">
      <c r="A88">
        <v>64</v>
      </c>
      <c r="B88">
        <v>5807137.7400140828</v>
      </c>
      <c r="D88" s="2"/>
      <c r="E88" s="2"/>
      <c r="F88" s="2"/>
      <c r="G88" s="2"/>
      <c r="H88" s="2"/>
      <c r="I88" s="2"/>
      <c r="J88" s="2"/>
      <c r="K88" s="2"/>
    </row>
    <row r="89" spans="1:11" x14ac:dyDescent="0.2">
      <c r="A89">
        <v>65</v>
      </c>
      <c r="B89">
        <v>11716384.442409828</v>
      </c>
      <c r="D89" s="2"/>
      <c r="E89" s="2"/>
      <c r="F89" s="2"/>
      <c r="G89" s="2"/>
      <c r="H89" s="2"/>
      <c r="I89" s="2"/>
      <c r="J89" s="2"/>
      <c r="K89" s="2"/>
    </row>
    <row r="90" spans="1:11" x14ac:dyDescent="0.2">
      <c r="A90">
        <v>66</v>
      </c>
      <c r="B90">
        <v>3609731.7116045547</v>
      </c>
      <c r="D90" s="2"/>
      <c r="E90" s="2"/>
      <c r="F90" s="2"/>
      <c r="G90" s="2"/>
      <c r="H90" s="2"/>
      <c r="I90" s="2"/>
      <c r="J90" s="2"/>
      <c r="K90" s="2"/>
    </row>
    <row r="91" spans="1:11" x14ac:dyDescent="0.2">
      <c r="A91">
        <v>67</v>
      </c>
      <c r="B91">
        <v>292464.67137601896</v>
      </c>
      <c r="D91" s="2"/>
      <c r="E91" s="2"/>
      <c r="F91" s="2"/>
      <c r="G91" s="2"/>
      <c r="H91" s="2"/>
      <c r="I91" s="2"/>
      <c r="J91" s="2"/>
      <c r="K91" s="2"/>
    </row>
    <row r="92" spans="1:11" x14ac:dyDescent="0.2">
      <c r="A92">
        <v>68</v>
      </c>
      <c r="B92">
        <v>2671101.7447174848</v>
      </c>
      <c r="D92" s="2"/>
      <c r="E92" s="2"/>
      <c r="F92" s="2"/>
      <c r="G92" s="2"/>
      <c r="H92" s="2"/>
      <c r="I92" s="2"/>
      <c r="J92" s="2"/>
      <c r="K92" s="2"/>
    </row>
    <row r="93" spans="1:11" x14ac:dyDescent="0.2">
      <c r="A93">
        <v>69</v>
      </c>
      <c r="B93">
        <v>2388196.9317930103</v>
      </c>
      <c r="D93" s="2"/>
      <c r="E93" s="2"/>
      <c r="F93" s="2"/>
      <c r="G93" s="2"/>
      <c r="H93" s="2"/>
      <c r="I93" s="2"/>
      <c r="J93" s="2"/>
      <c r="K93" s="2"/>
    </row>
    <row r="94" spans="1:11" x14ac:dyDescent="0.2">
      <c r="A94">
        <v>70</v>
      </c>
      <c r="B94">
        <v>-321860.27933836327</v>
      </c>
      <c r="D94" s="2"/>
      <c r="E94" s="2"/>
      <c r="F94" s="2"/>
      <c r="G94" s="2"/>
      <c r="H94" s="2"/>
      <c r="I94" s="2"/>
      <c r="J94" s="2"/>
      <c r="K94" s="2"/>
    </row>
    <row r="95" spans="1:11" x14ac:dyDescent="0.2">
      <c r="A95">
        <v>71</v>
      </c>
      <c r="B95">
        <v>1059718.9114425029</v>
      </c>
      <c r="D95" s="2"/>
      <c r="E95" s="2"/>
      <c r="F95" s="2"/>
      <c r="G95" s="2"/>
      <c r="H95" s="2"/>
      <c r="I95" s="2"/>
      <c r="J95" s="2"/>
      <c r="K95" s="2"/>
    </row>
    <row r="96" spans="1:11" x14ac:dyDescent="0.2">
      <c r="A96">
        <v>72</v>
      </c>
      <c r="B96">
        <v>6310377.0608795118</v>
      </c>
      <c r="D96" s="2"/>
      <c r="E96" s="2"/>
      <c r="F96" s="2"/>
      <c r="G96" s="2"/>
      <c r="H96" s="2"/>
      <c r="I96" s="2"/>
      <c r="J96" s="2"/>
      <c r="K96" s="2"/>
    </row>
    <row r="97" spans="1:11" x14ac:dyDescent="0.2">
      <c r="A97">
        <v>73</v>
      </c>
      <c r="B97">
        <v>2632790.4560063332</v>
      </c>
      <c r="D97" s="2"/>
      <c r="E97" s="2"/>
      <c r="F97" s="2"/>
      <c r="G97" s="2"/>
      <c r="H97" s="2"/>
      <c r="I97" s="2"/>
      <c r="J97" s="2"/>
      <c r="K97" s="2"/>
    </row>
    <row r="98" spans="1:11" x14ac:dyDescent="0.2">
      <c r="A98">
        <v>74</v>
      </c>
      <c r="B98">
        <v>951232.67087122286</v>
      </c>
      <c r="D98" s="2"/>
      <c r="E98" s="2"/>
      <c r="F98" s="2"/>
      <c r="G98" s="2"/>
      <c r="H98" s="2"/>
      <c r="I98" s="2"/>
      <c r="J98" s="2"/>
      <c r="K98" s="2"/>
    </row>
    <row r="99" spans="1:11" x14ac:dyDescent="0.2">
      <c r="A99">
        <v>75</v>
      </c>
      <c r="B99">
        <v>4598363.9414686877</v>
      </c>
      <c r="D99" s="2"/>
      <c r="E99" s="2"/>
      <c r="F99" s="2"/>
      <c r="G99" s="2"/>
      <c r="H99" s="2"/>
      <c r="I99" s="2"/>
      <c r="J99" s="2"/>
      <c r="K99" s="2"/>
    </row>
    <row r="100" spans="1:11" x14ac:dyDescent="0.2">
      <c r="A100">
        <v>76</v>
      </c>
      <c r="B100">
        <v>2706310.1825904469</v>
      </c>
      <c r="D100" s="2"/>
      <c r="E100" s="2"/>
      <c r="F100" s="2"/>
      <c r="G100" s="2"/>
      <c r="H100" s="2"/>
      <c r="I100" s="2"/>
      <c r="J100" s="2"/>
      <c r="K100" s="2"/>
    </row>
    <row r="101" spans="1:11" x14ac:dyDescent="0.2">
      <c r="A101">
        <v>77</v>
      </c>
      <c r="B101">
        <v>-428535.48356381478</v>
      </c>
      <c r="D101" s="2"/>
      <c r="E101" s="2"/>
      <c r="F101" s="2"/>
      <c r="G101" s="2"/>
      <c r="H101" s="2"/>
      <c r="I101" s="2"/>
      <c r="J101" s="2"/>
      <c r="K101" s="2"/>
    </row>
    <row r="102" spans="1:11" x14ac:dyDescent="0.2">
      <c r="A102">
        <v>78</v>
      </c>
      <c r="B102">
        <v>14249920.173169887</v>
      </c>
      <c r="D102" s="2"/>
      <c r="E102" s="2"/>
      <c r="F102" s="2"/>
      <c r="G102" s="2"/>
      <c r="H102" s="2"/>
      <c r="I102" s="2"/>
      <c r="J102" s="2"/>
      <c r="K102" s="2"/>
    </row>
    <row r="103" spans="1:11" x14ac:dyDescent="0.2">
      <c r="A103">
        <v>79</v>
      </c>
      <c r="B103">
        <v>1550775.9468019553</v>
      </c>
      <c r="D103" s="2"/>
      <c r="E103" s="2"/>
      <c r="F103" s="2"/>
      <c r="G103" s="2"/>
      <c r="H103" s="2"/>
      <c r="I103" s="2"/>
      <c r="J103" s="2"/>
      <c r="K103" s="2"/>
    </row>
    <row r="104" spans="1:11" x14ac:dyDescent="0.2">
      <c r="A104">
        <v>80</v>
      </c>
      <c r="B104">
        <v>1938120.5852271481</v>
      </c>
      <c r="D104" s="2"/>
      <c r="E104" s="2"/>
      <c r="F104" s="2"/>
      <c r="G104" s="2"/>
      <c r="H104" s="2"/>
      <c r="I104" s="2"/>
      <c r="J104" s="2"/>
      <c r="K104" s="2"/>
    </row>
    <row r="105" spans="1:11" x14ac:dyDescent="0.2">
      <c r="A105">
        <v>81</v>
      </c>
      <c r="B105">
        <v>256504.48276753194</v>
      </c>
      <c r="D105" s="2"/>
      <c r="E105" s="2"/>
      <c r="F105" s="2"/>
      <c r="G105" s="2"/>
      <c r="H105" s="2"/>
      <c r="I105" s="2"/>
      <c r="J105" s="2"/>
      <c r="K105" s="2"/>
    </row>
    <row r="106" spans="1:11" x14ac:dyDescent="0.2">
      <c r="A106">
        <v>82</v>
      </c>
      <c r="B106">
        <v>5543816.9733741442</v>
      </c>
      <c r="D106" s="2"/>
      <c r="E106" s="2"/>
      <c r="F106" s="2"/>
      <c r="G106" s="2"/>
      <c r="H106" s="2"/>
      <c r="I106" s="2"/>
      <c r="J106" s="2"/>
      <c r="K106" s="2"/>
    </row>
    <row r="107" spans="1:11" x14ac:dyDescent="0.2">
      <c r="A107">
        <v>83</v>
      </c>
      <c r="B107">
        <v>-542905.60277961148</v>
      </c>
      <c r="D107" s="2"/>
      <c r="E107" s="2"/>
      <c r="F107" s="2"/>
      <c r="G107" s="2"/>
      <c r="H107" s="2"/>
      <c r="I107" s="2"/>
      <c r="J107" s="2"/>
      <c r="K107" s="2"/>
    </row>
    <row r="108" spans="1:11" x14ac:dyDescent="0.2">
      <c r="A108">
        <v>84</v>
      </c>
      <c r="B108">
        <v>3678658.7236860027</v>
      </c>
      <c r="D108" s="2"/>
      <c r="E108" s="2"/>
      <c r="F108" s="2"/>
      <c r="G108" s="2"/>
      <c r="H108" s="2"/>
      <c r="I108" s="2"/>
      <c r="J108" s="2"/>
      <c r="K108" s="2"/>
    </row>
    <row r="109" spans="1:11" x14ac:dyDescent="0.2">
      <c r="A109">
        <v>85</v>
      </c>
      <c r="B109">
        <v>12242894.932391129</v>
      </c>
      <c r="D109" s="2"/>
      <c r="E109" s="2"/>
      <c r="F109" s="2"/>
      <c r="G109" s="2"/>
      <c r="H109" s="2"/>
      <c r="I109" s="2"/>
      <c r="J109" s="2"/>
      <c r="K109" s="2"/>
    </row>
    <row r="110" spans="1:11" x14ac:dyDescent="0.2">
      <c r="A110">
        <v>86</v>
      </c>
      <c r="B110">
        <v>-233560.50933622761</v>
      </c>
      <c r="D110" s="2"/>
      <c r="E110" s="2"/>
      <c r="F110" s="2"/>
      <c r="G110" s="2"/>
      <c r="H110" s="2"/>
      <c r="I110" s="2"/>
      <c r="J110" s="2"/>
      <c r="K110" s="2"/>
    </row>
    <row r="111" spans="1:11" x14ac:dyDescent="0.2">
      <c r="A111">
        <v>87</v>
      </c>
      <c r="B111">
        <v>5089043.7726915982</v>
      </c>
      <c r="D111" s="2"/>
      <c r="E111" s="2"/>
      <c r="F111" s="2"/>
      <c r="G111" s="2"/>
      <c r="H111" s="2"/>
      <c r="I111" s="2"/>
      <c r="J111" s="2"/>
      <c r="K111" s="2"/>
    </row>
    <row r="112" spans="1:11" x14ac:dyDescent="0.2">
      <c r="A112">
        <v>88</v>
      </c>
      <c r="B112">
        <v>8577364.3441673107</v>
      </c>
      <c r="D112" s="2"/>
      <c r="E112" s="2"/>
      <c r="F112" s="2"/>
      <c r="G112" s="2"/>
      <c r="H112" s="2"/>
      <c r="I112" s="2"/>
      <c r="J112" s="2"/>
      <c r="K112" s="2"/>
    </row>
    <row r="113" spans="1:11" x14ac:dyDescent="0.2">
      <c r="A113">
        <v>89</v>
      </c>
      <c r="B113">
        <v>1029266.2689466379</v>
      </c>
      <c r="D113" s="2"/>
      <c r="E113" s="2"/>
      <c r="F113" s="2"/>
      <c r="G113" s="2"/>
      <c r="H113" s="2"/>
      <c r="I113" s="2"/>
      <c r="J113" s="2"/>
      <c r="K113" s="2"/>
    </row>
    <row r="114" spans="1:11" x14ac:dyDescent="0.2">
      <c r="A114">
        <v>90</v>
      </c>
      <c r="B114">
        <v>6462646.0253157606</v>
      </c>
      <c r="D114" s="2"/>
      <c r="E114" s="2"/>
      <c r="F114" s="2"/>
      <c r="G114" s="2"/>
      <c r="H114" s="2"/>
      <c r="I114" s="2"/>
      <c r="J114" s="2"/>
      <c r="K114" s="2"/>
    </row>
    <row r="115" spans="1:11" x14ac:dyDescent="0.2">
      <c r="A115">
        <v>91</v>
      </c>
      <c r="B115">
        <v>2418699.9598435657</v>
      </c>
      <c r="D115" s="2"/>
      <c r="E115" s="2"/>
      <c r="F115" s="2"/>
      <c r="G115" s="2"/>
      <c r="H115" s="2"/>
      <c r="I115" s="2"/>
      <c r="J115" s="2"/>
      <c r="K115" s="2"/>
    </row>
    <row r="116" spans="1:11" x14ac:dyDescent="0.2">
      <c r="A116">
        <v>92</v>
      </c>
      <c r="B116">
        <v>5791181.7508462714</v>
      </c>
      <c r="D116" s="2"/>
      <c r="E116" s="2"/>
      <c r="F116" s="2"/>
      <c r="G116" s="2"/>
      <c r="H116" s="2"/>
      <c r="I116" s="2"/>
      <c r="J116" s="2"/>
      <c r="K116" s="2"/>
    </row>
    <row r="117" spans="1:11" x14ac:dyDescent="0.2">
      <c r="A117">
        <v>93</v>
      </c>
      <c r="B117">
        <v>7012938.5213936428</v>
      </c>
      <c r="D117" s="2"/>
      <c r="E117" s="2"/>
      <c r="F117" s="2"/>
      <c r="G117" s="2"/>
      <c r="H117" s="2"/>
      <c r="I117" s="2"/>
      <c r="J117" s="2"/>
      <c r="K117" s="2"/>
    </row>
    <row r="118" spans="1:11" x14ac:dyDescent="0.2">
      <c r="A118">
        <v>94</v>
      </c>
      <c r="B118">
        <v>5317866.5154134892</v>
      </c>
      <c r="D118" s="2"/>
      <c r="E118" s="2"/>
      <c r="F118" s="2"/>
      <c r="G118" s="2"/>
      <c r="H118" s="2"/>
      <c r="I118" s="2"/>
      <c r="J118" s="2"/>
      <c r="K118" s="2"/>
    </row>
    <row r="119" spans="1:11" x14ac:dyDescent="0.2">
      <c r="A119">
        <v>95</v>
      </c>
      <c r="B119">
        <v>3365823.9958657166</v>
      </c>
      <c r="D119" s="2"/>
      <c r="E119" s="2"/>
      <c r="F119" s="2"/>
      <c r="G119" s="2"/>
      <c r="H119" s="2"/>
      <c r="I119" s="2"/>
      <c r="J119" s="2"/>
      <c r="K119" s="2"/>
    </row>
    <row r="120" spans="1:11" x14ac:dyDescent="0.2">
      <c r="A120">
        <v>96</v>
      </c>
      <c r="B120">
        <v>5368414.7084425259</v>
      </c>
      <c r="D120" s="2"/>
      <c r="E120" s="2"/>
      <c r="F120" s="2"/>
      <c r="G120" s="2"/>
      <c r="H120" s="2"/>
      <c r="I120" s="2"/>
      <c r="J120" s="2"/>
      <c r="K120" s="2"/>
    </row>
    <row r="121" spans="1:11" x14ac:dyDescent="0.2">
      <c r="A121">
        <v>97</v>
      </c>
      <c r="B121">
        <v>8183700.8736387705</v>
      </c>
      <c r="D121" s="2"/>
      <c r="E121" s="2"/>
      <c r="F121" s="2"/>
      <c r="G121" s="2"/>
      <c r="H121" s="2"/>
      <c r="I121" s="2"/>
      <c r="J121" s="2"/>
      <c r="K121" s="2"/>
    </row>
    <row r="122" spans="1:11" x14ac:dyDescent="0.2">
      <c r="A122">
        <v>98</v>
      </c>
      <c r="B122">
        <v>2666155.1212041145</v>
      </c>
      <c r="D122" s="2"/>
      <c r="E122" s="2"/>
      <c r="F122" s="2"/>
      <c r="G122" s="2"/>
      <c r="H122" s="2"/>
      <c r="I122" s="2"/>
      <c r="J122" s="2"/>
      <c r="K122" s="2"/>
    </row>
    <row r="123" spans="1:11" x14ac:dyDescent="0.2">
      <c r="A123">
        <v>99</v>
      </c>
      <c r="B123">
        <v>-297304.38304984104</v>
      </c>
      <c r="D123" s="2"/>
      <c r="E123" s="2"/>
      <c r="F123" s="2"/>
      <c r="G123" s="2"/>
      <c r="H123" s="2"/>
      <c r="I123" s="2"/>
      <c r="J123" s="2"/>
      <c r="K123" s="2"/>
    </row>
    <row r="124" spans="1:11" x14ac:dyDescent="0.2">
      <c r="A124">
        <v>100</v>
      </c>
      <c r="B124">
        <v>18953736.65465194</v>
      </c>
      <c r="D124" s="2"/>
      <c r="E124" s="2"/>
      <c r="F124" s="2"/>
      <c r="G124" s="2"/>
      <c r="H124" s="2"/>
      <c r="I124" s="2"/>
      <c r="J124" s="2"/>
      <c r="K124" s="2"/>
    </row>
    <row r="125" spans="1:11" x14ac:dyDescent="0.2">
      <c r="A125">
        <v>101</v>
      </c>
      <c r="B125">
        <v>3078771.6863025646</v>
      </c>
      <c r="D125" s="2"/>
      <c r="E125" s="2"/>
      <c r="F125" s="2"/>
      <c r="G125" s="2"/>
      <c r="H125" s="2"/>
      <c r="I125" s="2"/>
      <c r="J125" s="2"/>
      <c r="K125" s="2"/>
    </row>
    <row r="126" spans="1:11" x14ac:dyDescent="0.2">
      <c r="A126">
        <v>102</v>
      </c>
      <c r="B126">
        <v>5060825.7775540976</v>
      </c>
      <c r="D126" s="2"/>
      <c r="E126" s="2"/>
      <c r="F126" s="2"/>
      <c r="G126" s="2"/>
      <c r="H126" s="2"/>
      <c r="I126" s="2"/>
      <c r="J126" s="2"/>
      <c r="K126" s="2"/>
    </row>
    <row r="127" spans="1:11" x14ac:dyDescent="0.2">
      <c r="A127">
        <v>103</v>
      </c>
      <c r="B127">
        <v>12582099.857620405</v>
      </c>
      <c r="D127" s="2"/>
      <c r="E127" s="2"/>
      <c r="F127" s="2"/>
      <c r="G127" s="2"/>
      <c r="H127" s="2"/>
      <c r="I127" s="2"/>
      <c r="J127" s="2"/>
      <c r="K127" s="2"/>
    </row>
    <row r="128" spans="1:11" x14ac:dyDescent="0.2">
      <c r="A128">
        <v>104</v>
      </c>
      <c r="B128">
        <v>1336023.8139844537</v>
      </c>
      <c r="D128" s="2"/>
      <c r="E128" s="2"/>
      <c r="F128" s="2"/>
      <c r="G128" s="2"/>
      <c r="H128" s="2"/>
      <c r="I128" s="2"/>
      <c r="J128" s="2"/>
      <c r="K128" s="2"/>
    </row>
    <row r="129" spans="1:11" x14ac:dyDescent="0.2">
      <c r="A129">
        <v>105</v>
      </c>
      <c r="B129">
        <v>7329417.0068670055</v>
      </c>
      <c r="D129" s="2"/>
      <c r="E129" s="2"/>
      <c r="F129" s="2"/>
      <c r="G129" s="2"/>
      <c r="H129" s="2"/>
      <c r="I129" s="2"/>
      <c r="J129" s="2"/>
      <c r="K129" s="2"/>
    </row>
    <row r="130" spans="1:11" x14ac:dyDescent="0.2">
      <c r="A130">
        <v>106</v>
      </c>
      <c r="B130">
        <v>1068864.7154302886</v>
      </c>
      <c r="D130" s="2"/>
      <c r="E130" s="2"/>
      <c r="F130" s="2"/>
      <c r="G130" s="2"/>
      <c r="H130" s="2"/>
      <c r="I130" s="2"/>
      <c r="J130" s="2"/>
      <c r="K130" s="2"/>
    </row>
    <row r="131" spans="1:11" x14ac:dyDescent="0.2">
      <c r="A131">
        <v>107</v>
      </c>
      <c r="B131">
        <v>7243570.5506434264</v>
      </c>
      <c r="D131" s="2"/>
      <c r="E131" s="2"/>
      <c r="F131" s="2"/>
      <c r="G131" s="2"/>
      <c r="H131" s="2"/>
      <c r="I131" s="2"/>
      <c r="J131" s="2"/>
      <c r="K131" s="2"/>
    </row>
    <row r="132" spans="1:11" x14ac:dyDescent="0.2">
      <c r="A132">
        <v>108</v>
      </c>
      <c r="B132">
        <v>-89540.860998651362</v>
      </c>
      <c r="D132" s="2"/>
      <c r="E132" s="2"/>
      <c r="F132" s="2"/>
      <c r="G132" s="2"/>
      <c r="H132" s="2"/>
      <c r="I132" s="2"/>
      <c r="J132" s="2"/>
      <c r="K132" s="2"/>
    </row>
    <row r="133" spans="1:11" x14ac:dyDescent="0.2">
      <c r="A133">
        <v>109</v>
      </c>
      <c r="B133">
        <v>3530031.4473443935</v>
      </c>
      <c r="D133" s="2"/>
      <c r="E133" s="2"/>
      <c r="F133" s="2"/>
      <c r="G133" s="2"/>
      <c r="H133" s="2"/>
      <c r="I133" s="2"/>
      <c r="J133" s="2"/>
      <c r="K133" s="2"/>
    </row>
    <row r="134" spans="1:11" x14ac:dyDescent="0.2">
      <c r="A134">
        <v>110</v>
      </c>
      <c r="B134">
        <v>1117309.4399104037</v>
      </c>
      <c r="D134" s="2"/>
      <c r="E134" s="2"/>
      <c r="F134" s="2"/>
      <c r="G134" s="2"/>
      <c r="H134" s="2"/>
      <c r="I134" s="2"/>
      <c r="J134" s="2"/>
      <c r="K134" s="2"/>
    </row>
    <row r="135" spans="1:11" x14ac:dyDescent="0.2">
      <c r="A135">
        <v>111</v>
      </c>
      <c r="B135">
        <v>2964255.0325232171</v>
      </c>
      <c r="D135" s="2"/>
      <c r="E135" s="2"/>
      <c r="F135" s="2"/>
      <c r="G135" s="2"/>
      <c r="H135" s="2"/>
      <c r="I135" s="2"/>
      <c r="J135" s="2"/>
      <c r="K135" s="2"/>
    </row>
    <row r="136" spans="1:11" x14ac:dyDescent="0.2">
      <c r="A136">
        <v>112</v>
      </c>
      <c r="B136">
        <v>6886773.7728393432</v>
      </c>
      <c r="D136" s="2"/>
      <c r="E136" s="2"/>
      <c r="F136" s="2"/>
      <c r="G136" s="2"/>
      <c r="H136" s="2"/>
      <c r="I136" s="2"/>
      <c r="J136" s="2"/>
      <c r="K136" s="2"/>
    </row>
    <row r="137" spans="1:11" x14ac:dyDescent="0.2">
      <c r="A137">
        <v>113</v>
      </c>
      <c r="B137">
        <v>6531979.1551079052</v>
      </c>
      <c r="D137" s="2"/>
      <c r="E137" s="2"/>
      <c r="F137" s="2"/>
      <c r="G137" s="2"/>
      <c r="H137" s="2"/>
      <c r="I137" s="2"/>
      <c r="J137" s="2"/>
      <c r="K137" s="2"/>
    </row>
    <row r="138" spans="1:11" x14ac:dyDescent="0.2">
      <c r="A138">
        <v>114</v>
      </c>
      <c r="B138">
        <v>-1280900.5722883518</v>
      </c>
      <c r="D138" s="2"/>
      <c r="E138" s="2"/>
      <c r="F138" s="2"/>
      <c r="G138" s="2"/>
      <c r="H138" s="2"/>
      <c r="I138" s="2"/>
      <c r="J138" s="2"/>
      <c r="K138" s="2"/>
    </row>
    <row r="139" spans="1:11" x14ac:dyDescent="0.2">
      <c r="A139">
        <v>115</v>
      </c>
      <c r="B139">
        <v>12115400.634676481</v>
      </c>
      <c r="D139" s="2"/>
      <c r="E139" s="2"/>
      <c r="F139" s="2"/>
      <c r="G139" s="2"/>
      <c r="H139" s="2"/>
      <c r="I139" s="2"/>
      <c r="J139" s="2"/>
      <c r="K139" s="2"/>
    </row>
    <row r="140" spans="1:11" x14ac:dyDescent="0.2">
      <c r="A140">
        <v>116</v>
      </c>
      <c r="B140">
        <v>2468323.3668791796</v>
      </c>
      <c r="D140" s="2"/>
      <c r="E140" s="2"/>
      <c r="F140" s="2"/>
      <c r="G140" s="2"/>
      <c r="H140" s="2"/>
      <c r="I140" s="2"/>
      <c r="J140" s="2"/>
      <c r="K140" s="2"/>
    </row>
    <row r="141" spans="1:11" x14ac:dyDescent="0.2">
      <c r="A141">
        <v>117</v>
      </c>
      <c r="B141">
        <v>2157654.38509419</v>
      </c>
      <c r="D141" s="2"/>
      <c r="E141" s="2"/>
      <c r="F141" s="2"/>
      <c r="G141" s="2"/>
      <c r="H141" s="2"/>
      <c r="I141" s="2"/>
      <c r="J141" s="2"/>
      <c r="K141" s="2"/>
    </row>
    <row r="142" spans="1:11" x14ac:dyDescent="0.2">
      <c r="A142">
        <v>118</v>
      </c>
      <c r="B142">
        <v>-1297196.8700356958</v>
      </c>
      <c r="D142" s="2"/>
      <c r="E142" s="2"/>
      <c r="F142" s="2"/>
      <c r="G142" s="2"/>
      <c r="H142" s="2"/>
      <c r="I142" s="2"/>
      <c r="J142" s="2"/>
      <c r="K142" s="2"/>
    </row>
    <row r="143" spans="1:11" x14ac:dyDescent="0.2">
      <c r="A143">
        <v>119</v>
      </c>
      <c r="B143">
        <v>7881187.3265448567</v>
      </c>
      <c r="D143" s="2"/>
      <c r="E143" s="2"/>
      <c r="F143" s="2"/>
      <c r="G143" s="2"/>
      <c r="H143" s="2"/>
      <c r="I143" s="2"/>
      <c r="J143" s="2"/>
      <c r="K143" s="2"/>
    </row>
    <row r="144" spans="1:11" x14ac:dyDescent="0.2">
      <c r="A144">
        <v>120</v>
      </c>
      <c r="B144">
        <v>-116467.41359004105</v>
      </c>
      <c r="D144" s="2"/>
      <c r="E144" s="2"/>
      <c r="F144" s="2"/>
      <c r="G144" s="2"/>
      <c r="H144" s="2"/>
      <c r="I144" s="2"/>
      <c r="J144" s="2"/>
      <c r="K144" s="2"/>
    </row>
    <row r="145" spans="1:11" x14ac:dyDescent="0.2">
      <c r="A145">
        <v>121</v>
      </c>
      <c r="B145">
        <v>12428196.909569008</v>
      </c>
      <c r="D145" s="2"/>
      <c r="E145" s="2"/>
      <c r="F145" s="2"/>
      <c r="G145" s="2"/>
      <c r="H145" s="2"/>
      <c r="I145" s="2"/>
      <c r="J145" s="2"/>
      <c r="K145" s="2"/>
    </row>
    <row r="146" spans="1:11" x14ac:dyDescent="0.2">
      <c r="A146">
        <v>122</v>
      </c>
      <c r="B146">
        <v>4473427.8056282662</v>
      </c>
      <c r="D146" s="2"/>
      <c r="E146" s="2"/>
      <c r="F146" s="2"/>
      <c r="G146" s="2"/>
      <c r="H146" s="2"/>
      <c r="I146" s="2"/>
      <c r="J146" s="2"/>
      <c r="K146" s="2"/>
    </row>
    <row r="147" spans="1:11" x14ac:dyDescent="0.2">
      <c r="A147">
        <v>123</v>
      </c>
      <c r="B147">
        <v>10843507.786527956</v>
      </c>
      <c r="D147" s="2"/>
      <c r="E147" s="2"/>
      <c r="F147" s="2"/>
      <c r="G147" s="2"/>
      <c r="H147" s="2"/>
      <c r="I147" s="2"/>
      <c r="J147" s="2"/>
      <c r="K147" s="2"/>
    </row>
    <row r="148" spans="1:11" x14ac:dyDescent="0.2">
      <c r="A148">
        <v>124</v>
      </c>
      <c r="B148">
        <v>8511724.4690995179</v>
      </c>
      <c r="D148" s="2"/>
      <c r="E148" s="2"/>
      <c r="F148" s="2"/>
      <c r="G148" s="2"/>
      <c r="H148" s="2"/>
      <c r="I148" s="2"/>
      <c r="J148" s="2"/>
      <c r="K148" s="2"/>
    </row>
    <row r="149" spans="1:11" x14ac:dyDescent="0.2">
      <c r="A149">
        <v>125</v>
      </c>
      <c r="B149">
        <v>102314.97530672094</v>
      </c>
      <c r="D149" s="2"/>
      <c r="E149" s="2"/>
      <c r="F149" s="2"/>
      <c r="G149" s="2"/>
      <c r="H149" s="2"/>
      <c r="I149" s="2"/>
      <c r="J149" s="2"/>
      <c r="K149" s="2"/>
    </row>
    <row r="150" spans="1:11" x14ac:dyDescent="0.2">
      <c r="A150">
        <v>126</v>
      </c>
      <c r="B150">
        <v>-342094.32024741854</v>
      </c>
      <c r="D150" s="2"/>
      <c r="E150" s="2"/>
      <c r="F150" s="2"/>
      <c r="G150" s="2"/>
      <c r="H150" s="2"/>
      <c r="I150" s="2"/>
      <c r="J150" s="2"/>
      <c r="K150" s="2"/>
    </row>
    <row r="151" spans="1:11" x14ac:dyDescent="0.2">
      <c r="A151">
        <v>127</v>
      </c>
      <c r="B151">
        <v>2120476.4939965792</v>
      </c>
      <c r="D151" s="2"/>
      <c r="E151" s="2"/>
      <c r="F151" s="2"/>
      <c r="G151" s="2"/>
      <c r="H151" s="2"/>
      <c r="I151" s="2"/>
      <c r="J151" s="2"/>
      <c r="K151" s="2"/>
    </row>
    <row r="152" spans="1:11" x14ac:dyDescent="0.2">
      <c r="A152">
        <v>128</v>
      </c>
      <c r="B152">
        <v>4437978.448205173</v>
      </c>
      <c r="D152" s="2"/>
      <c r="E152" s="2"/>
      <c r="F152" s="2"/>
      <c r="G152" s="2"/>
      <c r="H152" s="2"/>
      <c r="I152" s="2"/>
      <c r="J152" s="2"/>
      <c r="K152" s="2"/>
    </row>
    <row r="153" spans="1:11" x14ac:dyDescent="0.2">
      <c r="A153">
        <v>129</v>
      </c>
      <c r="B153">
        <v>728824.99523508246</v>
      </c>
      <c r="D153" s="2"/>
      <c r="E153" s="2"/>
      <c r="F153" s="2"/>
      <c r="G153" s="2"/>
      <c r="H153" s="2"/>
      <c r="I153" s="2"/>
      <c r="J153" s="2"/>
      <c r="K153" s="2"/>
    </row>
    <row r="154" spans="1:11" x14ac:dyDescent="0.2">
      <c r="A154">
        <v>130</v>
      </c>
      <c r="B154">
        <v>3591862.4082978927</v>
      </c>
      <c r="D154" s="2"/>
      <c r="E154" s="2"/>
      <c r="F154" s="2"/>
      <c r="G154" s="2"/>
      <c r="H154" s="2"/>
      <c r="I154" s="2"/>
      <c r="J154" s="2"/>
      <c r="K154" s="2"/>
    </row>
    <row r="155" spans="1:11" x14ac:dyDescent="0.2">
      <c r="A155">
        <v>131</v>
      </c>
      <c r="B155">
        <v>3680639.4941707277</v>
      </c>
      <c r="D155" s="2"/>
      <c r="E155" s="2"/>
      <c r="F155" s="2"/>
      <c r="G155" s="2"/>
      <c r="H155" s="2"/>
      <c r="I155" s="2"/>
      <c r="J155" s="2"/>
      <c r="K155" s="2"/>
    </row>
    <row r="156" spans="1:11" x14ac:dyDescent="0.2">
      <c r="A156">
        <v>132</v>
      </c>
      <c r="B156">
        <v>-1882843.097288854</v>
      </c>
      <c r="D156" s="2"/>
      <c r="E156" s="2"/>
      <c r="F156" s="2"/>
      <c r="G156" s="2"/>
      <c r="H156" s="2"/>
      <c r="I156" s="2"/>
      <c r="J156" s="2"/>
      <c r="K156" s="2"/>
    </row>
    <row r="157" spans="1:11" x14ac:dyDescent="0.2">
      <c r="A157">
        <v>133</v>
      </c>
      <c r="B157">
        <v>900997.24348388717</v>
      </c>
      <c r="D157" s="2"/>
      <c r="E157" s="2"/>
      <c r="F157" s="2"/>
      <c r="G157" s="2"/>
      <c r="H157" s="2"/>
      <c r="I157" s="2"/>
      <c r="J157" s="2"/>
      <c r="K157" s="2"/>
    </row>
    <row r="158" spans="1:11" x14ac:dyDescent="0.2">
      <c r="A158">
        <v>134</v>
      </c>
      <c r="B158">
        <v>9443953.746452244</v>
      </c>
      <c r="D158" s="2"/>
      <c r="E158" s="2"/>
      <c r="F158" s="2"/>
      <c r="G158" s="2"/>
      <c r="H158" s="2"/>
      <c r="I158" s="2"/>
      <c r="J158" s="2"/>
      <c r="K158" s="2"/>
    </row>
    <row r="159" spans="1:11" x14ac:dyDescent="0.2">
      <c r="A159">
        <v>135</v>
      </c>
      <c r="B159">
        <v>5865256.1700500958</v>
      </c>
      <c r="D159" s="2"/>
      <c r="E159" s="2"/>
      <c r="F159" s="2"/>
      <c r="G159" s="2"/>
      <c r="H159" s="2"/>
      <c r="I159" s="2"/>
      <c r="J159" s="2"/>
      <c r="K159" s="2"/>
    </row>
    <row r="160" spans="1:11" x14ac:dyDescent="0.2">
      <c r="A160">
        <v>136</v>
      </c>
      <c r="B160">
        <v>30373.834045667027</v>
      </c>
      <c r="D160" s="2"/>
      <c r="E160" s="2"/>
      <c r="F160" s="2"/>
      <c r="G160" s="2"/>
      <c r="H160" s="2"/>
      <c r="I160" s="2"/>
      <c r="J160" s="2"/>
      <c r="K160" s="2"/>
    </row>
    <row r="161" spans="1:11" x14ac:dyDescent="0.2">
      <c r="A161">
        <v>137</v>
      </c>
      <c r="B161">
        <v>1046927.2984359562</v>
      </c>
      <c r="D161" s="2"/>
      <c r="E161" s="2"/>
      <c r="F161" s="2"/>
      <c r="G161" s="2"/>
      <c r="H161" s="2"/>
      <c r="I161" s="2"/>
      <c r="J161" s="2"/>
      <c r="K161" s="2"/>
    </row>
    <row r="162" spans="1:11" x14ac:dyDescent="0.2">
      <c r="A162">
        <v>138</v>
      </c>
      <c r="B162">
        <v>9578413.1811903138</v>
      </c>
      <c r="D162" s="2"/>
      <c r="E162" s="2"/>
      <c r="F162" s="2"/>
      <c r="G162" s="2"/>
      <c r="H162" s="2"/>
      <c r="I162" s="2"/>
      <c r="J162" s="2"/>
      <c r="K162" s="2"/>
    </row>
    <row r="163" spans="1:11" x14ac:dyDescent="0.2">
      <c r="A163">
        <v>139</v>
      </c>
      <c r="B163">
        <v>-286094.11130683997</v>
      </c>
      <c r="D163" s="2"/>
      <c r="E163" s="2"/>
      <c r="F163" s="2"/>
      <c r="G163" s="2"/>
      <c r="H163" s="2"/>
      <c r="I163" s="2"/>
      <c r="J163" s="2"/>
      <c r="K163" s="2"/>
    </row>
    <row r="164" spans="1:11" x14ac:dyDescent="0.2">
      <c r="A164">
        <v>140</v>
      </c>
      <c r="B164">
        <v>4569419.3074124381</v>
      </c>
      <c r="D164" s="2"/>
      <c r="E164" s="2"/>
      <c r="F164" s="2"/>
      <c r="G164" s="2"/>
      <c r="H164" s="2"/>
      <c r="I164" s="2"/>
      <c r="J164" s="2"/>
      <c r="K164" s="2"/>
    </row>
    <row r="165" spans="1:11" x14ac:dyDescent="0.2">
      <c r="A165">
        <v>141</v>
      </c>
      <c r="B165">
        <v>11204107.122365154</v>
      </c>
      <c r="D165" s="2"/>
      <c r="E165" s="2"/>
      <c r="F165" s="2"/>
      <c r="G165" s="2"/>
      <c r="H165" s="2"/>
      <c r="I165" s="2"/>
      <c r="J165" s="2"/>
      <c r="K165" s="2"/>
    </row>
    <row r="166" spans="1:11" x14ac:dyDescent="0.2">
      <c r="A166">
        <v>142</v>
      </c>
      <c r="B166">
        <v>2661081.03807043</v>
      </c>
      <c r="D166" s="2"/>
      <c r="E166" s="2"/>
      <c r="F166" s="2"/>
      <c r="G166" s="2"/>
      <c r="H166" s="2"/>
      <c r="I166" s="2"/>
      <c r="J166" s="2"/>
      <c r="K166" s="2"/>
    </row>
    <row r="167" spans="1:11" x14ac:dyDescent="0.2">
      <c r="A167">
        <v>143</v>
      </c>
      <c r="B167">
        <v>-71014.428753302898</v>
      </c>
      <c r="D167" s="2"/>
      <c r="E167" s="2"/>
      <c r="F167" s="2"/>
      <c r="G167" s="2"/>
      <c r="H167" s="2"/>
      <c r="I167" s="2"/>
      <c r="J167" s="2"/>
      <c r="K167" s="2"/>
    </row>
    <row r="168" spans="1:11" x14ac:dyDescent="0.2">
      <c r="A168">
        <v>144</v>
      </c>
      <c r="B168">
        <v>2967056.8322955398</v>
      </c>
      <c r="D168" s="2"/>
      <c r="E168" s="2"/>
      <c r="F168" s="2"/>
      <c r="G168" s="2"/>
      <c r="H168" s="2"/>
      <c r="I168" s="2"/>
      <c r="J168" s="2"/>
      <c r="K168" s="2"/>
    </row>
    <row r="169" spans="1:11" x14ac:dyDescent="0.2">
      <c r="A169">
        <v>145</v>
      </c>
      <c r="B169">
        <v>6611885.4996785857</v>
      </c>
      <c r="D169" s="2"/>
      <c r="E169" s="2"/>
      <c r="F169" s="2"/>
      <c r="G169" s="2"/>
      <c r="H169" s="2"/>
      <c r="I169" s="2"/>
      <c r="J169" s="2"/>
      <c r="K169" s="2"/>
    </row>
    <row r="170" spans="1:11" x14ac:dyDescent="0.2">
      <c r="A170">
        <v>146</v>
      </c>
      <c r="B170">
        <v>8272354.0386897596</v>
      </c>
      <c r="D170" s="2"/>
      <c r="E170" s="2"/>
      <c r="F170" s="2"/>
      <c r="G170" s="2"/>
      <c r="H170" s="2"/>
      <c r="I170" s="2"/>
      <c r="J170" s="2"/>
      <c r="K170" s="2"/>
    </row>
    <row r="171" spans="1:11" x14ac:dyDescent="0.2">
      <c r="A171">
        <v>147</v>
      </c>
      <c r="B171">
        <v>1878815.8703587714</v>
      </c>
      <c r="D171" s="2"/>
      <c r="E171" s="2"/>
      <c r="F171" s="2"/>
      <c r="G171" s="2"/>
      <c r="H171" s="2"/>
      <c r="I171" s="2"/>
      <c r="J171" s="2"/>
      <c r="K171" s="2"/>
    </row>
    <row r="172" spans="1:11" x14ac:dyDescent="0.2">
      <c r="A172">
        <v>148</v>
      </c>
      <c r="B172">
        <v>6921303.9065044858</v>
      </c>
      <c r="D172" s="2"/>
      <c r="E172" s="2"/>
      <c r="F172" s="2"/>
      <c r="G172" s="2"/>
      <c r="H172" s="2"/>
      <c r="I172" s="2"/>
      <c r="J172" s="2"/>
      <c r="K172" s="2"/>
    </row>
    <row r="173" spans="1:11" x14ac:dyDescent="0.2">
      <c r="A173">
        <v>149</v>
      </c>
      <c r="B173">
        <v>11983947.388889916</v>
      </c>
      <c r="D173" s="2"/>
      <c r="E173" s="2"/>
      <c r="F173" s="2"/>
      <c r="G173" s="2"/>
      <c r="H173" s="2"/>
      <c r="I173" s="2"/>
      <c r="J173" s="2"/>
      <c r="K173" s="2"/>
    </row>
    <row r="174" spans="1:11" x14ac:dyDescent="0.2">
      <c r="A174">
        <v>150</v>
      </c>
      <c r="B174">
        <v>2317648.0887187398</v>
      </c>
      <c r="D174" s="2"/>
      <c r="E174" s="2"/>
      <c r="F174" s="2"/>
      <c r="G174" s="2"/>
      <c r="H174" s="2"/>
      <c r="I174" s="2"/>
      <c r="J174" s="2"/>
      <c r="K174" s="2"/>
    </row>
    <row r="175" spans="1:11" x14ac:dyDescent="0.2">
      <c r="A175">
        <v>151</v>
      </c>
      <c r="B175">
        <v>7756397.1454530824</v>
      </c>
      <c r="D175" s="2"/>
      <c r="E175" s="2"/>
      <c r="F175" s="2"/>
      <c r="G175" s="2"/>
      <c r="H175" s="2"/>
      <c r="I175" s="2"/>
      <c r="J175" s="2"/>
      <c r="K175" s="2"/>
    </row>
    <row r="176" spans="1:11" x14ac:dyDescent="0.2">
      <c r="A176">
        <v>152</v>
      </c>
      <c r="B176">
        <v>-109535.89023312958</v>
      </c>
      <c r="D176" s="2"/>
      <c r="E176" s="2"/>
      <c r="F176" s="2"/>
      <c r="G176" s="2"/>
      <c r="H176" s="2"/>
      <c r="I176" s="2"/>
      <c r="J176" s="2"/>
      <c r="K176" s="2"/>
    </row>
    <row r="177" spans="1:11" x14ac:dyDescent="0.2">
      <c r="A177">
        <v>153</v>
      </c>
      <c r="B177">
        <v>3460046.0005320534</v>
      </c>
      <c r="D177" s="2"/>
      <c r="E177" s="2"/>
      <c r="F177" s="2"/>
      <c r="G177" s="2"/>
      <c r="H177" s="2"/>
      <c r="I177" s="2"/>
      <c r="J177" s="2"/>
      <c r="K177" s="2"/>
    </row>
    <row r="178" spans="1:11" x14ac:dyDescent="0.2">
      <c r="A178">
        <v>154</v>
      </c>
      <c r="B178">
        <v>3036794.4072152441</v>
      </c>
      <c r="D178" s="2"/>
      <c r="E178" s="2"/>
      <c r="F178" s="2"/>
      <c r="G178" s="2"/>
      <c r="H178" s="2"/>
      <c r="I178" s="2"/>
      <c r="J178" s="2"/>
      <c r="K178" s="2"/>
    </row>
    <row r="179" spans="1:11" x14ac:dyDescent="0.2">
      <c r="A179">
        <v>155</v>
      </c>
      <c r="B179">
        <v>3649166.4636296621</v>
      </c>
      <c r="D179" s="2"/>
      <c r="E179" s="2"/>
      <c r="F179" s="2"/>
      <c r="G179" s="2"/>
      <c r="H179" s="2"/>
      <c r="I179" s="2"/>
      <c r="J179" s="2"/>
      <c r="K179" s="2"/>
    </row>
    <row r="180" spans="1:11" x14ac:dyDescent="0.2">
      <c r="A180">
        <v>156</v>
      </c>
      <c r="B180">
        <v>747912.71058423421</v>
      </c>
      <c r="D180" s="2"/>
      <c r="E180" s="2"/>
      <c r="F180" s="2"/>
      <c r="G180" s="2"/>
      <c r="H180" s="2"/>
      <c r="I180" s="2"/>
      <c r="J180" s="2"/>
      <c r="K180" s="2"/>
    </row>
    <row r="181" spans="1:11" x14ac:dyDescent="0.2">
      <c r="A181">
        <v>157</v>
      </c>
      <c r="B181">
        <v>1814804.8704585112</v>
      </c>
      <c r="D181" s="2"/>
      <c r="E181" s="2"/>
      <c r="F181" s="2"/>
      <c r="G181" s="2"/>
      <c r="H181" s="2"/>
      <c r="I181" s="2"/>
      <c r="J181" s="2"/>
      <c r="K181" s="2"/>
    </row>
    <row r="182" spans="1:11" x14ac:dyDescent="0.2">
      <c r="A182">
        <v>158</v>
      </c>
      <c r="B182">
        <v>7065156.0978715913</v>
      </c>
      <c r="D182" s="2"/>
      <c r="E182" s="2"/>
      <c r="F182" s="2"/>
      <c r="G182" s="2"/>
      <c r="H182" s="2"/>
      <c r="I182" s="2"/>
      <c r="J182" s="2"/>
      <c r="K182" s="2"/>
    </row>
    <row r="183" spans="1:11" x14ac:dyDescent="0.2">
      <c r="A183">
        <v>159</v>
      </c>
      <c r="B183">
        <v>966416.54988488625</v>
      </c>
      <c r="D183" s="2"/>
      <c r="E183" s="2"/>
      <c r="F183" s="2"/>
      <c r="G183" s="2"/>
      <c r="H183" s="2"/>
      <c r="I183" s="2"/>
      <c r="J183" s="2"/>
      <c r="K183" s="2"/>
    </row>
    <row r="184" spans="1:11" x14ac:dyDescent="0.2">
      <c r="A184">
        <v>160</v>
      </c>
      <c r="B184">
        <v>-1561113.6839971624</v>
      </c>
      <c r="D184" s="2"/>
      <c r="E184" s="2"/>
      <c r="F184" s="2"/>
      <c r="G184" s="2"/>
      <c r="H184" s="2"/>
      <c r="I184" s="2"/>
      <c r="J184" s="2"/>
      <c r="K184" s="2"/>
    </row>
    <row r="185" spans="1:11" x14ac:dyDescent="0.2">
      <c r="A185">
        <v>161</v>
      </c>
      <c r="B185">
        <v>12982108.999088842</v>
      </c>
      <c r="D185" s="2"/>
      <c r="E185" s="2"/>
      <c r="F185" s="2"/>
      <c r="G185" s="2"/>
      <c r="H185" s="2"/>
      <c r="I185" s="2"/>
      <c r="J185" s="2"/>
      <c r="K185" s="2"/>
    </row>
    <row r="186" spans="1:11" x14ac:dyDescent="0.2">
      <c r="A186">
        <v>162</v>
      </c>
      <c r="B186">
        <v>1523709.125250329</v>
      </c>
      <c r="D186" s="2"/>
      <c r="E186" s="2"/>
      <c r="F186" s="2"/>
      <c r="G186" s="2"/>
      <c r="H186" s="2"/>
      <c r="I186" s="2"/>
      <c r="J186" s="2"/>
      <c r="K186" s="2"/>
    </row>
    <row r="187" spans="1:11" x14ac:dyDescent="0.2">
      <c r="A187">
        <v>163</v>
      </c>
      <c r="B187">
        <v>5326312.4492112705</v>
      </c>
      <c r="D187" s="2"/>
      <c r="E187" s="2"/>
      <c r="F187" s="2"/>
      <c r="G187" s="2"/>
      <c r="H187" s="2"/>
      <c r="I187" s="2"/>
      <c r="J187" s="2"/>
      <c r="K187" s="2"/>
    </row>
    <row r="188" spans="1:11" x14ac:dyDescent="0.2">
      <c r="A188">
        <v>164</v>
      </c>
      <c r="B188">
        <v>659103.47827259637</v>
      </c>
      <c r="D188" s="2"/>
      <c r="E188" s="2"/>
      <c r="F188" s="2"/>
      <c r="G188" s="2"/>
      <c r="H188" s="2"/>
      <c r="I188" s="2"/>
      <c r="J188" s="2"/>
      <c r="K188" s="2"/>
    </row>
    <row r="189" spans="1:11" x14ac:dyDescent="0.2">
      <c r="A189">
        <v>165</v>
      </c>
      <c r="B189">
        <v>4516260.6097860504</v>
      </c>
      <c r="D189" s="2"/>
      <c r="E189" s="2"/>
      <c r="F189" s="2"/>
      <c r="G189" s="2"/>
      <c r="H189" s="2"/>
      <c r="I189" s="2"/>
      <c r="J189" s="2"/>
      <c r="K189" s="2"/>
    </row>
    <row r="190" spans="1:11" x14ac:dyDescent="0.2">
      <c r="A190">
        <v>166</v>
      </c>
      <c r="B190">
        <v>4580582.0727605494</v>
      </c>
      <c r="D190" s="2"/>
      <c r="E190" s="2"/>
      <c r="F190" s="2"/>
      <c r="G190" s="2"/>
      <c r="H190" s="2"/>
      <c r="I190" s="2"/>
      <c r="J190" s="2"/>
      <c r="K190" s="2"/>
    </row>
    <row r="191" spans="1:11" x14ac:dyDescent="0.2">
      <c r="A191">
        <v>167</v>
      </c>
      <c r="B191">
        <v>3642303.6854963191</v>
      </c>
      <c r="D191" s="2"/>
      <c r="E191" s="2"/>
      <c r="F191" s="2"/>
      <c r="G191" s="2"/>
      <c r="H191" s="2"/>
      <c r="I191" s="2"/>
      <c r="J191" s="2"/>
      <c r="K191" s="2"/>
    </row>
    <row r="192" spans="1:11" x14ac:dyDescent="0.2">
      <c r="A192">
        <v>168</v>
      </c>
      <c r="B192">
        <v>1177884.978923748</v>
      </c>
      <c r="D192" s="2"/>
      <c r="E192" s="2"/>
      <c r="F192" s="2"/>
      <c r="G192" s="2"/>
      <c r="H192" s="2"/>
      <c r="I192" s="2"/>
      <c r="J192" s="2"/>
      <c r="K192" s="2"/>
    </row>
    <row r="193" spans="1:11" x14ac:dyDescent="0.2">
      <c r="A193">
        <v>169</v>
      </c>
      <c r="B193">
        <v>2439603.6175741665</v>
      </c>
      <c r="D193" s="2"/>
      <c r="E193" s="2"/>
      <c r="F193" s="2"/>
      <c r="G193" s="2"/>
      <c r="H193" s="2"/>
      <c r="I193" s="2"/>
      <c r="J193" s="2"/>
      <c r="K193" s="2"/>
    </row>
    <row r="194" spans="1:11" x14ac:dyDescent="0.2">
      <c r="A194">
        <v>170</v>
      </c>
      <c r="B194">
        <v>4580426.2593286857</v>
      </c>
      <c r="D194" s="2"/>
      <c r="E194" s="2"/>
      <c r="F194" s="2"/>
      <c r="G194" s="2"/>
      <c r="H194" s="2"/>
      <c r="I194" s="2"/>
      <c r="J194" s="2"/>
      <c r="K194" s="2"/>
    </row>
    <row r="195" spans="1:11" x14ac:dyDescent="0.2">
      <c r="A195">
        <v>171</v>
      </c>
      <c r="B195">
        <v>3378040.7385505117</v>
      </c>
      <c r="D195" s="2"/>
      <c r="E195" s="2"/>
      <c r="F195" s="2"/>
      <c r="G195" s="2"/>
      <c r="H195" s="2"/>
      <c r="I195" s="2"/>
      <c r="J195" s="2"/>
      <c r="K195" s="2"/>
    </row>
    <row r="196" spans="1:11" x14ac:dyDescent="0.2">
      <c r="A196">
        <v>172</v>
      </c>
      <c r="B196">
        <v>3264093.4817202226</v>
      </c>
      <c r="D196" s="2"/>
      <c r="E196" s="2"/>
      <c r="F196" s="2"/>
      <c r="G196" s="2"/>
      <c r="H196" s="2"/>
      <c r="I196" s="2"/>
      <c r="J196" s="2"/>
      <c r="K196" s="2"/>
    </row>
    <row r="197" spans="1:11" x14ac:dyDescent="0.2">
      <c r="A197">
        <v>173</v>
      </c>
      <c r="B197">
        <v>-1048060.0421254524</v>
      </c>
      <c r="D197" s="2"/>
      <c r="E197" s="2"/>
      <c r="F197" s="2"/>
      <c r="G197" s="2"/>
      <c r="H197" s="2"/>
      <c r="I197" s="2"/>
      <c r="J197" s="2"/>
      <c r="K197" s="2"/>
    </row>
    <row r="198" spans="1:11" x14ac:dyDescent="0.2">
      <c r="A198">
        <v>174</v>
      </c>
      <c r="B198">
        <v>6129535.6981685609</v>
      </c>
      <c r="D198" s="2"/>
      <c r="E198" s="2"/>
      <c r="F198" s="2"/>
      <c r="G198" s="2"/>
      <c r="H198" s="2"/>
      <c r="I198" s="2"/>
      <c r="J198" s="2"/>
      <c r="K198" s="2"/>
    </row>
    <row r="199" spans="1:11" x14ac:dyDescent="0.2">
      <c r="A199">
        <v>175</v>
      </c>
      <c r="B199">
        <v>5309341.1278606355</v>
      </c>
      <c r="D199" s="2"/>
      <c r="E199" s="2"/>
      <c r="F199" s="2"/>
      <c r="G199" s="2"/>
      <c r="H199" s="2"/>
      <c r="I199" s="2"/>
      <c r="J199" s="2"/>
      <c r="K199" s="2"/>
    </row>
    <row r="200" spans="1:11" x14ac:dyDescent="0.2">
      <c r="A200">
        <v>176</v>
      </c>
      <c r="B200">
        <v>3056231.3984747352</v>
      </c>
      <c r="D200" s="2"/>
      <c r="E200" s="2"/>
      <c r="F200" s="2"/>
      <c r="G200" s="2"/>
      <c r="H200" s="2"/>
      <c r="I200" s="2"/>
      <c r="J200" s="2"/>
      <c r="K200" s="2"/>
    </row>
    <row r="201" spans="1:11" x14ac:dyDescent="0.2">
      <c r="A201">
        <v>177</v>
      </c>
      <c r="B201">
        <v>10767439.20972297</v>
      </c>
      <c r="D201" s="2"/>
      <c r="E201" s="2"/>
      <c r="F201" s="2"/>
      <c r="G201" s="2"/>
      <c r="H201" s="2"/>
      <c r="I201" s="2"/>
      <c r="J201" s="2"/>
      <c r="K201" s="2"/>
    </row>
    <row r="202" spans="1:11" x14ac:dyDescent="0.2">
      <c r="A202">
        <v>178</v>
      </c>
      <c r="B202">
        <v>2737319.7819712316</v>
      </c>
      <c r="D202" s="2"/>
      <c r="E202" s="2"/>
      <c r="F202" s="2"/>
      <c r="G202" s="2"/>
      <c r="H202" s="2"/>
      <c r="I202" s="2"/>
      <c r="J202" s="2"/>
      <c r="K202" s="2"/>
    </row>
    <row r="203" spans="1:11" x14ac:dyDescent="0.2">
      <c r="A203">
        <v>179</v>
      </c>
      <c r="B203">
        <v>4107018.6592776258</v>
      </c>
      <c r="D203" s="2"/>
      <c r="E203" s="2"/>
      <c r="F203" s="2"/>
      <c r="G203" s="2"/>
      <c r="H203" s="2"/>
      <c r="I203" s="2"/>
      <c r="J203" s="2"/>
      <c r="K203" s="2"/>
    </row>
    <row r="204" spans="1:11" x14ac:dyDescent="0.2">
      <c r="A204">
        <v>180</v>
      </c>
      <c r="B204">
        <v>2090136.5145754269</v>
      </c>
      <c r="D204" s="2"/>
      <c r="E204" s="2"/>
      <c r="F204" s="2"/>
      <c r="G204" s="2"/>
      <c r="H204" s="2"/>
      <c r="I204" s="2"/>
      <c r="J204" s="2"/>
      <c r="K204" s="2"/>
    </row>
    <row r="205" spans="1:11" x14ac:dyDescent="0.2">
      <c r="A205">
        <v>181</v>
      </c>
      <c r="B205">
        <v>6020039.6810799083</v>
      </c>
      <c r="D205" s="2"/>
      <c r="E205" s="2"/>
      <c r="F205" s="2"/>
      <c r="G205" s="2"/>
      <c r="H205" s="2"/>
      <c r="I205" s="2"/>
      <c r="J205" s="2"/>
      <c r="K205" s="2"/>
    </row>
    <row r="206" spans="1:11" x14ac:dyDescent="0.2">
      <c r="A206">
        <v>182</v>
      </c>
      <c r="B206">
        <v>4670325.4683477981</v>
      </c>
      <c r="D206" s="2"/>
      <c r="E206" s="2"/>
      <c r="F206" s="2"/>
      <c r="G206" s="2"/>
      <c r="H206" s="2"/>
      <c r="I206" s="2"/>
      <c r="J206" s="2"/>
      <c r="K206" s="2"/>
    </row>
    <row r="207" spans="1:11" x14ac:dyDescent="0.2">
      <c r="A207">
        <v>183</v>
      </c>
      <c r="B207">
        <v>7689535.243514955</v>
      </c>
      <c r="D207" s="2"/>
      <c r="E207" s="2"/>
      <c r="F207" s="2"/>
      <c r="G207" s="2"/>
      <c r="H207" s="2"/>
      <c r="I207" s="2"/>
      <c r="J207" s="2"/>
      <c r="K207" s="2"/>
    </row>
    <row r="208" spans="1:11" x14ac:dyDescent="0.2">
      <c r="A208">
        <v>184</v>
      </c>
      <c r="B208">
        <v>12681121.82512222</v>
      </c>
      <c r="D208" s="2"/>
      <c r="E208" s="2"/>
      <c r="F208" s="2"/>
      <c r="G208" s="2"/>
      <c r="H208" s="2"/>
      <c r="I208" s="2"/>
      <c r="J208" s="2"/>
      <c r="K208" s="2"/>
    </row>
    <row r="209" spans="1:11" x14ac:dyDescent="0.2">
      <c r="A209">
        <v>185</v>
      </c>
      <c r="B209">
        <v>8177967.2541830111</v>
      </c>
      <c r="D209" s="2"/>
      <c r="E209" s="2"/>
      <c r="F209" s="2"/>
      <c r="G209" s="2"/>
      <c r="H209" s="2"/>
      <c r="I209" s="2"/>
      <c r="J209" s="2"/>
      <c r="K209" s="2"/>
    </row>
    <row r="210" spans="1:11" x14ac:dyDescent="0.2">
      <c r="A210">
        <v>186</v>
      </c>
      <c r="B210">
        <v>3481827.188167721</v>
      </c>
      <c r="D210" s="2"/>
      <c r="E210" s="2"/>
      <c r="F210" s="2"/>
      <c r="G210" s="2"/>
      <c r="H210" s="2"/>
      <c r="I210" s="2"/>
      <c r="J210" s="2"/>
      <c r="K210" s="2"/>
    </row>
    <row r="211" spans="1:11" x14ac:dyDescent="0.2">
      <c r="A211">
        <v>187</v>
      </c>
      <c r="B211">
        <v>-407980.58981716819</v>
      </c>
      <c r="D211" s="2"/>
      <c r="E211" s="2"/>
      <c r="F211" s="2"/>
      <c r="G211" s="2"/>
      <c r="H211" s="2"/>
      <c r="I211" s="2"/>
      <c r="J211" s="2"/>
      <c r="K211" s="2"/>
    </row>
    <row r="212" spans="1:11" x14ac:dyDescent="0.2">
      <c r="A212">
        <v>188</v>
      </c>
      <c r="B212">
        <v>9342705.6881344505</v>
      </c>
      <c r="D212" s="2"/>
      <c r="E212" s="2"/>
      <c r="F212" s="2"/>
      <c r="G212" s="2"/>
      <c r="H212" s="2"/>
      <c r="I212" s="2"/>
      <c r="J212" s="2"/>
      <c r="K212" s="2"/>
    </row>
    <row r="213" spans="1:11" x14ac:dyDescent="0.2">
      <c r="A213">
        <v>189</v>
      </c>
      <c r="B213">
        <v>5886032.2348669944</v>
      </c>
      <c r="D213" s="2"/>
      <c r="E213" s="2"/>
      <c r="F213" s="2"/>
      <c r="G213" s="2"/>
      <c r="H213" s="2"/>
      <c r="I213" s="2"/>
      <c r="J213" s="2"/>
      <c r="K213" s="2"/>
    </row>
    <row r="214" spans="1:11" x14ac:dyDescent="0.2">
      <c r="A214">
        <v>190</v>
      </c>
      <c r="B214">
        <v>8964267.6744726542</v>
      </c>
      <c r="D214" s="2"/>
      <c r="E214" s="2"/>
      <c r="F214" s="2"/>
      <c r="G214" s="2"/>
      <c r="H214" s="2"/>
      <c r="I214" s="2"/>
      <c r="J214" s="2"/>
      <c r="K214" s="2"/>
    </row>
    <row r="215" spans="1:11" x14ac:dyDescent="0.2">
      <c r="A215">
        <v>191</v>
      </c>
      <c r="B215">
        <v>4011286.0092630852</v>
      </c>
      <c r="D215" s="2"/>
      <c r="E215" s="2"/>
      <c r="F215" s="2"/>
      <c r="G215" s="2"/>
      <c r="H215" s="2"/>
      <c r="I215" s="2"/>
      <c r="J215" s="2"/>
      <c r="K215" s="2"/>
    </row>
    <row r="216" spans="1:11" x14ac:dyDescent="0.2">
      <c r="A216">
        <v>192</v>
      </c>
      <c r="B216">
        <v>2698727.4340224755</v>
      </c>
      <c r="D216" s="2"/>
      <c r="E216" s="2"/>
      <c r="F216" s="2"/>
      <c r="G216" s="2"/>
      <c r="H216" s="2"/>
      <c r="I216" s="2"/>
      <c r="J216" s="2"/>
      <c r="K216" s="2"/>
    </row>
    <row r="217" spans="1:11" x14ac:dyDescent="0.2">
      <c r="A217">
        <v>193</v>
      </c>
      <c r="B217">
        <v>4308237.3051602365</v>
      </c>
      <c r="D217" s="2"/>
      <c r="E217" s="2"/>
      <c r="F217" s="2"/>
      <c r="G217" s="2"/>
      <c r="H217" s="2"/>
      <c r="I217" s="2"/>
      <c r="J217" s="2"/>
      <c r="K217" s="2"/>
    </row>
    <row r="218" spans="1:11" x14ac:dyDescent="0.2">
      <c r="A218">
        <v>194</v>
      </c>
      <c r="B218">
        <v>3480232.6715531228</v>
      </c>
      <c r="D218" s="2"/>
      <c r="E218" s="2"/>
      <c r="F218" s="2"/>
      <c r="G218" s="2"/>
      <c r="H218" s="2"/>
      <c r="I218" s="2"/>
      <c r="J218" s="2"/>
      <c r="K218" s="2"/>
    </row>
    <row r="219" spans="1:11" x14ac:dyDescent="0.2">
      <c r="A219">
        <v>195</v>
      </c>
      <c r="B219">
        <v>2424973.5485857115</v>
      </c>
      <c r="D219" s="2"/>
      <c r="E219" s="2"/>
      <c r="F219" s="2"/>
      <c r="G219" s="2"/>
      <c r="H219" s="2"/>
      <c r="I219" s="2"/>
      <c r="J219" s="2"/>
      <c r="K219" s="2"/>
    </row>
    <row r="220" spans="1:11" x14ac:dyDescent="0.2">
      <c r="A220">
        <v>196</v>
      </c>
      <c r="B220">
        <v>2253259.7350920299</v>
      </c>
      <c r="D220" s="2"/>
      <c r="E220" s="2"/>
      <c r="F220" s="2"/>
      <c r="G220" s="2"/>
      <c r="H220" s="2"/>
      <c r="I220" s="2"/>
      <c r="J220" s="2"/>
      <c r="K220" s="2"/>
    </row>
    <row r="221" spans="1:11" x14ac:dyDescent="0.2">
      <c r="A221">
        <v>197</v>
      </c>
      <c r="B221">
        <v>1363257.0000444269</v>
      </c>
      <c r="D221" s="2"/>
      <c r="E221" s="2"/>
      <c r="F221" s="2"/>
      <c r="G221" s="2"/>
      <c r="H221" s="2"/>
      <c r="I221" s="2"/>
      <c r="J221" s="2"/>
      <c r="K221" s="2"/>
    </row>
    <row r="222" spans="1:11" x14ac:dyDescent="0.2">
      <c r="A222">
        <v>198</v>
      </c>
      <c r="B222">
        <v>1850533.8999275321</v>
      </c>
      <c r="D222" s="2"/>
      <c r="E222" s="2"/>
      <c r="F222" s="2"/>
      <c r="G222" s="2"/>
      <c r="H222" s="2"/>
      <c r="I222" s="2"/>
      <c r="J222" s="2"/>
      <c r="K222" s="2"/>
    </row>
    <row r="223" spans="1:11" x14ac:dyDescent="0.2">
      <c r="A223">
        <v>199</v>
      </c>
      <c r="B223">
        <v>3634925.5018562153</v>
      </c>
      <c r="D223" s="2"/>
      <c r="E223" s="2"/>
      <c r="F223" s="2"/>
      <c r="G223" s="2"/>
      <c r="H223" s="2"/>
      <c r="I223" s="2"/>
      <c r="J223" s="2"/>
      <c r="K223" s="2"/>
    </row>
    <row r="224" spans="1:11" x14ac:dyDescent="0.2">
      <c r="A224">
        <v>200</v>
      </c>
      <c r="B224">
        <v>4749749.200542598</v>
      </c>
      <c r="D224" s="2"/>
      <c r="E224" s="2"/>
      <c r="F224" s="2"/>
      <c r="G224" s="2"/>
      <c r="H224" s="2"/>
      <c r="I224" s="2"/>
      <c r="J224" s="2"/>
      <c r="K224" s="2"/>
    </row>
    <row r="225" spans="1:11" x14ac:dyDescent="0.2">
      <c r="A225">
        <v>201</v>
      </c>
      <c r="B225">
        <v>2655313.1080753631</v>
      </c>
      <c r="D225" s="2"/>
      <c r="E225" s="2"/>
      <c r="F225" s="2"/>
      <c r="G225" s="2"/>
      <c r="H225" s="2"/>
      <c r="I225" s="2"/>
      <c r="J225" s="2"/>
      <c r="K225" s="2"/>
    </row>
    <row r="226" spans="1:11" x14ac:dyDescent="0.2">
      <c r="A226">
        <v>202</v>
      </c>
      <c r="B226">
        <v>20660.50662772794</v>
      </c>
      <c r="D226" s="2"/>
      <c r="E226" s="2"/>
      <c r="F226" s="2"/>
      <c r="G226" s="2"/>
      <c r="H226" s="2"/>
      <c r="I226" s="2"/>
      <c r="J226" s="2"/>
      <c r="K226" s="2"/>
    </row>
    <row r="227" spans="1:11" x14ac:dyDescent="0.2">
      <c r="A227">
        <v>203</v>
      </c>
      <c r="B227">
        <v>4639396.0168729499</v>
      </c>
      <c r="D227" s="2"/>
      <c r="E227" s="2"/>
      <c r="F227" s="2"/>
      <c r="G227" s="2"/>
      <c r="H227" s="2"/>
      <c r="I227" s="2"/>
      <c r="J227" s="2"/>
      <c r="K227" s="2"/>
    </row>
    <row r="228" spans="1:11" x14ac:dyDescent="0.2">
      <c r="A228">
        <v>204</v>
      </c>
      <c r="B228">
        <v>18992487.791177485</v>
      </c>
      <c r="D228" s="2"/>
      <c r="E228" s="2"/>
      <c r="F228" s="2"/>
      <c r="G228" s="2"/>
      <c r="H228" s="2"/>
      <c r="I228" s="2"/>
      <c r="J228" s="2"/>
      <c r="K228" s="2"/>
    </row>
    <row r="229" spans="1:11" x14ac:dyDescent="0.2">
      <c r="A229">
        <v>205</v>
      </c>
      <c r="B229">
        <v>7909756.1622333881</v>
      </c>
      <c r="D229" s="2"/>
      <c r="E229" s="2"/>
      <c r="F229" s="2"/>
      <c r="G229" s="2"/>
      <c r="H229" s="2"/>
      <c r="I229" s="2"/>
      <c r="J229" s="2"/>
      <c r="K229" s="2"/>
    </row>
    <row r="230" spans="1:11" x14ac:dyDescent="0.2">
      <c r="A230">
        <v>206</v>
      </c>
      <c r="B230">
        <v>1145640.2595156627</v>
      </c>
      <c r="D230" s="2"/>
      <c r="E230" s="2"/>
      <c r="F230" s="2"/>
      <c r="G230" s="2"/>
      <c r="H230" s="2"/>
      <c r="I230" s="2"/>
      <c r="J230" s="2"/>
      <c r="K230" s="2"/>
    </row>
    <row r="231" spans="1:11" x14ac:dyDescent="0.2">
      <c r="A231">
        <v>207</v>
      </c>
      <c r="B231">
        <v>5037320.2046957761</v>
      </c>
      <c r="D231" s="2"/>
      <c r="E231" s="2"/>
      <c r="F231" s="2"/>
      <c r="G231" s="2"/>
      <c r="H231" s="2"/>
      <c r="I231" s="2"/>
      <c r="J231" s="2"/>
      <c r="K231" s="2"/>
    </row>
    <row r="232" spans="1:11" x14ac:dyDescent="0.2">
      <c r="A232">
        <v>208</v>
      </c>
      <c r="B232">
        <v>13944331.093213808</v>
      </c>
      <c r="D232" s="2"/>
      <c r="E232" s="2"/>
      <c r="F232" s="2"/>
      <c r="G232" s="2"/>
      <c r="H232" s="2"/>
      <c r="I232" s="2"/>
      <c r="J232" s="2"/>
      <c r="K232" s="2"/>
    </row>
    <row r="233" spans="1:11" x14ac:dyDescent="0.2">
      <c r="A233">
        <v>209</v>
      </c>
      <c r="B233">
        <v>1883228.3767233568</v>
      </c>
      <c r="D233" s="2"/>
      <c r="E233" s="2"/>
      <c r="F233" s="2"/>
      <c r="G233" s="2"/>
      <c r="H233" s="2"/>
      <c r="I233" s="2"/>
      <c r="J233" s="2"/>
      <c r="K233" s="2"/>
    </row>
    <row r="234" spans="1:11" x14ac:dyDescent="0.2">
      <c r="A234">
        <v>210</v>
      </c>
      <c r="B234">
        <v>1615341.215209312</v>
      </c>
      <c r="D234" s="2"/>
      <c r="E234" s="2"/>
      <c r="F234" s="2"/>
      <c r="G234" s="2"/>
      <c r="H234" s="2"/>
      <c r="I234" s="2"/>
      <c r="J234" s="2"/>
      <c r="K234" s="2"/>
    </row>
    <row r="235" spans="1:11" x14ac:dyDescent="0.2">
      <c r="A235">
        <v>211</v>
      </c>
      <c r="B235">
        <v>4558368.3063129447</v>
      </c>
      <c r="D235" s="2"/>
      <c r="E235" s="2"/>
      <c r="F235" s="2"/>
      <c r="G235" s="2"/>
      <c r="H235" s="2"/>
      <c r="I235" s="2"/>
      <c r="J235" s="2"/>
      <c r="K235" s="2"/>
    </row>
    <row r="236" spans="1:11" x14ac:dyDescent="0.2">
      <c r="A236">
        <v>212</v>
      </c>
      <c r="B236">
        <v>-573790.52687180252</v>
      </c>
      <c r="D236" s="2"/>
      <c r="E236" s="2"/>
      <c r="F236" s="2"/>
      <c r="G236" s="2"/>
      <c r="H236" s="2"/>
      <c r="I236" s="2"/>
      <c r="J236" s="2"/>
      <c r="K236" s="2"/>
    </row>
    <row r="237" spans="1:11" x14ac:dyDescent="0.2">
      <c r="A237">
        <v>213</v>
      </c>
      <c r="B237">
        <v>2125668.5866492963</v>
      </c>
      <c r="D237" s="2"/>
      <c r="E237" s="2"/>
      <c r="F237" s="2"/>
      <c r="G237" s="2"/>
      <c r="H237" s="2"/>
      <c r="I237" s="2"/>
      <c r="J237" s="2"/>
      <c r="K237" s="2"/>
    </row>
    <row r="238" spans="1:11" x14ac:dyDescent="0.2">
      <c r="A238">
        <v>214</v>
      </c>
      <c r="B238">
        <v>7165529.9064637925</v>
      </c>
      <c r="D238" s="2"/>
      <c r="E238" s="2"/>
      <c r="F238" s="2"/>
      <c r="G238" s="2"/>
      <c r="H238" s="2"/>
      <c r="I238" s="2"/>
      <c r="J238" s="2"/>
      <c r="K238" s="2"/>
    </row>
    <row r="239" spans="1:11" x14ac:dyDescent="0.2">
      <c r="A239">
        <v>215</v>
      </c>
      <c r="B239">
        <v>5921447.6583587481</v>
      </c>
      <c r="D239" s="2"/>
      <c r="E239" s="2"/>
      <c r="F239" s="2"/>
      <c r="G239" s="2"/>
      <c r="H239" s="2"/>
      <c r="I239" s="2"/>
      <c r="J239" s="2"/>
      <c r="K239" s="2"/>
    </row>
    <row r="240" spans="1:11" x14ac:dyDescent="0.2">
      <c r="A240">
        <v>216</v>
      </c>
      <c r="B240">
        <v>-498161.53693334229</v>
      </c>
      <c r="D240" s="2"/>
      <c r="E240" s="2"/>
      <c r="F240" s="2"/>
      <c r="G240" s="2"/>
      <c r="H240" s="2"/>
      <c r="I240" s="2"/>
      <c r="J240" s="2"/>
      <c r="K240" s="2"/>
    </row>
    <row r="241" spans="1:11" x14ac:dyDescent="0.2">
      <c r="A241">
        <v>217</v>
      </c>
      <c r="B241">
        <v>4709094.9562447583</v>
      </c>
      <c r="D241" s="2"/>
      <c r="E241" s="2"/>
      <c r="F241" s="2"/>
      <c r="G241" s="2"/>
      <c r="H241" s="2"/>
      <c r="I241" s="2"/>
      <c r="J241" s="2"/>
      <c r="K241" s="2"/>
    </row>
    <row r="242" spans="1:11" x14ac:dyDescent="0.2">
      <c r="A242">
        <v>218</v>
      </c>
      <c r="B242">
        <v>3071766.7434766064</v>
      </c>
      <c r="D242" s="2"/>
      <c r="E242" s="2"/>
      <c r="F242" s="2"/>
      <c r="G242" s="2"/>
      <c r="H242" s="2"/>
      <c r="I242" s="2"/>
      <c r="J242" s="2"/>
      <c r="K242" s="2"/>
    </row>
    <row r="243" spans="1:11" x14ac:dyDescent="0.2">
      <c r="A243">
        <v>219</v>
      </c>
      <c r="B243">
        <v>4428075.2541528279</v>
      </c>
      <c r="D243" s="2"/>
      <c r="E243" s="2"/>
      <c r="F243" s="2"/>
      <c r="G243" s="2"/>
      <c r="H243" s="2"/>
      <c r="I243" s="2"/>
      <c r="J243" s="2"/>
      <c r="K243" s="2"/>
    </row>
    <row r="244" spans="1:11" x14ac:dyDescent="0.2">
      <c r="A244">
        <v>220</v>
      </c>
      <c r="B244">
        <v>2533310.4435628387</v>
      </c>
      <c r="D244" s="2"/>
      <c r="E244" s="2"/>
      <c r="F244" s="2"/>
      <c r="G244" s="2"/>
      <c r="H244" s="2"/>
      <c r="I244" s="2"/>
      <c r="J244" s="2"/>
      <c r="K244" s="2"/>
    </row>
    <row r="245" spans="1:11" x14ac:dyDescent="0.2">
      <c r="A245">
        <v>221</v>
      </c>
      <c r="B245">
        <v>-806215.38459289027</v>
      </c>
      <c r="D245" s="2"/>
      <c r="E245" s="2"/>
      <c r="F245" s="2"/>
      <c r="G245" s="2"/>
      <c r="H245" s="2"/>
      <c r="I245" s="2"/>
      <c r="J245" s="2"/>
      <c r="K245" s="2"/>
    </row>
    <row r="246" spans="1:11" x14ac:dyDescent="0.2">
      <c r="A246">
        <v>222</v>
      </c>
      <c r="B246">
        <v>591764.45327774622</v>
      </c>
      <c r="D246" s="2"/>
      <c r="E246" s="2"/>
      <c r="F246" s="2"/>
      <c r="G246" s="2"/>
      <c r="H246" s="2"/>
      <c r="I246" s="2"/>
      <c r="J246" s="2"/>
      <c r="K246" s="2"/>
    </row>
    <row r="247" spans="1:11" x14ac:dyDescent="0.2">
      <c r="A247">
        <v>223</v>
      </c>
      <c r="B247">
        <v>635071.72756499425</v>
      </c>
      <c r="D247" s="2"/>
      <c r="E247" s="2"/>
      <c r="F247" s="2"/>
      <c r="G247" s="2"/>
      <c r="H247" s="2"/>
      <c r="I247" s="2"/>
      <c r="J247" s="2"/>
      <c r="K247" s="2"/>
    </row>
    <row r="248" spans="1:11" x14ac:dyDescent="0.2">
      <c r="A248">
        <v>224</v>
      </c>
      <c r="B248">
        <v>7850048.5430962052</v>
      </c>
      <c r="D248" s="2"/>
      <c r="E248" s="2"/>
      <c r="F248" s="2"/>
      <c r="G248" s="2"/>
      <c r="H248" s="2"/>
      <c r="I248" s="2"/>
      <c r="J248" s="2"/>
      <c r="K248" s="2"/>
    </row>
    <row r="249" spans="1:11" x14ac:dyDescent="0.2">
      <c r="A249">
        <v>225</v>
      </c>
      <c r="B249">
        <v>-150801.82895986259</v>
      </c>
      <c r="D249" s="2"/>
      <c r="E249" s="2"/>
      <c r="F249" s="2"/>
      <c r="G249" s="2"/>
      <c r="H249" s="2"/>
      <c r="I249" s="2"/>
      <c r="J249" s="2"/>
      <c r="K249" s="2"/>
    </row>
    <row r="250" spans="1:11" x14ac:dyDescent="0.2">
      <c r="A250">
        <v>226</v>
      </c>
      <c r="B250">
        <v>22918613.773156039</v>
      </c>
      <c r="D250" s="2"/>
      <c r="E250" s="2"/>
      <c r="F250" s="2"/>
      <c r="G250" s="2"/>
      <c r="H250" s="2"/>
      <c r="I250" s="2"/>
      <c r="J250" s="2"/>
      <c r="K250" s="2"/>
    </row>
    <row r="251" spans="1:11" x14ac:dyDescent="0.2">
      <c r="A251">
        <v>227</v>
      </c>
      <c r="B251">
        <v>452857.36323313194</v>
      </c>
      <c r="D251" s="2"/>
      <c r="E251" s="2"/>
      <c r="F251" s="2"/>
      <c r="G251" s="2"/>
      <c r="H251" s="2"/>
      <c r="I251" s="2"/>
      <c r="J251" s="2"/>
      <c r="K251" s="2"/>
    </row>
    <row r="252" spans="1:11" x14ac:dyDescent="0.2">
      <c r="A252">
        <v>228</v>
      </c>
      <c r="B252">
        <v>6772762.524297528</v>
      </c>
      <c r="D252" s="2"/>
      <c r="E252" s="2"/>
      <c r="F252" s="2"/>
      <c r="G252" s="2"/>
      <c r="H252" s="2"/>
      <c r="I252" s="2"/>
      <c r="J252" s="2"/>
      <c r="K252" s="2"/>
    </row>
    <row r="253" spans="1:11" x14ac:dyDescent="0.2">
      <c r="A253">
        <v>229</v>
      </c>
      <c r="B253">
        <v>2646862.2136649964</v>
      </c>
      <c r="D253" s="2"/>
      <c r="E253" s="2"/>
      <c r="F253" s="2"/>
      <c r="G253" s="2"/>
      <c r="H253" s="2"/>
      <c r="I253" s="2"/>
      <c r="J253" s="2"/>
      <c r="K253" s="2"/>
    </row>
    <row r="254" spans="1:11" x14ac:dyDescent="0.2">
      <c r="A254">
        <v>230</v>
      </c>
      <c r="B254">
        <v>3686740.1112532672</v>
      </c>
      <c r="D254" s="2"/>
      <c r="E254" s="2"/>
      <c r="F254" s="2"/>
      <c r="G254" s="2"/>
      <c r="H254" s="2"/>
      <c r="I254" s="2"/>
      <c r="J254" s="2"/>
      <c r="K254" s="2"/>
    </row>
    <row r="255" spans="1:11" x14ac:dyDescent="0.2">
      <c r="A255">
        <v>231</v>
      </c>
      <c r="B255">
        <v>3353894.9371610046</v>
      </c>
      <c r="D255" s="2"/>
      <c r="E255" s="2"/>
      <c r="F255" s="2"/>
      <c r="G255" s="2"/>
      <c r="H255" s="2"/>
      <c r="I255" s="2"/>
      <c r="J255" s="2"/>
      <c r="K255" s="2"/>
    </row>
    <row r="256" spans="1:11" x14ac:dyDescent="0.2">
      <c r="A256">
        <v>232</v>
      </c>
      <c r="B256">
        <v>2694551.9438495436</v>
      </c>
      <c r="D256" s="2"/>
      <c r="E256" s="2"/>
      <c r="F256" s="2"/>
      <c r="G256" s="2"/>
      <c r="H256" s="2"/>
      <c r="I256" s="2"/>
      <c r="J256" s="2"/>
      <c r="K256" s="2"/>
    </row>
    <row r="257" spans="1:11" x14ac:dyDescent="0.2">
      <c r="A257">
        <v>233</v>
      </c>
      <c r="B257">
        <v>5057002.9078817824</v>
      </c>
      <c r="D257" s="2"/>
      <c r="E257" s="2"/>
      <c r="F257" s="2"/>
      <c r="G257" s="2"/>
      <c r="H257" s="2"/>
      <c r="I257" s="2"/>
      <c r="J257" s="2"/>
      <c r="K257" s="2"/>
    </row>
    <row r="258" spans="1:11" x14ac:dyDescent="0.2">
      <c r="A258">
        <v>234</v>
      </c>
      <c r="B258">
        <v>1153436.1377711485</v>
      </c>
      <c r="D258" s="2"/>
      <c r="E258" s="2"/>
      <c r="F258" s="2"/>
      <c r="G258" s="2"/>
      <c r="H258" s="2"/>
      <c r="I258" s="2"/>
      <c r="J258" s="2"/>
      <c r="K258" s="2"/>
    </row>
    <row r="259" spans="1:11" x14ac:dyDescent="0.2">
      <c r="A259">
        <v>235</v>
      </c>
      <c r="B259">
        <v>5489575.1729564285</v>
      </c>
      <c r="D259" s="2"/>
      <c r="E259" s="2"/>
      <c r="F259" s="2"/>
      <c r="G259" s="2"/>
      <c r="H259" s="2"/>
      <c r="I259" s="2"/>
      <c r="J259" s="2"/>
      <c r="K259" s="2"/>
    </row>
    <row r="260" spans="1:11" x14ac:dyDescent="0.2">
      <c r="A260">
        <v>236</v>
      </c>
      <c r="B260">
        <v>-474815.47318570502</v>
      </c>
      <c r="D260" s="2"/>
      <c r="E260" s="2"/>
      <c r="F260" s="2"/>
      <c r="G260" s="2"/>
      <c r="H260" s="2"/>
      <c r="I260" s="2"/>
      <c r="J260" s="2"/>
      <c r="K260" s="2"/>
    </row>
    <row r="261" spans="1:11" x14ac:dyDescent="0.2">
      <c r="A261">
        <v>237</v>
      </c>
      <c r="B261">
        <v>5078780.1427473696</v>
      </c>
      <c r="D261" s="2"/>
      <c r="E261" s="2"/>
      <c r="F261" s="2"/>
      <c r="G261" s="2"/>
      <c r="H261" s="2"/>
      <c r="I261" s="2"/>
      <c r="J261" s="2"/>
      <c r="K261" s="2"/>
    </row>
    <row r="262" spans="1:11" x14ac:dyDescent="0.2">
      <c r="A262">
        <v>238</v>
      </c>
      <c r="B262">
        <v>4826155.3198071504</v>
      </c>
      <c r="D262" s="2"/>
      <c r="E262" s="2"/>
      <c r="F262" s="2"/>
      <c r="G262" s="2"/>
      <c r="H262" s="2"/>
      <c r="I262" s="2"/>
      <c r="J262" s="2"/>
      <c r="K262" s="2"/>
    </row>
    <row r="263" spans="1:11" x14ac:dyDescent="0.2">
      <c r="A263">
        <v>239</v>
      </c>
      <c r="B263">
        <v>-2001130.9310887903</v>
      </c>
      <c r="D263" s="2"/>
      <c r="E263" s="2"/>
      <c r="F263" s="2"/>
      <c r="G263" s="2"/>
      <c r="H263" s="2"/>
      <c r="I263" s="2"/>
      <c r="J263" s="2"/>
      <c r="K263" s="2"/>
    </row>
    <row r="264" spans="1:11" x14ac:dyDescent="0.2">
      <c r="A264">
        <v>240</v>
      </c>
      <c r="B264">
        <v>15568534.958841559</v>
      </c>
      <c r="D264" s="2"/>
      <c r="E264" s="2"/>
      <c r="F264" s="2"/>
      <c r="G264" s="2"/>
      <c r="H264" s="2"/>
      <c r="I264" s="2"/>
      <c r="J264" s="2"/>
      <c r="K264" s="2"/>
    </row>
    <row r="265" spans="1:11" x14ac:dyDescent="0.2">
      <c r="A265">
        <v>241</v>
      </c>
      <c r="B265">
        <v>309354.73223282665</v>
      </c>
      <c r="D265" s="2"/>
      <c r="E265" s="2"/>
      <c r="F265" s="2"/>
      <c r="G265" s="2"/>
      <c r="H265" s="2"/>
      <c r="I265" s="2"/>
      <c r="J265" s="2"/>
      <c r="K265" s="2"/>
    </row>
    <row r="266" spans="1:11" x14ac:dyDescent="0.2">
      <c r="A266">
        <v>242</v>
      </c>
      <c r="B266">
        <v>2287855.4093640614</v>
      </c>
      <c r="D266" s="2"/>
      <c r="E266" s="2"/>
      <c r="F266" s="2"/>
      <c r="G266" s="2"/>
      <c r="H266" s="2"/>
      <c r="I266" s="2"/>
      <c r="J266" s="2"/>
      <c r="K266" s="2"/>
    </row>
    <row r="267" spans="1:11" x14ac:dyDescent="0.2">
      <c r="A267">
        <v>243</v>
      </c>
      <c r="B267">
        <v>755575.46929282462</v>
      </c>
      <c r="D267" s="2"/>
      <c r="E267" s="2"/>
      <c r="F267" s="2"/>
      <c r="G267" s="2"/>
      <c r="H267" s="2"/>
      <c r="I267" s="2"/>
      <c r="J267" s="2"/>
      <c r="K267" s="2"/>
    </row>
    <row r="268" spans="1:11" x14ac:dyDescent="0.2">
      <c r="A268">
        <v>244</v>
      </c>
      <c r="B268">
        <v>18380412.451415811</v>
      </c>
      <c r="D268" s="2"/>
      <c r="E268" s="2"/>
      <c r="F268" s="2"/>
      <c r="G268" s="2"/>
      <c r="H268" s="2"/>
      <c r="I268" s="2"/>
      <c r="J268" s="2"/>
      <c r="K268" s="2"/>
    </row>
    <row r="269" spans="1:11" x14ac:dyDescent="0.2">
      <c r="A269">
        <v>245</v>
      </c>
      <c r="B269">
        <v>2956827.8505698461</v>
      </c>
      <c r="D269" s="2"/>
      <c r="E269" s="2"/>
      <c r="F269" s="2"/>
      <c r="G269" s="2"/>
      <c r="H269" s="2"/>
      <c r="I269" s="2"/>
      <c r="J269" s="2"/>
      <c r="K269" s="2"/>
    </row>
    <row r="270" spans="1:11" x14ac:dyDescent="0.2">
      <c r="A270">
        <v>246</v>
      </c>
      <c r="B270">
        <v>4124300.6098041949</v>
      </c>
      <c r="D270" s="2"/>
      <c r="E270" s="2"/>
      <c r="F270" s="2"/>
      <c r="G270" s="2"/>
      <c r="H270" s="2"/>
      <c r="I270" s="2"/>
      <c r="J270" s="2"/>
      <c r="K270" s="2"/>
    </row>
    <row r="271" spans="1:11" x14ac:dyDescent="0.2">
      <c r="A271">
        <v>247</v>
      </c>
      <c r="B271">
        <v>2895874.1792976009</v>
      </c>
      <c r="D271" s="2"/>
      <c r="E271" s="2"/>
      <c r="F271" s="2"/>
      <c r="G271" s="2"/>
      <c r="H271" s="2"/>
      <c r="I271" s="2"/>
      <c r="J271" s="2"/>
      <c r="K271" s="2"/>
    </row>
    <row r="272" spans="1:11" x14ac:dyDescent="0.2">
      <c r="A272">
        <v>248</v>
      </c>
      <c r="B272">
        <v>1809244.4943430107</v>
      </c>
      <c r="D272" s="2"/>
      <c r="E272" s="2"/>
      <c r="F272" s="2"/>
      <c r="G272" s="2"/>
      <c r="H272" s="2"/>
      <c r="I272" s="2"/>
      <c r="J272" s="2"/>
      <c r="K272" s="2"/>
    </row>
    <row r="273" spans="1:11" x14ac:dyDescent="0.2">
      <c r="A273">
        <v>249</v>
      </c>
      <c r="B273">
        <v>7224748.7643809365</v>
      </c>
      <c r="D273" s="2"/>
      <c r="E273" s="2"/>
      <c r="F273" s="2"/>
      <c r="G273" s="2"/>
      <c r="H273" s="2"/>
      <c r="I273" s="2"/>
      <c r="J273" s="2"/>
      <c r="K273" s="2"/>
    </row>
    <row r="274" spans="1:11" x14ac:dyDescent="0.2">
      <c r="A274">
        <v>250</v>
      </c>
      <c r="B274">
        <v>3593240.6581630777</v>
      </c>
      <c r="D274" s="2"/>
      <c r="E274" s="2"/>
      <c r="F274" s="2"/>
      <c r="G274" s="2"/>
      <c r="H274" s="2"/>
      <c r="I274" s="2"/>
      <c r="J274" s="2"/>
      <c r="K274" s="2"/>
    </row>
    <row r="275" spans="1:11" x14ac:dyDescent="0.2">
      <c r="A275">
        <v>251</v>
      </c>
      <c r="B275">
        <v>5939293.4504806064</v>
      </c>
      <c r="D275" s="2"/>
      <c r="E275" s="2"/>
      <c r="F275" s="2"/>
      <c r="G275" s="2"/>
      <c r="H275" s="2"/>
      <c r="I275" s="2"/>
      <c r="J275" s="2"/>
      <c r="K275" s="2"/>
    </row>
    <row r="276" spans="1:11" x14ac:dyDescent="0.2">
      <c r="A276">
        <v>252</v>
      </c>
      <c r="B276">
        <v>4179436.3572945879</v>
      </c>
      <c r="D276" s="2"/>
      <c r="E276" s="2"/>
      <c r="F276" s="2"/>
      <c r="G276" s="2"/>
      <c r="H276" s="2"/>
      <c r="I276" s="2"/>
      <c r="J276" s="2"/>
      <c r="K276" s="2"/>
    </row>
    <row r="277" spans="1:11" x14ac:dyDescent="0.2">
      <c r="A277">
        <v>253</v>
      </c>
      <c r="B277">
        <v>-1035793.9613815143</v>
      </c>
      <c r="D277" s="2"/>
      <c r="E277" s="2"/>
      <c r="F277" s="2"/>
      <c r="G277" s="2"/>
      <c r="H277" s="2"/>
      <c r="I277" s="2"/>
      <c r="J277" s="2"/>
      <c r="K277" s="2"/>
    </row>
    <row r="278" spans="1:11" x14ac:dyDescent="0.2">
      <c r="A278">
        <v>254</v>
      </c>
      <c r="B278">
        <v>-1935042.8536203837</v>
      </c>
      <c r="D278" s="2"/>
      <c r="E278" s="2"/>
      <c r="F278" s="2"/>
      <c r="G278" s="2"/>
      <c r="H278" s="2"/>
      <c r="I278" s="2"/>
      <c r="J278" s="2"/>
      <c r="K278" s="2"/>
    </row>
    <row r="279" spans="1:11" x14ac:dyDescent="0.2">
      <c r="A279">
        <v>255</v>
      </c>
      <c r="B279">
        <v>1536296.8494320458</v>
      </c>
      <c r="D279" s="2"/>
      <c r="E279" s="2"/>
      <c r="F279" s="2"/>
      <c r="G279" s="2"/>
      <c r="H279" s="2"/>
      <c r="I279" s="2"/>
      <c r="J279" s="2"/>
      <c r="K279" s="2"/>
    </row>
    <row r="280" spans="1:11" x14ac:dyDescent="0.2">
      <c r="A280">
        <v>256</v>
      </c>
      <c r="B280">
        <v>741097.43599847192</v>
      </c>
      <c r="D280" s="2"/>
      <c r="E280" s="2"/>
      <c r="F280" s="2"/>
      <c r="G280" s="2"/>
      <c r="H280" s="2"/>
      <c r="I280" s="2"/>
      <c r="J280" s="2"/>
      <c r="K280" s="2"/>
    </row>
    <row r="281" spans="1:11" x14ac:dyDescent="0.2">
      <c r="A281">
        <v>257</v>
      </c>
      <c r="B281">
        <v>7390083.1683036005</v>
      </c>
      <c r="D281" s="2"/>
      <c r="E281" s="2"/>
      <c r="F281" s="2"/>
      <c r="G281" s="2"/>
      <c r="H281" s="2"/>
      <c r="I281" s="2"/>
      <c r="J281" s="2"/>
      <c r="K281" s="2"/>
    </row>
    <row r="282" spans="1:11" x14ac:dyDescent="0.2">
      <c r="A282">
        <v>258</v>
      </c>
      <c r="B282">
        <v>6589238.2466922216</v>
      </c>
      <c r="D282" s="2"/>
      <c r="E282" s="2"/>
      <c r="F282" s="2"/>
      <c r="G282" s="2"/>
      <c r="H282" s="2"/>
      <c r="I282" s="2"/>
      <c r="J282" s="2"/>
      <c r="K282" s="2"/>
    </row>
    <row r="283" spans="1:11" x14ac:dyDescent="0.2">
      <c r="A283">
        <v>259</v>
      </c>
      <c r="B283">
        <v>1417757.0375654947</v>
      </c>
      <c r="D283" s="2"/>
      <c r="E283" s="2"/>
      <c r="F283" s="2"/>
      <c r="G283" s="2"/>
      <c r="H283" s="2"/>
      <c r="I283" s="2"/>
      <c r="J283" s="2"/>
      <c r="K283" s="2"/>
    </row>
    <row r="284" spans="1:11" x14ac:dyDescent="0.2">
      <c r="A284">
        <v>260</v>
      </c>
      <c r="B284">
        <v>1354913.5108308361</v>
      </c>
      <c r="D284" s="2"/>
      <c r="E284" s="2"/>
      <c r="F284" s="2"/>
      <c r="G284" s="2"/>
      <c r="H284" s="2"/>
      <c r="I284" s="2"/>
      <c r="J284" s="2"/>
      <c r="K284" s="2"/>
    </row>
    <row r="285" spans="1:11" x14ac:dyDescent="0.2">
      <c r="A285">
        <v>261</v>
      </c>
      <c r="B285">
        <v>18447660.860405851</v>
      </c>
      <c r="D285" s="2"/>
      <c r="E285" s="2"/>
      <c r="F285" s="2"/>
      <c r="G285" s="2"/>
      <c r="H285" s="2"/>
      <c r="I285" s="2"/>
      <c r="J285" s="2"/>
      <c r="K285" s="2"/>
    </row>
    <row r="286" spans="1:11" x14ac:dyDescent="0.2">
      <c r="A286">
        <v>262</v>
      </c>
      <c r="B286">
        <v>4558686.0910344888</v>
      </c>
      <c r="D286" s="2"/>
      <c r="E286" s="2"/>
      <c r="F286" s="2"/>
      <c r="G286" s="2"/>
      <c r="H286" s="2"/>
      <c r="I286" s="2"/>
      <c r="J286" s="2"/>
      <c r="K286" s="2"/>
    </row>
    <row r="287" spans="1:11" x14ac:dyDescent="0.2">
      <c r="A287">
        <v>263</v>
      </c>
      <c r="B287">
        <v>4605979.9162001433</v>
      </c>
      <c r="D287" s="2"/>
      <c r="E287" s="2"/>
      <c r="F287" s="2"/>
      <c r="G287" s="2"/>
      <c r="H287" s="2"/>
      <c r="I287" s="2"/>
      <c r="J287" s="2"/>
      <c r="K287" s="2"/>
    </row>
    <row r="288" spans="1:11" x14ac:dyDescent="0.2">
      <c r="A288">
        <v>264</v>
      </c>
      <c r="B288">
        <v>223540.19845901727</v>
      </c>
      <c r="D288" s="2"/>
      <c r="E288" s="2"/>
      <c r="F288" s="2"/>
      <c r="G288" s="2"/>
      <c r="H288" s="2"/>
      <c r="I288" s="2"/>
      <c r="J288" s="2"/>
      <c r="K288" s="2"/>
    </row>
    <row r="289" spans="1:11" x14ac:dyDescent="0.2">
      <c r="A289">
        <v>265</v>
      </c>
      <c r="B289">
        <v>-416711.01658293337</v>
      </c>
      <c r="D289" s="2"/>
      <c r="E289" s="2"/>
      <c r="F289" s="2"/>
      <c r="G289" s="2"/>
      <c r="H289" s="2"/>
      <c r="I289" s="2"/>
      <c r="J289" s="2"/>
      <c r="K289" s="2"/>
    </row>
    <row r="290" spans="1:11" x14ac:dyDescent="0.2">
      <c r="A290">
        <v>266</v>
      </c>
      <c r="B290">
        <v>6023304.596813824</v>
      </c>
      <c r="D290" s="2"/>
      <c r="E290" s="2"/>
      <c r="F290" s="2"/>
      <c r="G290" s="2"/>
      <c r="H290" s="2"/>
      <c r="I290" s="2"/>
      <c r="J290" s="2"/>
      <c r="K290" s="2"/>
    </row>
    <row r="291" spans="1:11" x14ac:dyDescent="0.2">
      <c r="A291">
        <v>267</v>
      </c>
      <c r="B291">
        <v>-515367.42288819968</v>
      </c>
      <c r="D291" s="2"/>
      <c r="E291" s="2"/>
      <c r="F291" s="2"/>
      <c r="G291" s="2"/>
      <c r="H291" s="2"/>
      <c r="I291" s="2"/>
      <c r="J291" s="2"/>
      <c r="K291" s="2"/>
    </row>
    <row r="292" spans="1:11" x14ac:dyDescent="0.2">
      <c r="A292">
        <v>268</v>
      </c>
      <c r="B292">
        <v>4655100.5443522353</v>
      </c>
      <c r="D292" s="2"/>
      <c r="E292" s="2"/>
      <c r="F292" s="2"/>
      <c r="G292" s="2"/>
      <c r="H292" s="2"/>
      <c r="I292" s="2"/>
      <c r="J292" s="2"/>
      <c r="K292" s="2"/>
    </row>
    <row r="293" spans="1:11" x14ac:dyDescent="0.2">
      <c r="A293">
        <v>269</v>
      </c>
      <c r="B293">
        <v>2476313.7566647143</v>
      </c>
      <c r="D293" s="2"/>
      <c r="E293" s="2"/>
      <c r="F293" s="2"/>
      <c r="G293" s="2"/>
      <c r="H293" s="2"/>
      <c r="I293" s="2"/>
      <c r="J293" s="2"/>
      <c r="K293" s="2"/>
    </row>
    <row r="294" spans="1:11" x14ac:dyDescent="0.2">
      <c r="A294">
        <v>270</v>
      </c>
      <c r="B294">
        <v>6038133.2928500893</v>
      </c>
      <c r="D294" s="2"/>
      <c r="E294" s="2"/>
      <c r="F294" s="2"/>
      <c r="G294" s="2"/>
      <c r="H294" s="2"/>
      <c r="I294" s="2"/>
      <c r="J294" s="2"/>
      <c r="K294" s="2"/>
    </row>
    <row r="295" spans="1:11" x14ac:dyDescent="0.2">
      <c r="A295">
        <v>271</v>
      </c>
      <c r="B295">
        <v>1904962.6062820074</v>
      </c>
      <c r="D295" s="2"/>
      <c r="E295" s="2"/>
      <c r="F295" s="2"/>
      <c r="G295" s="2"/>
      <c r="H295" s="2"/>
      <c r="I295" s="2"/>
      <c r="J295" s="2"/>
      <c r="K295" s="2"/>
    </row>
    <row r="296" spans="1:11" x14ac:dyDescent="0.2">
      <c r="A296">
        <v>272</v>
      </c>
      <c r="B296">
        <v>7144510.2420679778</v>
      </c>
      <c r="D296" s="2"/>
      <c r="E296" s="2"/>
      <c r="F296" s="2"/>
      <c r="G296" s="2"/>
      <c r="H296" s="2"/>
      <c r="I296" s="2"/>
      <c r="J296" s="2"/>
      <c r="K296" s="2"/>
    </row>
    <row r="297" spans="1:11" x14ac:dyDescent="0.2">
      <c r="A297">
        <v>273</v>
      </c>
      <c r="B297">
        <v>3536597.8319077655</v>
      </c>
      <c r="D297" s="2"/>
      <c r="E297" s="2"/>
      <c r="F297" s="2"/>
      <c r="G297" s="2"/>
      <c r="H297" s="2"/>
      <c r="I297" s="2"/>
      <c r="J297" s="2"/>
      <c r="K297" s="2"/>
    </row>
    <row r="298" spans="1:11" x14ac:dyDescent="0.2">
      <c r="A298">
        <v>274</v>
      </c>
      <c r="B298">
        <v>1672564.4229127695</v>
      </c>
      <c r="D298" s="2"/>
      <c r="E298" s="2"/>
      <c r="F298" s="2"/>
      <c r="G298" s="2"/>
      <c r="H298" s="2"/>
      <c r="I298" s="2"/>
      <c r="J298" s="2"/>
      <c r="K298" s="2"/>
    </row>
    <row r="299" spans="1:11" x14ac:dyDescent="0.2">
      <c r="A299">
        <v>275</v>
      </c>
      <c r="B299">
        <v>-2418509.6950847972</v>
      </c>
      <c r="D299" s="2"/>
      <c r="E299" s="2"/>
      <c r="F299" s="2"/>
      <c r="G299" s="2"/>
      <c r="H299" s="2"/>
      <c r="I299" s="2"/>
      <c r="J299" s="2"/>
      <c r="K299" s="2"/>
    </row>
    <row r="300" spans="1:11" x14ac:dyDescent="0.2">
      <c r="A300">
        <v>276</v>
      </c>
      <c r="B300">
        <v>-133116.25573884224</v>
      </c>
      <c r="D300" s="2"/>
      <c r="E300" s="2"/>
      <c r="F300" s="2"/>
      <c r="G300" s="2"/>
      <c r="H300" s="2"/>
      <c r="I300" s="2"/>
      <c r="J300" s="2"/>
      <c r="K300" s="2"/>
    </row>
    <row r="301" spans="1:11" x14ac:dyDescent="0.2">
      <c r="A301">
        <v>277</v>
      </c>
      <c r="B301">
        <v>4102738.8311568908</v>
      </c>
      <c r="D301" s="2"/>
      <c r="E301" s="2"/>
      <c r="F301" s="2"/>
      <c r="G301" s="2"/>
      <c r="H301" s="2"/>
      <c r="I301" s="2"/>
      <c r="J301" s="2"/>
      <c r="K301" s="2"/>
    </row>
    <row r="302" spans="1:11" x14ac:dyDescent="0.2">
      <c r="A302">
        <v>278</v>
      </c>
      <c r="B302">
        <v>5061027.3263703585</v>
      </c>
      <c r="D302" s="2"/>
      <c r="E302" s="2"/>
      <c r="F302" s="2"/>
      <c r="G302" s="2"/>
      <c r="H302" s="2"/>
      <c r="I302" s="2"/>
      <c r="J302" s="2"/>
      <c r="K302" s="2"/>
    </row>
    <row r="303" spans="1:11" x14ac:dyDescent="0.2">
      <c r="A303">
        <v>279</v>
      </c>
      <c r="B303">
        <v>571110.26919048443</v>
      </c>
      <c r="D303" s="2"/>
      <c r="E303" s="2"/>
      <c r="F303" s="2"/>
      <c r="G303" s="2"/>
      <c r="H303" s="2"/>
      <c r="I303" s="2"/>
      <c r="J303" s="2"/>
      <c r="K303" s="2"/>
    </row>
    <row r="304" spans="1:11" x14ac:dyDescent="0.2">
      <c r="A304">
        <v>280</v>
      </c>
      <c r="B304">
        <v>5503297.3179536825</v>
      </c>
      <c r="D304" s="2"/>
      <c r="E304" s="2"/>
      <c r="F304" s="2"/>
      <c r="G304" s="2"/>
      <c r="H304" s="2"/>
      <c r="I304" s="2"/>
      <c r="J304" s="2"/>
      <c r="K304" s="2"/>
    </row>
    <row r="305" spans="1:11" x14ac:dyDescent="0.2">
      <c r="A305">
        <v>281</v>
      </c>
      <c r="B305">
        <v>7867366.4351210855</v>
      </c>
      <c r="D305" s="2"/>
      <c r="E305" s="2"/>
      <c r="F305" s="2"/>
      <c r="G305" s="2"/>
      <c r="H305" s="2"/>
      <c r="I305" s="2"/>
      <c r="J305" s="2"/>
      <c r="K305" s="2"/>
    </row>
    <row r="306" spans="1:11" x14ac:dyDescent="0.2">
      <c r="A306">
        <v>282</v>
      </c>
      <c r="B306">
        <v>2617942.9954623929</v>
      </c>
      <c r="D306" s="2"/>
      <c r="E306" s="2"/>
      <c r="F306" s="2"/>
      <c r="G306" s="2"/>
      <c r="H306" s="2"/>
      <c r="I306" s="2"/>
      <c r="J306" s="2"/>
      <c r="K306" s="2"/>
    </row>
    <row r="307" spans="1:11" x14ac:dyDescent="0.2">
      <c r="A307">
        <v>283</v>
      </c>
      <c r="B307">
        <v>2905465.7354348842</v>
      </c>
      <c r="D307" s="2"/>
      <c r="E307" s="2"/>
      <c r="F307" s="2"/>
      <c r="G307" s="2"/>
      <c r="H307" s="2"/>
      <c r="I307" s="2"/>
      <c r="J307" s="2"/>
      <c r="K307" s="2"/>
    </row>
    <row r="308" spans="1:11" x14ac:dyDescent="0.2">
      <c r="A308">
        <v>284</v>
      </c>
      <c r="B308">
        <v>7223863.1613620333</v>
      </c>
      <c r="D308" s="2"/>
      <c r="E308" s="2"/>
      <c r="F308" s="2"/>
      <c r="G308" s="2"/>
      <c r="H308" s="2"/>
      <c r="I308" s="2"/>
      <c r="J308" s="2"/>
      <c r="K308" s="2"/>
    </row>
    <row r="309" spans="1:11" x14ac:dyDescent="0.2">
      <c r="A309">
        <v>285</v>
      </c>
      <c r="B309">
        <v>3553157.4840237293</v>
      </c>
      <c r="D309" s="2"/>
      <c r="E309" s="2"/>
      <c r="F309" s="2"/>
      <c r="G309" s="2"/>
      <c r="H309" s="2"/>
      <c r="I309" s="2"/>
      <c r="J309" s="2"/>
      <c r="K309" s="2"/>
    </row>
    <row r="310" spans="1:11" x14ac:dyDescent="0.2">
      <c r="A310">
        <v>286</v>
      </c>
      <c r="B310">
        <v>2728883.0278975363</v>
      </c>
      <c r="D310" s="2"/>
      <c r="E310" s="2"/>
      <c r="F310" s="2"/>
      <c r="G310" s="2"/>
      <c r="H310" s="2"/>
      <c r="I310" s="2"/>
      <c r="J310" s="2"/>
      <c r="K310" s="2"/>
    </row>
    <row r="311" spans="1:11" x14ac:dyDescent="0.2">
      <c r="A311">
        <v>287</v>
      </c>
      <c r="B311">
        <v>2413449.6548369545</v>
      </c>
      <c r="D311" s="2"/>
      <c r="E311" s="2"/>
      <c r="F311" s="2"/>
      <c r="G311" s="2"/>
      <c r="H311" s="2"/>
      <c r="I311" s="2"/>
      <c r="J311" s="2"/>
      <c r="K311" s="2"/>
    </row>
    <row r="312" spans="1:11" x14ac:dyDescent="0.2">
      <c r="A312">
        <v>288</v>
      </c>
      <c r="B312">
        <v>3445356.0511595136</v>
      </c>
      <c r="D312" s="2"/>
      <c r="E312" s="2"/>
      <c r="F312" s="2"/>
      <c r="G312" s="2"/>
      <c r="H312" s="2"/>
      <c r="I312" s="2"/>
      <c r="J312" s="2"/>
      <c r="K312" s="2"/>
    </row>
    <row r="313" spans="1:11" x14ac:dyDescent="0.2">
      <c r="A313">
        <v>289</v>
      </c>
      <c r="B313">
        <v>9864456.3485341631</v>
      </c>
      <c r="D313" s="2"/>
      <c r="E313" s="2"/>
      <c r="F313" s="2"/>
      <c r="G313" s="2"/>
      <c r="H313" s="2"/>
      <c r="I313" s="2"/>
      <c r="J313" s="2"/>
      <c r="K313" s="2"/>
    </row>
    <row r="314" spans="1:11" x14ac:dyDescent="0.2">
      <c r="A314">
        <v>290</v>
      </c>
      <c r="B314">
        <v>11832800.846584329</v>
      </c>
      <c r="D314" s="2"/>
      <c r="E314" s="2"/>
      <c r="F314" s="2"/>
      <c r="G314" s="2"/>
      <c r="H314" s="2"/>
      <c r="I314" s="2"/>
      <c r="J314" s="2"/>
      <c r="K314" s="2"/>
    </row>
    <row r="315" spans="1:11" x14ac:dyDescent="0.2">
      <c r="A315">
        <v>291</v>
      </c>
      <c r="B315">
        <v>-2547012.9526923206</v>
      </c>
      <c r="D315" s="2"/>
      <c r="E315" s="2"/>
      <c r="F315" s="2"/>
      <c r="G315" s="2"/>
      <c r="H315" s="2"/>
      <c r="I315" s="2"/>
      <c r="J315" s="2"/>
      <c r="K315" s="2"/>
    </row>
    <row r="316" spans="1:11" x14ac:dyDescent="0.2">
      <c r="A316">
        <v>292</v>
      </c>
      <c r="B316">
        <v>8944760.1014953163</v>
      </c>
      <c r="D316" s="2"/>
      <c r="E316" s="2"/>
      <c r="F316" s="2"/>
      <c r="G316" s="2"/>
      <c r="H316" s="2"/>
      <c r="I316" s="2"/>
      <c r="J316" s="2"/>
      <c r="K316" s="2"/>
    </row>
    <row r="317" spans="1:11" x14ac:dyDescent="0.2">
      <c r="A317">
        <v>293</v>
      </c>
      <c r="B317">
        <v>1516597.580922683</v>
      </c>
      <c r="D317" s="2"/>
      <c r="E317" s="2"/>
      <c r="F317" s="2"/>
      <c r="G317" s="2"/>
      <c r="H317" s="2"/>
      <c r="I317" s="2"/>
      <c r="J317" s="2"/>
      <c r="K317" s="2"/>
    </row>
    <row r="318" spans="1:11" x14ac:dyDescent="0.2">
      <c r="A318">
        <v>294</v>
      </c>
      <c r="B318">
        <v>279119.41801715101</v>
      </c>
      <c r="D318" s="2"/>
      <c r="E318" s="2"/>
      <c r="F318" s="2"/>
      <c r="G318" s="2"/>
      <c r="H318" s="2"/>
      <c r="I318" s="2"/>
      <c r="J318" s="2"/>
      <c r="K318" s="2"/>
    </row>
    <row r="319" spans="1:11" x14ac:dyDescent="0.2">
      <c r="A319">
        <v>295</v>
      </c>
      <c r="B319">
        <v>-533374.43744697049</v>
      </c>
      <c r="D319" s="2"/>
      <c r="E319" s="2"/>
      <c r="F319" s="2"/>
      <c r="G319" s="2"/>
      <c r="H319" s="2"/>
      <c r="I319" s="2"/>
      <c r="J319" s="2"/>
      <c r="K319" s="2"/>
    </row>
    <row r="320" spans="1:11" x14ac:dyDescent="0.2">
      <c r="A320">
        <v>296</v>
      </c>
      <c r="B320">
        <v>-2158983.8271546001</v>
      </c>
      <c r="D320" s="2"/>
      <c r="E320" s="2"/>
      <c r="F320" s="2"/>
      <c r="G320" s="2"/>
      <c r="H320" s="2"/>
      <c r="I320" s="2"/>
      <c r="J320" s="2"/>
      <c r="K320" s="2"/>
    </row>
    <row r="321" spans="1:11" x14ac:dyDescent="0.2">
      <c r="A321">
        <v>297</v>
      </c>
      <c r="B321">
        <v>3368101.2222326519</v>
      </c>
      <c r="D321" s="2"/>
      <c r="E321" s="2"/>
      <c r="F321" s="2"/>
      <c r="G321" s="2"/>
      <c r="H321" s="2"/>
      <c r="I321" s="2"/>
      <c r="J321" s="2"/>
      <c r="K321" s="2"/>
    </row>
    <row r="322" spans="1:11" x14ac:dyDescent="0.2">
      <c r="A322">
        <v>298</v>
      </c>
      <c r="B322">
        <v>-82866.183280519093</v>
      </c>
      <c r="D322" s="2"/>
      <c r="E322" s="2"/>
      <c r="F322" s="2"/>
      <c r="G322" s="2"/>
      <c r="H322" s="2"/>
      <c r="I322" s="2"/>
      <c r="J322" s="2"/>
      <c r="K322" s="2"/>
    </row>
    <row r="323" spans="1:11" x14ac:dyDescent="0.2">
      <c r="A323">
        <v>299</v>
      </c>
      <c r="B323">
        <v>4031138.3822042928</v>
      </c>
      <c r="D323" s="2"/>
      <c r="E323" s="2"/>
      <c r="F323" s="2"/>
      <c r="G323" s="2"/>
      <c r="H323" s="2"/>
      <c r="I323" s="2"/>
      <c r="J323" s="2"/>
      <c r="K323" s="2"/>
    </row>
    <row r="324" spans="1:11" x14ac:dyDescent="0.2">
      <c r="A324">
        <v>300</v>
      </c>
      <c r="B324">
        <v>11462955.665641688</v>
      </c>
      <c r="D324" s="2"/>
      <c r="E324" s="2"/>
      <c r="F324" s="2"/>
      <c r="G324" s="2"/>
      <c r="H324" s="2"/>
      <c r="I324" s="2"/>
      <c r="J324" s="2"/>
      <c r="K324" s="2"/>
    </row>
    <row r="325" spans="1:11" x14ac:dyDescent="0.2">
      <c r="A325">
        <v>301</v>
      </c>
      <c r="B325">
        <v>-231031.68904999824</v>
      </c>
      <c r="D325" s="2"/>
      <c r="E325" s="2"/>
      <c r="F325" s="2"/>
      <c r="G325" s="2"/>
      <c r="H325" s="2"/>
      <c r="I325" s="2"/>
      <c r="J325" s="2"/>
      <c r="K325" s="2"/>
    </row>
    <row r="326" spans="1:11" x14ac:dyDescent="0.2">
      <c r="A326">
        <v>302</v>
      </c>
      <c r="B326">
        <v>10166893.148456935</v>
      </c>
      <c r="D326" s="2"/>
      <c r="E326" s="2"/>
      <c r="F326" s="2"/>
      <c r="G326" s="2"/>
      <c r="H326" s="2"/>
      <c r="I326" s="2"/>
      <c r="J326" s="2"/>
      <c r="K326" s="2"/>
    </row>
    <row r="327" spans="1:11" x14ac:dyDescent="0.2">
      <c r="A327">
        <v>303</v>
      </c>
      <c r="B327">
        <v>-1504299.4091186733</v>
      </c>
      <c r="D327" s="2"/>
      <c r="E327" s="2"/>
      <c r="F327" s="2"/>
      <c r="G327" s="2"/>
      <c r="H327" s="2"/>
      <c r="I327" s="2"/>
      <c r="J327" s="2"/>
      <c r="K327" s="2"/>
    </row>
    <row r="328" spans="1:11" x14ac:dyDescent="0.2">
      <c r="A328">
        <v>304</v>
      </c>
      <c r="B328">
        <v>2927753.7125080614</v>
      </c>
      <c r="D328" s="2"/>
      <c r="E328" s="2"/>
      <c r="F328" s="2"/>
      <c r="G328" s="2"/>
      <c r="H328" s="2"/>
      <c r="I328" s="2"/>
      <c r="J328" s="2"/>
      <c r="K328" s="2"/>
    </row>
    <row r="329" spans="1:11" x14ac:dyDescent="0.2">
      <c r="A329">
        <v>305</v>
      </c>
      <c r="B329">
        <v>1727412.534623272</v>
      </c>
      <c r="D329" s="2"/>
      <c r="E329" s="2"/>
      <c r="F329" s="2"/>
      <c r="G329" s="2"/>
      <c r="H329" s="2"/>
      <c r="I329" s="2"/>
      <c r="J329" s="2"/>
      <c r="K329" s="2"/>
    </row>
    <row r="330" spans="1:11" x14ac:dyDescent="0.2">
      <c r="A330">
        <v>306</v>
      </c>
      <c r="B330">
        <v>1824917.0446522883</v>
      </c>
      <c r="D330" s="2"/>
      <c r="E330" s="2"/>
      <c r="F330" s="2"/>
      <c r="G330" s="2"/>
      <c r="H330" s="2"/>
      <c r="I330" s="2"/>
      <c r="J330" s="2"/>
      <c r="K330" s="2"/>
    </row>
    <row r="331" spans="1:11" x14ac:dyDescent="0.2">
      <c r="A331">
        <v>307</v>
      </c>
      <c r="B331">
        <v>293286.63760989119</v>
      </c>
      <c r="D331" s="2"/>
      <c r="E331" s="2"/>
      <c r="F331" s="2"/>
      <c r="G331" s="2"/>
      <c r="H331" s="2"/>
      <c r="I331" s="2"/>
      <c r="J331" s="2"/>
      <c r="K331" s="2"/>
    </row>
    <row r="332" spans="1:11" x14ac:dyDescent="0.2">
      <c r="A332">
        <v>308</v>
      </c>
      <c r="B332">
        <v>4697886.4180423953</v>
      </c>
      <c r="D332" s="2"/>
      <c r="E332" s="2"/>
      <c r="F332" s="2"/>
      <c r="G332" s="2"/>
      <c r="H332" s="2"/>
      <c r="I332" s="2"/>
      <c r="J332" s="2"/>
      <c r="K332" s="2"/>
    </row>
    <row r="333" spans="1:11" x14ac:dyDescent="0.2">
      <c r="A333">
        <v>309</v>
      </c>
      <c r="B333">
        <v>7297641.1649899799</v>
      </c>
      <c r="D333" s="2"/>
      <c r="E333" s="2"/>
      <c r="F333" s="2"/>
      <c r="G333" s="2"/>
      <c r="H333" s="2"/>
      <c r="I333" s="2"/>
      <c r="J333" s="2"/>
      <c r="K333" s="2"/>
    </row>
    <row r="334" spans="1:11" x14ac:dyDescent="0.2">
      <c r="A334">
        <v>310</v>
      </c>
      <c r="B334">
        <v>5061899.9084429685</v>
      </c>
      <c r="D334" s="2"/>
      <c r="E334" s="2"/>
      <c r="F334" s="2"/>
      <c r="G334" s="2"/>
      <c r="H334" s="2"/>
      <c r="I334" s="2"/>
      <c r="J334" s="2"/>
      <c r="K334" s="2"/>
    </row>
    <row r="335" spans="1:11" x14ac:dyDescent="0.2">
      <c r="A335">
        <v>311</v>
      </c>
      <c r="B335">
        <v>8518846.2940097004</v>
      </c>
      <c r="D335" s="2"/>
      <c r="E335" s="2"/>
      <c r="F335" s="2"/>
      <c r="G335" s="2"/>
      <c r="H335" s="2"/>
      <c r="I335" s="2"/>
      <c r="J335" s="2"/>
      <c r="K335" s="2"/>
    </row>
    <row r="336" spans="1:11" x14ac:dyDescent="0.2">
      <c r="A336">
        <v>312</v>
      </c>
      <c r="B336">
        <v>12823784.738592459</v>
      </c>
      <c r="D336" s="2"/>
      <c r="E336" s="2"/>
      <c r="F336" s="2"/>
      <c r="G336" s="2"/>
      <c r="H336" s="2"/>
      <c r="I336" s="2"/>
      <c r="J336" s="2"/>
      <c r="K336" s="2"/>
    </row>
    <row r="337" spans="1:11" x14ac:dyDescent="0.2">
      <c r="A337">
        <v>313</v>
      </c>
      <c r="B337">
        <v>6249779.5085191987</v>
      </c>
      <c r="D337" s="2"/>
      <c r="E337" s="2"/>
      <c r="F337" s="2"/>
      <c r="G337" s="2"/>
      <c r="H337" s="2"/>
      <c r="I337" s="2"/>
      <c r="J337" s="2"/>
      <c r="K337" s="2"/>
    </row>
    <row r="338" spans="1:11" x14ac:dyDescent="0.2">
      <c r="A338">
        <v>314</v>
      </c>
      <c r="B338">
        <v>3997528.6613920419</v>
      </c>
      <c r="D338" s="2"/>
      <c r="E338" s="2"/>
      <c r="F338" s="2"/>
      <c r="G338" s="2"/>
      <c r="H338" s="2"/>
      <c r="I338" s="2"/>
      <c r="J338" s="2"/>
      <c r="K338" s="2"/>
    </row>
    <row r="339" spans="1:11" x14ac:dyDescent="0.2">
      <c r="A339">
        <v>315</v>
      </c>
      <c r="B339">
        <v>3496767.6051303153</v>
      </c>
      <c r="D339" s="2"/>
      <c r="E339" s="2"/>
      <c r="F339" s="2"/>
      <c r="G339" s="2"/>
      <c r="H339" s="2"/>
      <c r="I339" s="2"/>
      <c r="J339" s="2"/>
      <c r="K339" s="2"/>
    </row>
    <row r="340" spans="1:11" x14ac:dyDescent="0.2">
      <c r="A340">
        <v>316</v>
      </c>
      <c r="B340">
        <v>3724962.4072751794</v>
      </c>
      <c r="D340" s="2"/>
      <c r="E340" s="2"/>
      <c r="F340" s="2"/>
      <c r="G340" s="2"/>
      <c r="H340" s="2"/>
      <c r="I340" s="2"/>
      <c r="J340" s="2"/>
      <c r="K340" s="2"/>
    </row>
    <row r="341" spans="1:11" x14ac:dyDescent="0.2">
      <c r="A341">
        <v>317</v>
      </c>
      <c r="B341">
        <v>2665282.5371603249</v>
      </c>
      <c r="D341" s="2"/>
      <c r="E341" s="2"/>
      <c r="F341" s="2"/>
      <c r="G341" s="2"/>
      <c r="H341" s="2"/>
      <c r="I341" s="2"/>
      <c r="J341" s="2"/>
      <c r="K341" s="2"/>
    </row>
    <row r="342" spans="1:11" x14ac:dyDescent="0.2">
      <c r="A342">
        <v>318</v>
      </c>
      <c r="B342">
        <v>1198452.8322363426</v>
      </c>
      <c r="D342" s="2"/>
      <c r="E342" s="2"/>
      <c r="F342" s="2"/>
      <c r="G342" s="2"/>
      <c r="H342" s="2"/>
      <c r="I342" s="2"/>
      <c r="J342" s="2"/>
      <c r="K342" s="2"/>
    </row>
    <row r="343" spans="1:11" x14ac:dyDescent="0.2">
      <c r="A343">
        <v>319</v>
      </c>
      <c r="B343">
        <v>4234109.833608456</v>
      </c>
      <c r="D343" s="2"/>
      <c r="E343" s="2"/>
      <c r="F343" s="2"/>
      <c r="G343" s="2"/>
      <c r="H343" s="2"/>
      <c r="I343" s="2"/>
      <c r="J343" s="2"/>
      <c r="K343" s="2"/>
    </row>
    <row r="344" spans="1:11" x14ac:dyDescent="0.2">
      <c r="A344">
        <v>320</v>
      </c>
      <c r="B344">
        <v>-377623.59188563668</v>
      </c>
      <c r="D344" s="2"/>
      <c r="E344" s="2"/>
      <c r="F344" s="2"/>
      <c r="G344" s="2"/>
      <c r="H344" s="2"/>
      <c r="I344" s="2"/>
      <c r="J344" s="2"/>
      <c r="K344" s="2"/>
    </row>
    <row r="345" spans="1:11" x14ac:dyDescent="0.2">
      <c r="A345">
        <v>321</v>
      </c>
      <c r="B345">
        <v>3321969.7038161941</v>
      </c>
      <c r="D345" s="2"/>
      <c r="E345" s="2"/>
      <c r="F345" s="2"/>
      <c r="G345" s="2"/>
      <c r="H345" s="2"/>
      <c r="I345" s="2"/>
      <c r="J345" s="2"/>
      <c r="K345" s="2"/>
    </row>
    <row r="346" spans="1:11" x14ac:dyDescent="0.2">
      <c r="A346">
        <v>322</v>
      </c>
      <c r="B346">
        <v>5936759.2389828386</v>
      </c>
      <c r="D346" s="2"/>
      <c r="E346" s="2"/>
      <c r="F346" s="2"/>
      <c r="G346" s="2"/>
      <c r="H346" s="2"/>
      <c r="I346" s="2"/>
      <c r="J346" s="2"/>
      <c r="K346" s="2"/>
    </row>
    <row r="347" spans="1:11" x14ac:dyDescent="0.2">
      <c r="A347">
        <v>323</v>
      </c>
      <c r="B347">
        <v>1884080.2499310444</v>
      </c>
      <c r="D347" s="2"/>
      <c r="E347" s="2"/>
      <c r="F347" s="2"/>
      <c r="G347" s="2"/>
      <c r="H347" s="2"/>
      <c r="I347" s="2"/>
      <c r="J347" s="2"/>
      <c r="K347" s="2"/>
    </row>
    <row r="348" spans="1:11" x14ac:dyDescent="0.2">
      <c r="A348">
        <v>324</v>
      </c>
      <c r="B348">
        <v>7840391.401633664</v>
      </c>
      <c r="D348" s="2"/>
      <c r="E348" s="2"/>
      <c r="F348" s="2"/>
      <c r="G348" s="2"/>
      <c r="H348" s="2"/>
      <c r="I348" s="2"/>
      <c r="J348" s="2"/>
      <c r="K348" s="2"/>
    </row>
    <row r="349" spans="1:11" x14ac:dyDescent="0.2">
      <c r="A349">
        <v>325</v>
      </c>
      <c r="B349">
        <v>3546525.4144883873</v>
      </c>
      <c r="D349" s="2"/>
      <c r="E349" s="2"/>
      <c r="F349" s="2"/>
      <c r="G349" s="2"/>
      <c r="H349" s="2"/>
      <c r="I349" s="2"/>
      <c r="J349" s="2"/>
      <c r="K349" s="2"/>
    </row>
    <row r="350" spans="1:11" x14ac:dyDescent="0.2">
      <c r="A350">
        <v>326</v>
      </c>
      <c r="B350">
        <v>1813804.6964141009</v>
      </c>
      <c r="D350" s="2"/>
      <c r="E350" s="2"/>
      <c r="F350" s="2"/>
      <c r="G350" s="2"/>
      <c r="H350" s="2"/>
      <c r="I350" s="2"/>
      <c r="J350" s="2"/>
      <c r="K350" s="2"/>
    </row>
    <row r="351" spans="1:11" x14ac:dyDescent="0.2">
      <c r="A351">
        <v>327</v>
      </c>
      <c r="B351">
        <v>5810572.4838674674</v>
      </c>
      <c r="D351" s="2"/>
      <c r="E351" s="2"/>
      <c r="F351" s="2"/>
      <c r="G351" s="2"/>
      <c r="H351" s="2"/>
      <c r="I351" s="2"/>
      <c r="J351" s="2"/>
      <c r="K351" s="2"/>
    </row>
    <row r="352" spans="1:11" x14ac:dyDescent="0.2">
      <c r="A352">
        <v>328</v>
      </c>
      <c r="B352">
        <v>753402.08925876836</v>
      </c>
      <c r="D352" s="2"/>
      <c r="E352" s="2"/>
      <c r="F352" s="2"/>
      <c r="G352" s="2"/>
      <c r="H352" s="2"/>
      <c r="I352" s="2"/>
      <c r="J352" s="2"/>
      <c r="K352" s="2"/>
    </row>
    <row r="353" spans="1:11" x14ac:dyDescent="0.2">
      <c r="A353">
        <v>329</v>
      </c>
      <c r="B353">
        <v>3158704.8577445932</v>
      </c>
      <c r="D353" s="2"/>
      <c r="E353" s="2"/>
      <c r="F353" s="2"/>
      <c r="G353" s="2"/>
      <c r="H353" s="2"/>
      <c r="I353" s="2"/>
      <c r="J353" s="2"/>
      <c r="K353" s="2"/>
    </row>
    <row r="354" spans="1:11" x14ac:dyDescent="0.2">
      <c r="A354">
        <v>330</v>
      </c>
      <c r="B354">
        <v>-750051.48123243393</v>
      </c>
      <c r="D354" s="2"/>
      <c r="E354" s="2"/>
      <c r="F354" s="2"/>
      <c r="G354" s="2"/>
      <c r="H354" s="2"/>
      <c r="I354" s="2"/>
      <c r="J354" s="2"/>
      <c r="K354" s="2"/>
    </row>
    <row r="355" spans="1:11" x14ac:dyDescent="0.2">
      <c r="A355">
        <v>331</v>
      </c>
      <c r="B355">
        <v>1888168.1459657322</v>
      </c>
      <c r="D355" s="2"/>
      <c r="E355" s="2"/>
      <c r="F355" s="2"/>
      <c r="G355" s="2"/>
      <c r="H355" s="2"/>
      <c r="I355" s="2"/>
      <c r="J355" s="2"/>
      <c r="K355" s="2"/>
    </row>
    <row r="356" spans="1:11" x14ac:dyDescent="0.2">
      <c r="A356">
        <v>332</v>
      </c>
      <c r="B356">
        <v>244629.2806065359</v>
      </c>
      <c r="D356" s="2"/>
      <c r="E356" s="2"/>
      <c r="F356" s="2"/>
      <c r="G356" s="2"/>
      <c r="H356" s="2"/>
      <c r="I356" s="2"/>
      <c r="J356" s="2"/>
      <c r="K356" s="2"/>
    </row>
    <row r="357" spans="1:11" x14ac:dyDescent="0.2">
      <c r="A357">
        <v>333</v>
      </c>
      <c r="B357">
        <v>406318.92142901954</v>
      </c>
      <c r="D357" s="2"/>
      <c r="E357" s="2"/>
      <c r="F357" s="2"/>
      <c r="G357" s="2"/>
      <c r="H357" s="2"/>
      <c r="I357" s="2"/>
      <c r="J357" s="2"/>
      <c r="K357" s="2"/>
    </row>
    <row r="358" spans="1:11" x14ac:dyDescent="0.2">
      <c r="A358">
        <v>334</v>
      </c>
      <c r="B358">
        <v>-2911907.1610920434</v>
      </c>
      <c r="D358" s="2"/>
      <c r="E358" s="2"/>
      <c r="F358" s="2"/>
      <c r="G358" s="2"/>
      <c r="H358" s="2"/>
      <c r="I358" s="2"/>
      <c r="J358" s="2"/>
      <c r="K358" s="2"/>
    </row>
    <row r="359" spans="1:11" x14ac:dyDescent="0.2">
      <c r="A359">
        <v>335</v>
      </c>
      <c r="B359">
        <v>118501.62616048532</v>
      </c>
      <c r="D359" s="2"/>
      <c r="E359" s="2"/>
      <c r="F359" s="2"/>
      <c r="G359" s="2"/>
      <c r="H359" s="2"/>
      <c r="I359" s="2"/>
      <c r="J359" s="2"/>
      <c r="K359" s="2"/>
    </row>
    <row r="360" spans="1:11" x14ac:dyDescent="0.2">
      <c r="A360">
        <v>336</v>
      </c>
      <c r="B360">
        <v>1299240.7034400043</v>
      </c>
      <c r="D360" s="2"/>
      <c r="E360" s="2"/>
      <c r="F360" s="2"/>
      <c r="G360" s="2"/>
      <c r="H360" s="2"/>
      <c r="I360" s="2"/>
      <c r="J360" s="2"/>
      <c r="K360" s="2"/>
    </row>
    <row r="361" spans="1:11" x14ac:dyDescent="0.2">
      <c r="A361">
        <v>337</v>
      </c>
      <c r="B361">
        <v>3105381.8840377727</v>
      </c>
      <c r="D361" s="2"/>
      <c r="E361" s="2"/>
      <c r="F361" s="2"/>
      <c r="G361" s="2"/>
      <c r="H361" s="2"/>
      <c r="I361" s="2"/>
      <c r="J361" s="2"/>
      <c r="K361" s="2"/>
    </row>
    <row r="362" spans="1:11" x14ac:dyDescent="0.2">
      <c r="A362">
        <v>338</v>
      </c>
      <c r="B362">
        <v>7134327.5061913915</v>
      </c>
      <c r="D362" s="2"/>
      <c r="E362" s="2"/>
      <c r="F362" s="2"/>
      <c r="G362" s="2"/>
      <c r="H362" s="2"/>
      <c r="I362" s="2"/>
      <c r="J362" s="2"/>
      <c r="K362" s="2"/>
    </row>
    <row r="363" spans="1:11" x14ac:dyDescent="0.2">
      <c r="A363">
        <v>339</v>
      </c>
      <c r="B363">
        <v>102862.34742885595</v>
      </c>
      <c r="D363" s="2"/>
      <c r="E363" s="2"/>
      <c r="F363" s="2"/>
      <c r="G363" s="2"/>
      <c r="H363" s="2"/>
      <c r="I363" s="2"/>
      <c r="J363" s="2"/>
      <c r="K363" s="2"/>
    </row>
    <row r="364" spans="1:11" x14ac:dyDescent="0.2">
      <c r="A364">
        <v>340</v>
      </c>
      <c r="B364">
        <v>3129057.9099002364</v>
      </c>
      <c r="D364" s="2"/>
      <c r="E364" s="2"/>
      <c r="F364" s="2"/>
      <c r="G364" s="2"/>
      <c r="H364" s="2"/>
      <c r="I364" s="2"/>
      <c r="J364" s="2"/>
      <c r="K364" s="2"/>
    </row>
    <row r="365" spans="1:11" x14ac:dyDescent="0.2">
      <c r="A365">
        <v>341</v>
      </c>
      <c r="B365">
        <v>14681585.135218915</v>
      </c>
      <c r="D365" s="2"/>
      <c r="E365" s="2"/>
      <c r="F365" s="2"/>
      <c r="G365" s="2"/>
      <c r="H365" s="2"/>
      <c r="I365" s="2"/>
      <c r="J365" s="2"/>
      <c r="K365" s="2"/>
    </row>
    <row r="366" spans="1:11" x14ac:dyDescent="0.2">
      <c r="A366">
        <v>342</v>
      </c>
      <c r="B366">
        <v>5591281.351598328</v>
      </c>
      <c r="D366" s="2"/>
      <c r="E366" s="2"/>
      <c r="F366" s="2"/>
      <c r="G366" s="2"/>
      <c r="H366" s="2"/>
      <c r="I366" s="2"/>
      <c r="J366" s="2"/>
      <c r="K366" s="2"/>
    </row>
    <row r="367" spans="1:11" x14ac:dyDescent="0.2">
      <c r="A367">
        <v>343</v>
      </c>
      <c r="B367">
        <v>-187739.84008553359</v>
      </c>
      <c r="D367" s="2"/>
      <c r="E367" s="2"/>
      <c r="F367" s="2"/>
      <c r="G367" s="2"/>
      <c r="H367" s="2"/>
      <c r="I367" s="2"/>
      <c r="J367" s="2"/>
      <c r="K367" s="2"/>
    </row>
    <row r="368" spans="1:11" x14ac:dyDescent="0.2">
      <c r="A368">
        <v>344</v>
      </c>
      <c r="B368">
        <v>4922604.4172878163</v>
      </c>
      <c r="D368" s="2"/>
      <c r="E368" s="2"/>
      <c r="F368" s="2"/>
      <c r="G368" s="2"/>
      <c r="H368" s="2"/>
      <c r="I368" s="2"/>
      <c r="J368" s="2"/>
      <c r="K368" s="2"/>
    </row>
    <row r="369" spans="1:11" x14ac:dyDescent="0.2">
      <c r="A369">
        <v>345</v>
      </c>
      <c r="B369">
        <v>5094334.7844483508</v>
      </c>
      <c r="D369" s="2"/>
      <c r="E369" s="2"/>
      <c r="F369" s="2"/>
      <c r="G369" s="2"/>
      <c r="H369" s="2"/>
      <c r="I369" s="2"/>
      <c r="J369" s="2"/>
      <c r="K369" s="2"/>
    </row>
    <row r="370" spans="1:11" x14ac:dyDescent="0.2">
      <c r="A370">
        <v>346</v>
      </c>
      <c r="B370">
        <v>3813583.2345679239</v>
      </c>
      <c r="D370" s="2"/>
      <c r="E370" s="2"/>
      <c r="F370" s="2"/>
      <c r="G370" s="2"/>
      <c r="H370" s="2"/>
      <c r="I370" s="2"/>
      <c r="J370" s="2"/>
      <c r="K370" s="2"/>
    </row>
    <row r="371" spans="1:11" x14ac:dyDescent="0.2">
      <c r="A371">
        <v>347</v>
      </c>
      <c r="B371">
        <v>9911619.528372176</v>
      </c>
      <c r="D371" s="2"/>
      <c r="E371" s="2"/>
      <c r="F371" s="2"/>
      <c r="G371" s="2"/>
      <c r="H371" s="2"/>
      <c r="I371" s="2"/>
      <c r="J371" s="2"/>
      <c r="K371" s="2"/>
    </row>
    <row r="372" spans="1:11" x14ac:dyDescent="0.2">
      <c r="A372">
        <v>348</v>
      </c>
      <c r="B372">
        <v>2643254.3755369498</v>
      </c>
      <c r="D372" s="2"/>
      <c r="E372" s="2"/>
      <c r="F372" s="2"/>
      <c r="G372" s="2"/>
      <c r="H372" s="2"/>
      <c r="I372" s="2"/>
      <c r="J372" s="2"/>
      <c r="K372" s="2"/>
    </row>
    <row r="373" spans="1:11" x14ac:dyDescent="0.2">
      <c r="A373">
        <v>349</v>
      </c>
      <c r="B373">
        <v>3117660.9754309217</v>
      </c>
      <c r="D373" s="2"/>
      <c r="E373" s="2"/>
      <c r="F373" s="2"/>
      <c r="G373" s="2"/>
      <c r="H373" s="2"/>
      <c r="I373" s="2"/>
      <c r="J373" s="2"/>
      <c r="K373" s="2"/>
    </row>
    <row r="374" spans="1:11" x14ac:dyDescent="0.2">
      <c r="A374">
        <v>350</v>
      </c>
      <c r="B374">
        <v>3231309.8543314589</v>
      </c>
      <c r="D374" s="2"/>
      <c r="E374" s="2"/>
      <c r="F374" s="2"/>
      <c r="G374" s="2"/>
      <c r="H374" s="2"/>
      <c r="I374" s="2"/>
      <c r="J374" s="2"/>
      <c r="K374" s="2"/>
    </row>
    <row r="375" spans="1:11" x14ac:dyDescent="0.2">
      <c r="A375">
        <v>351</v>
      </c>
      <c r="B375">
        <v>11117856.8830288</v>
      </c>
      <c r="D375" s="2"/>
      <c r="E375" s="2"/>
      <c r="F375" s="2"/>
      <c r="G375" s="2"/>
      <c r="H375" s="2"/>
      <c r="I375" s="2"/>
      <c r="J375" s="2"/>
      <c r="K375" s="2"/>
    </row>
    <row r="376" spans="1:11" x14ac:dyDescent="0.2">
      <c r="A376">
        <v>352</v>
      </c>
      <c r="B376">
        <v>5301962.1939265952</v>
      </c>
      <c r="D376" s="2"/>
      <c r="E376" s="2"/>
      <c r="F376" s="2"/>
      <c r="G376" s="2"/>
      <c r="H376" s="2"/>
      <c r="I376" s="2"/>
      <c r="J376" s="2"/>
      <c r="K376" s="2"/>
    </row>
    <row r="377" spans="1:11" x14ac:dyDescent="0.2">
      <c r="A377">
        <v>353</v>
      </c>
      <c r="B377">
        <v>541307.89315103763</v>
      </c>
      <c r="D377" s="2"/>
      <c r="E377" s="2"/>
      <c r="F377" s="2"/>
      <c r="G377" s="2"/>
      <c r="H377" s="2"/>
      <c r="I377" s="2"/>
      <c r="J377" s="2"/>
      <c r="K377" s="2"/>
    </row>
    <row r="378" spans="1:11" x14ac:dyDescent="0.2">
      <c r="A378">
        <v>354</v>
      </c>
      <c r="B378">
        <v>5582369.6008256711</v>
      </c>
      <c r="D378" s="2"/>
      <c r="E378" s="2"/>
      <c r="F378" s="2"/>
      <c r="G378" s="2"/>
      <c r="H378" s="2"/>
      <c r="I378" s="2"/>
      <c r="J378" s="2"/>
      <c r="K378" s="2"/>
    </row>
    <row r="379" spans="1:11" x14ac:dyDescent="0.2">
      <c r="A379">
        <v>355</v>
      </c>
      <c r="B379">
        <v>-1095015.3620360841</v>
      </c>
      <c r="D379" s="2"/>
      <c r="E379" s="2"/>
      <c r="F379" s="2"/>
      <c r="G379" s="2"/>
      <c r="H379" s="2"/>
      <c r="I379" s="2"/>
      <c r="J379" s="2"/>
      <c r="K379" s="2"/>
    </row>
    <row r="380" spans="1:11" x14ac:dyDescent="0.2">
      <c r="A380">
        <v>356</v>
      </c>
      <c r="B380">
        <v>-878897.69521232753</v>
      </c>
      <c r="D380" s="2"/>
      <c r="E380" s="2"/>
      <c r="F380" s="2"/>
      <c r="G380" s="2"/>
      <c r="H380" s="2"/>
      <c r="I380" s="2"/>
      <c r="J380" s="2"/>
      <c r="K380" s="2"/>
    </row>
    <row r="381" spans="1:11" x14ac:dyDescent="0.2">
      <c r="A381">
        <v>357</v>
      </c>
      <c r="B381">
        <v>-34828.615662386175</v>
      </c>
      <c r="D381" s="2"/>
      <c r="E381" s="2"/>
      <c r="F381" s="2"/>
      <c r="G381" s="2"/>
      <c r="H381" s="2"/>
      <c r="I381" s="2"/>
      <c r="J381" s="2"/>
      <c r="K381" s="2"/>
    </row>
    <row r="382" spans="1:11" x14ac:dyDescent="0.2">
      <c r="A382">
        <v>358</v>
      </c>
      <c r="B382">
        <v>4520826.4062479846</v>
      </c>
      <c r="D382" s="2"/>
      <c r="E382" s="2"/>
      <c r="F382" s="2"/>
      <c r="G382" s="2"/>
      <c r="H382" s="2"/>
      <c r="I382" s="2"/>
      <c r="J382" s="2"/>
      <c r="K382" s="2"/>
    </row>
    <row r="383" spans="1:11" x14ac:dyDescent="0.2">
      <c r="A383">
        <v>359</v>
      </c>
      <c r="B383">
        <v>13687837.49538729</v>
      </c>
      <c r="D383" s="2"/>
      <c r="E383" s="2"/>
      <c r="F383" s="2"/>
      <c r="G383" s="2"/>
      <c r="H383" s="2"/>
      <c r="I383" s="2"/>
      <c r="J383" s="2"/>
      <c r="K383" s="2"/>
    </row>
    <row r="384" spans="1:11" x14ac:dyDescent="0.2">
      <c r="A384">
        <v>360</v>
      </c>
      <c r="B384">
        <v>8021693.0281708119</v>
      </c>
      <c r="D384" s="2"/>
      <c r="E384" s="2"/>
      <c r="F384" s="2"/>
      <c r="G384" s="2"/>
      <c r="H384" s="2"/>
      <c r="I384" s="2"/>
      <c r="J384" s="2"/>
      <c r="K384" s="2"/>
    </row>
    <row r="385" spans="1:11" x14ac:dyDescent="0.2">
      <c r="A385">
        <v>361</v>
      </c>
      <c r="B385">
        <v>14258862.832184961</v>
      </c>
      <c r="D385" s="2"/>
      <c r="E385" s="2"/>
      <c r="F385" s="2"/>
      <c r="G385" s="2"/>
      <c r="H385" s="2"/>
      <c r="I385" s="2"/>
      <c r="J385" s="2"/>
      <c r="K385" s="2"/>
    </row>
    <row r="386" spans="1:11" x14ac:dyDescent="0.2">
      <c r="A386">
        <v>362</v>
      </c>
      <c r="B386">
        <v>6264460.0844856864</v>
      </c>
      <c r="D386" s="2"/>
      <c r="E386" s="2"/>
      <c r="F386" s="2"/>
      <c r="G386" s="2"/>
      <c r="H386" s="2"/>
      <c r="I386" s="2"/>
      <c r="J386" s="2"/>
      <c r="K386" s="2"/>
    </row>
    <row r="387" spans="1:11" x14ac:dyDescent="0.2">
      <c r="A387">
        <v>363</v>
      </c>
      <c r="B387">
        <v>1399186.8165546122</v>
      </c>
      <c r="D387" s="2"/>
      <c r="E387" s="2"/>
      <c r="F387" s="2"/>
      <c r="G387" s="2"/>
      <c r="H387" s="2"/>
      <c r="I387" s="2"/>
      <c r="J387" s="2"/>
      <c r="K387" s="2"/>
    </row>
    <row r="388" spans="1:11" x14ac:dyDescent="0.2">
      <c r="A388">
        <v>364</v>
      </c>
      <c r="B388">
        <v>866565.08447776968</v>
      </c>
      <c r="D388" s="2"/>
      <c r="E388" s="2"/>
      <c r="F388" s="2"/>
      <c r="G388" s="2"/>
      <c r="H388" s="2"/>
      <c r="I388" s="2"/>
      <c r="J388" s="2"/>
      <c r="K388" s="2"/>
    </row>
    <row r="389" spans="1:11" x14ac:dyDescent="0.2">
      <c r="A389">
        <v>365</v>
      </c>
      <c r="B389">
        <v>3858538.1278622593</v>
      </c>
      <c r="D389" s="2"/>
      <c r="E389" s="2"/>
      <c r="F389" s="2"/>
      <c r="G389" s="2"/>
      <c r="H389" s="2"/>
      <c r="I389" s="2"/>
      <c r="J389" s="2"/>
      <c r="K389" s="2"/>
    </row>
    <row r="390" spans="1:11" x14ac:dyDescent="0.2">
      <c r="A390">
        <v>366</v>
      </c>
      <c r="B390">
        <v>2560038.7437522127</v>
      </c>
      <c r="D390" s="2"/>
      <c r="E390" s="2"/>
      <c r="F390" s="2"/>
      <c r="G390" s="2"/>
      <c r="H390" s="2"/>
      <c r="I390" s="2"/>
      <c r="J390" s="2"/>
      <c r="K390" s="2"/>
    </row>
    <row r="391" spans="1:11" x14ac:dyDescent="0.2">
      <c r="A391">
        <v>367</v>
      </c>
      <c r="B391">
        <v>1331650.0339501014</v>
      </c>
      <c r="D391" s="2"/>
      <c r="E391" s="2"/>
      <c r="F391" s="2"/>
      <c r="G391" s="2"/>
      <c r="H391" s="2"/>
      <c r="I391" s="2"/>
      <c r="J391" s="2"/>
      <c r="K391" s="2"/>
    </row>
    <row r="392" spans="1:11" x14ac:dyDescent="0.2">
      <c r="A392">
        <v>368</v>
      </c>
      <c r="B392">
        <v>2993527.5710405717</v>
      </c>
      <c r="D392" s="2"/>
      <c r="E392" s="2"/>
      <c r="F392" s="2"/>
      <c r="G392" s="2"/>
      <c r="H392" s="2"/>
      <c r="I392" s="2"/>
      <c r="J392" s="2"/>
      <c r="K392" s="2"/>
    </row>
    <row r="393" spans="1:11" x14ac:dyDescent="0.2">
      <c r="A393">
        <v>369</v>
      </c>
      <c r="B393">
        <v>11903654.563502871</v>
      </c>
      <c r="D393" s="2"/>
      <c r="E393" s="2"/>
      <c r="F393" s="2"/>
      <c r="G393" s="2"/>
      <c r="H393" s="2"/>
      <c r="I393" s="2"/>
      <c r="J393" s="2"/>
      <c r="K393" s="2"/>
    </row>
    <row r="394" spans="1:11" x14ac:dyDescent="0.2">
      <c r="A394">
        <v>370</v>
      </c>
      <c r="B394">
        <v>8565804.0407741908</v>
      </c>
      <c r="D394" s="2"/>
      <c r="E394" s="2"/>
      <c r="F394" s="2"/>
      <c r="G394" s="2"/>
      <c r="H394" s="2"/>
      <c r="I394" s="2"/>
      <c r="J394" s="2"/>
      <c r="K394" s="2"/>
    </row>
    <row r="395" spans="1:11" x14ac:dyDescent="0.2">
      <c r="A395">
        <v>371</v>
      </c>
      <c r="B395">
        <v>27388601.459506646</v>
      </c>
      <c r="D395" s="2"/>
      <c r="E395" s="2"/>
      <c r="F395" s="2"/>
      <c r="G395" s="2"/>
      <c r="H395" s="2"/>
      <c r="I395" s="2"/>
      <c r="J395" s="2"/>
      <c r="K395" s="2"/>
    </row>
    <row r="396" spans="1:11" x14ac:dyDescent="0.2">
      <c r="A396">
        <v>372</v>
      </c>
      <c r="B396">
        <v>6260900.0007388797</v>
      </c>
      <c r="D396" s="2"/>
      <c r="E396" s="2"/>
      <c r="F396" s="2"/>
      <c r="G396" s="2"/>
      <c r="H396" s="2"/>
      <c r="I396" s="2"/>
      <c r="J396" s="2"/>
      <c r="K396" s="2"/>
    </row>
    <row r="397" spans="1:11" x14ac:dyDescent="0.2">
      <c r="A397">
        <v>373</v>
      </c>
      <c r="B397">
        <v>13299789.583997369</v>
      </c>
      <c r="D397" s="2"/>
      <c r="E397" s="2"/>
      <c r="F397" s="2"/>
      <c r="G397" s="2"/>
      <c r="H397" s="2"/>
      <c r="I397" s="2"/>
      <c r="J397" s="2"/>
      <c r="K397" s="2"/>
    </row>
    <row r="398" spans="1:11" x14ac:dyDescent="0.2">
      <c r="A398">
        <v>374</v>
      </c>
      <c r="B398">
        <v>-649541.02045408078</v>
      </c>
      <c r="D398" s="2"/>
      <c r="E398" s="2"/>
      <c r="F398" s="2"/>
      <c r="G398" s="2"/>
      <c r="H398" s="2"/>
      <c r="I398" s="2"/>
      <c r="J398" s="2"/>
      <c r="K398" s="2"/>
    </row>
    <row r="399" spans="1:11" x14ac:dyDescent="0.2">
      <c r="A399">
        <v>375</v>
      </c>
      <c r="B399">
        <v>-1515121.2778671782</v>
      </c>
      <c r="D399" s="2"/>
      <c r="E399" s="2"/>
      <c r="F399" s="2"/>
      <c r="G399" s="2"/>
      <c r="H399" s="2"/>
      <c r="I399" s="2"/>
      <c r="J399" s="2"/>
      <c r="K399" s="2"/>
    </row>
    <row r="400" spans="1:11" x14ac:dyDescent="0.2">
      <c r="A400">
        <v>376</v>
      </c>
      <c r="B400">
        <v>1821107.0164273067</v>
      </c>
      <c r="D400" s="2"/>
      <c r="E400" s="2"/>
      <c r="F400" s="2"/>
      <c r="G400" s="2"/>
      <c r="H400" s="2"/>
      <c r="I400" s="2"/>
      <c r="J400" s="2"/>
      <c r="K400" s="2"/>
    </row>
    <row r="401" spans="1:11" x14ac:dyDescent="0.2">
      <c r="A401">
        <v>377</v>
      </c>
      <c r="B401">
        <v>2420259.0576066184</v>
      </c>
      <c r="D401" s="2"/>
      <c r="E401" s="2"/>
      <c r="F401" s="2"/>
      <c r="G401" s="2"/>
      <c r="H401" s="2"/>
      <c r="I401" s="2"/>
      <c r="J401" s="2"/>
      <c r="K401" s="2"/>
    </row>
    <row r="402" spans="1:11" x14ac:dyDescent="0.2">
      <c r="A402">
        <v>378</v>
      </c>
      <c r="B402">
        <v>2172489.0771490773</v>
      </c>
      <c r="D402" s="2"/>
      <c r="E402" s="2"/>
      <c r="F402" s="2"/>
      <c r="G402" s="2"/>
      <c r="H402" s="2"/>
      <c r="I402" s="2"/>
      <c r="J402" s="2"/>
      <c r="K402" s="2"/>
    </row>
    <row r="403" spans="1:11" x14ac:dyDescent="0.2">
      <c r="A403">
        <v>379</v>
      </c>
      <c r="B403">
        <v>5172000.0863311999</v>
      </c>
      <c r="D403" s="2"/>
      <c r="E403" s="2"/>
      <c r="F403" s="2"/>
      <c r="G403" s="2"/>
      <c r="H403" s="2"/>
      <c r="I403" s="2"/>
      <c r="J403" s="2"/>
      <c r="K403" s="2"/>
    </row>
    <row r="404" spans="1:11" x14ac:dyDescent="0.2">
      <c r="A404">
        <v>380</v>
      </c>
      <c r="B404">
        <v>4303205.9621397536</v>
      </c>
      <c r="D404" s="2"/>
      <c r="E404" s="2"/>
      <c r="F404" s="2"/>
      <c r="G404" s="2"/>
      <c r="H404" s="2"/>
      <c r="I404" s="2"/>
      <c r="J404" s="2"/>
      <c r="K404" s="2"/>
    </row>
    <row r="405" spans="1:11" x14ac:dyDescent="0.2">
      <c r="A405">
        <v>381</v>
      </c>
      <c r="B405">
        <v>5448484.2544187866</v>
      </c>
      <c r="D405" s="2"/>
      <c r="E405" s="2"/>
      <c r="F405" s="2"/>
      <c r="G405" s="2"/>
      <c r="H405" s="2"/>
      <c r="I405" s="2"/>
      <c r="J405" s="2"/>
      <c r="K405" s="2"/>
    </row>
    <row r="406" spans="1:11" x14ac:dyDescent="0.2">
      <c r="A406">
        <v>382</v>
      </c>
      <c r="B406">
        <v>-541431.94069040916</v>
      </c>
      <c r="D406" s="2"/>
      <c r="E406" s="2"/>
      <c r="F406" s="2"/>
      <c r="G406" s="2"/>
      <c r="H406" s="2"/>
      <c r="I406" s="2"/>
      <c r="J406" s="2"/>
      <c r="K406" s="2"/>
    </row>
    <row r="407" spans="1:11" x14ac:dyDescent="0.2">
      <c r="A407">
        <v>383</v>
      </c>
      <c r="B407">
        <v>11351317.223638855</v>
      </c>
      <c r="D407" s="2"/>
      <c r="E407" s="2"/>
      <c r="F407" s="2"/>
      <c r="G407" s="2"/>
      <c r="H407" s="2"/>
      <c r="I407" s="2"/>
      <c r="J407" s="2"/>
      <c r="K407" s="2"/>
    </row>
    <row r="408" spans="1:11" x14ac:dyDescent="0.2">
      <c r="A408">
        <v>384</v>
      </c>
      <c r="B408">
        <v>7622919.4565083701</v>
      </c>
      <c r="D408" s="2"/>
      <c r="E408" s="2"/>
      <c r="F408" s="2"/>
      <c r="G408" s="2"/>
      <c r="H408" s="2"/>
      <c r="I408" s="2"/>
      <c r="J408" s="2"/>
      <c r="K408" s="2"/>
    </row>
    <row r="409" spans="1:11" x14ac:dyDescent="0.2">
      <c r="A409">
        <v>385</v>
      </c>
      <c r="B409">
        <v>-267811.24969549326</v>
      </c>
      <c r="D409" s="2"/>
      <c r="E409" s="2"/>
      <c r="F409" s="2"/>
      <c r="G409" s="2"/>
      <c r="H409" s="2"/>
      <c r="I409" s="2"/>
      <c r="J409" s="2"/>
      <c r="K409" s="2"/>
    </row>
    <row r="410" spans="1:11" x14ac:dyDescent="0.2">
      <c r="A410">
        <v>386</v>
      </c>
      <c r="B410">
        <v>-3855.9728911268176</v>
      </c>
      <c r="D410" s="2"/>
      <c r="E410" s="2"/>
      <c r="F410" s="2"/>
      <c r="G410" s="2"/>
      <c r="H410" s="2"/>
      <c r="I410" s="2"/>
      <c r="J410" s="2"/>
      <c r="K410" s="2"/>
    </row>
    <row r="411" spans="1:11" x14ac:dyDescent="0.2">
      <c r="A411">
        <v>387</v>
      </c>
      <c r="B411">
        <v>8921405.4344868567</v>
      </c>
      <c r="D411" s="2"/>
      <c r="E411" s="2"/>
      <c r="F411" s="2"/>
      <c r="G411" s="2"/>
      <c r="H411" s="2"/>
      <c r="I411" s="2"/>
      <c r="J411" s="2"/>
      <c r="K411" s="2"/>
    </row>
    <row r="412" spans="1:11" x14ac:dyDescent="0.2">
      <c r="A412">
        <v>388</v>
      </c>
      <c r="B412">
        <v>3641698.9235626371</v>
      </c>
      <c r="D412" s="2"/>
      <c r="E412" s="2"/>
      <c r="F412" s="2"/>
      <c r="G412" s="2"/>
      <c r="H412" s="2"/>
      <c r="I412" s="2"/>
      <c r="J412" s="2"/>
      <c r="K412" s="2"/>
    </row>
    <row r="413" spans="1:11" x14ac:dyDescent="0.2">
      <c r="A413">
        <v>389</v>
      </c>
      <c r="B413">
        <v>-38020.344826313492</v>
      </c>
      <c r="D413" s="2"/>
      <c r="E413" s="2"/>
      <c r="F413" s="2"/>
      <c r="G413" s="2"/>
      <c r="H413" s="2"/>
      <c r="I413" s="2"/>
      <c r="J413" s="2"/>
      <c r="K413" s="2"/>
    </row>
    <row r="414" spans="1:11" x14ac:dyDescent="0.2">
      <c r="A414">
        <v>390</v>
      </c>
      <c r="B414">
        <v>-1825527.2234768765</v>
      </c>
      <c r="D414" s="2"/>
      <c r="E414" s="2"/>
      <c r="F414" s="2"/>
      <c r="G414" s="2"/>
      <c r="H414" s="2"/>
      <c r="I414" s="2"/>
      <c r="J414" s="2"/>
      <c r="K414" s="2"/>
    </row>
    <row r="415" spans="1:11" x14ac:dyDescent="0.2">
      <c r="A415">
        <v>391</v>
      </c>
      <c r="B415">
        <v>603892.24852985248</v>
      </c>
      <c r="D415" s="2"/>
      <c r="E415" s="2"/>
      <c r="F415" s="2"/>
      <c r="G415" s="2"/>
      <c r="H415" s="2"/>
      <c r="I415" s="2"/>
      <c r="J415" s="2"/>
      <c r="K415" s="2"/>
    </row>
    <row r="416" spans="1:11" x14ac:dyDescent="0.2">
      <c r="A416">
        <v>392</v>
      </c>
      <c r="B416">
        <v>181254.40698030894</v>
      </c>
      <c r="D416" s="2"/>
      <c r="E416" s="2"/>
      <c r="F416" s="2"/>
      <c r="G416" s="2"/>
      <c r="H416" s="2"/>
      <c r="I416" s="2"/>
      <c r="J416" s="2"/>
      <c r="K416" s="2"/>
    </row>
    <row r="417" spans="1:11" x14ac:dyDescent="0.2">
      <c r="A417">
        <v>393</v>
      </c>
      <c r="B417">
        <v>3493509.2211540039</v>
      </c>
      <c r="D417" s="2"/>
      <c r="E417" s="2"/>
      <c r="F417" s="2"/>
      <c r="G417" s="2"/>
      <c r="H417" s="2"/>
      <c r="I417" s="2"/>
      <c r="J417" s="2"/>
      <c r="K417" s="2"/>
    </row>
    <row r="418" spans="1:11" x14ac:dyDescent="0.2">
      <c r="A418">
        <v>394</v>
      </c>
      <c r="B418">
        <v>6603961.4982032878</v>
      </c>
      <c r="D418" s="2"/>
      <c r="E418" s="2"/>
      <c r="F418" s="2"/>
      <c r="G418" s="2"/>
      <c r="H418" s="2"/>
      <c r="I418" s="2"/>
      <c r="J418" s="2"/>
      <c r="K418" s="2"/>
    </row>
    <row r="419" spans="1:11" x14ac:dyDescent="0.2">
      <c r="A419">
        <v>395</v>
      </c>
      <c r="B419">
        <v>3927062.9515549326</v>
      </c>
      <c r="D419" s="2"/>
      <c r="E419" s="2"/>
      <c r="F419" s="2"/>
      <c r="G419" s="2"/>
      <c r="H419" s="2"/>
      <c r="I419" s="2"/>
      <c r="J419" s="2"/>
      <c r="K419" s="2"/>
    </row>
    <row r="420" spans="1:11" x14ac:dyDescent="0.2">
      <c r="A420">
        <v>396</v>
      </c>
      <c r="B420">
        <v>1438890.9412214987</v>
      </c>
      <c r="D420" s="2"/>
      <c r="E420" s="2"/>
      <c r="F420" s="2"/>
      <c r="G420" s="2"/>
      <c r="H420" s="2"/>
      <c r="I420" s="2"/>
      <c r="J420" s="2"/>
      <c r="K420" s="2"/>
    </row>
    <row r="421" spans="1:11" x14ac:dyDescent="0.2">
      <c r="A421">
        <v>397</v>
      </c>
      <c r="B421">
        <v>5985837.2399711097</v>
      </c>
      <c r="D421" s="2"/>
      <c r="E421" s="2"/>
      <c r="F421" s="2"/>
      <c r="G421" s="2"/>
      <c r="H421" s="2"/>
      <c r="I421" s="2"/>
      <c r="J421" s="2"/>
      <c r="K421" s="2"/>
    </row>
    <row r="422" spans="1:11" x14ac:dyDescent="0.2">
      <c r="A422">
        <v>398</v>
      </c>
      <c r="B422">
        <v>3135800.2911756425</v>
      </c>
      <c r="D422" s="2"/>
      <c r="E422" s="2"/>
      <c r="F422" s="2"/>
      <c r="G422" s="2"/>
      <c r="H422" s="2"/>
      <c r="I422" s="2"/>
      <c r="J422" s="2"/>
      <c r="K422" s="2"/>
    </row>
    <row r="423" spans="1:11" x14ac:dyDescent="0.2">
      <c r="A423">
        <v>399</v>
      </c>
      <c r="B423">
        <v>1162475.6768828994</v>
      </c>
      <c r="D423" s="2"/>
      <c r="E423" s="2"/>
      <c r="F423" s="2"/>
      <c r="G423" s="2"/>
      <c r="H423" s="2"/>
      <c r="I423" s="2"/>
      <c r="J423" s="2"/>
      <c r="K423" s="2"/>
    </row>
    <row r="424" spans="1:11" x14ac:dyDescent="0.2">
      <c r="A424">
        <v>400</v>
      </c>
      <c r="B424">
        <v>-349475.93167162593</v>
      </c>
      <c r="D424" s="2"/>
      <c r="E424" s="2"/>
      <c r="F424" s="2"/>
      <c r="G424" s="2"/>
      <c r="H424" s="2"/>
      <c r="I424" s="2"/>
      <c r="J424" s="2"/>
      <c r="K424" s="2"/>
    </row>
    <row r="425" spans="1:11" x14ac:dyDescent="0.2">
      <c r="A425">
        <v>401</v>
      </c>
      <c r="B425">
        <v>1231223.6890540279</v>
      </c>
      <c r="D425" s="2"/>
      <c r="E425" s="2"/>
      <c r="F425" s="2"/>
      <c r="G425" s="2"/>
      <c r="H425" s="2"/>
      <c r="I425" s="2"/>
      <c r="J425" s="2"/>
      <c r="K425" s="2"/>
    </row>
    <row r="426" spans="1:11" x14ac:dyDescent="0.2">
      <c r="A426">
        <v>402</v>
      </c>
      <c r="B426">
        <v>-2079560.6213322631</v>
      </c>
      <c r="D426" s="2"/>
      <c r="E426" s="2"/>
      <c r="F426" s="2"/>
      <c r="G426" s="2"/>
      <c r="H426" s="2"/>
      <c r="I426" s="2"/>
      <c r="J426" s="2"/>
      <c r="K426" s="2"/>
    </row>
    <row r="427" spans="1:11" x14ac:dyDescent="0.2">
      <c r="A427">
        <v>403</v>
      </c>
      <c r="B427">
        <v>5717047.6694923025</v>
      </c>
      <c r="D427" s="2"/>
      <c r="E427" s="2"/>
      <c r="F427" s="2"/>
      <c r="G427" s="2"/>
      <c r="H427" s="2"/>
      <c r="I427" s="2"/>
      <c r="J427" s="2"/>
      <c r="K427" s="2"/>
    </row>
    <row r="428" spans="1:11" x14ac:dyDescent="0.2">
      <c r="A428">
        <v>404</v>
      </c>
      <c r="B428">
        <v>2562558.5129296398</v>
      </c>
      <c r="D428" s="2"/>
      <c r="E428" s="2"/>
      <c r="F428" s="2"/>
      <c r="G428" s="2"/>
      <c r="H428" s="2"/>
      <c r="I428" s="2"/>
      <c r="J428" s="2"/>
      <c r="K428" s="2"/>
    </row>
    <row r="429" spans="1:11" x14ac:dyDescent="0.2">
      <c r="A429">
        <v>405</v>
      </c>
      <c r="B429">
        <v>928185.79742595518</v>
      </c>
      <c r="D429" s="2"/>
      <c r="E429" s="2"/>
      <c r="F429" s="2"/>
      <c r="G429" s="2"/>
      <c r="H429" s="2"/>
      <c r="I429" s="2"/>
      <c r="J429" s="2"/>
      <c r="K429" s="2"/>
    </row>
    <row r="430" spans="1:11" x14ac:dyDescent="0.2">
      <c r="A430">
        <v>406</v>
      </c>
      <c r="B430">
        <v>7003739.7568604806</v>
      </c>
      <c r="D430" s="2"/>
      <c r="E430" s="2"/>
      <c r="F430" s="2"/>
      <c r="G430" s="2"/>
      <c r="H430" s="2"/>
      <c r="I430" s="2"/>
      <c r="J430" s="2"/>
      <c r="K430" s="2"/>
    </row>
    <row r="431" spans="1:11" x14ac:dyDescent="0.2">
      <c r="A431">
        <v>407</v>
      </c>
      <c r="B431">
        <v>415905.32084619248</v>
      </c>
      <c r="D431" s="2"/>
      <c r="E431" s="2"/>
      <c r="F431" s="2"/>
      <c r="G431" s="2"/>
      <c r="H431" s="2"/>
      <c r="I431" s="2"/>
      <c r="J431" s="2"/>
      <c r="K431" s="2"/>
    </row>
    <row r="432" spans="1:11" x14ac:dyDescent="0.2">
      <c r="A432">
        <v>408</v>
      </c>
      <c r="B432">
        <v>578528.93037556799</v>
      </c>
      <c r="D432" s="2"/>
      <c r="E432" s="2"/>
      <c r="F432" s="2"/>
      <c r="G432" s="2"/>
      <c r="H432" s="2"/>
      <c r="I432" s="2"/>
      <c r="J432" s="2"/>
      <c r="K432" s="2"/>
    </row>
    <row r="433" spans="1:11" x14ac:dyDescent="0.2">
      <c r="A433">
        <v>409</v>
      </c>
      <c r="B433">
        <v>2391923.1095067882</v>
      </c>
      <c r="D433" s="2"/>
      <c r="E433" s="2"/>
      <c r="F433" s="2"/>
      <c r="G433" s="2"/>
      <c r="H433" s="2"/>
      <c r="I433" s="2"/>
      <c r="J433" s="2"/>
      <c r="K433" s="2"/>
    </row>
    <row r="434" spans="1:11" x14ac:dyDescent="0.2">
      <c r="A434">
        <v>410</v>
      </c>
      <c r="B434">
        <v>9991256.5551003478</v>
      </c>
      <c r="D434" s="2"/>
      <c r="E434" s="2"/>
      <c r="F434" s="2"/>
      <c r="G434" s="2"/>
      <c r="H434" s="2"/>
      <c r="I434" s="2"/>
      <c r="J434" s="2"/>
      <c r="K434" s="2"/>
    </row>
    <row r="435" spans="1:11" x14ac:dyDescent="0.2">
      <c r="A435">
        <v>411</v>
      </c>
      <c r="B435">
        <v>-767645.66149855359</v>
      </c>
      <c r="D435" s="2"/>
      <c r="E435" s="2"/>
      <c r="F435" s="2"/>
      <c r="G435" s="2"/>
      <c r="H435" s="2"/>
      <c r="I435" s="2"/>
      <c r="J435" s="2"/>
      <c r="K435" s="2"/>
    </row>
    <row r="436" spans="1:11" x14ac:dyDescent="0.2">
      <c r="A436">
        <v>412</v>
      </c>
      <c r="B436">
        <v>10818004.711515997</v>
      </c>
      <c r="D436" s="2"/>
      <c r="E436" s="2"/>
      <c r="F436" s="2"/>
      <c r="G436" s="2"/>
      <c r="H436" s="2"/>
      <c r="I436" s="2"/>
      <c r="J436" s="2"/>
      <c r="K436" s="2"/>
    </row>
    <row r="437" spans="1:11" x14ac:dyDescent="0.2">
      <c r="A437">
        <v>413</v>
      </c>
      <c r="B437">
        <v>1767110.4353299721</v>
      </c>
      <c r="D437" s="2"/>
      <c r="E437" s="2"/>
      <c r="F437" s="2"/>
      <c r="G437" s="2"/>
      <c r="H437" s="2"/>
      <c r="I437" s="2"/>
      <c r="J437" s="2"/>
      <c r="K437" s="2"/>
    </row>
    <row r="438" spans="1:11" x14ac:dyDescent="0.2">
      <c r="A438">
        <v>414</v>
      </c>
      <c r="B438">
        <v>-339571.12829531473</v>
      </c>
      <c r="D438" s="2"/>
      <c r="E438" s="2"/>
      <c r="F438" s="2"/>
      <c r="G438" s="2"/>
      <c r="H438" s="2"/>
      <c r="I438" s="2"/>
      <c r="J438" s="2"/>
      <c r="K438" s="2"/>
    </row>
    <row r="439" spans="1:11" x14ac:dyDescent="0.2">
      <c r="A439">
        <v>415</v>
      </c>
      <c r="B439">
        <v>2001164.2882316243</v>
      </c>
      <c r="D439" s="2"/>
      <c r="E439" s="2"/>
      <c r="F439" s="2"/>
      <c r="G439" s="2"/>
      <c r="H439" s="2"/>
      <c r="I439" s="2"/>
      <c r="J439" s="2"/>
      <c r="K439" s="2"/>
    </row>
    <row r="440" spans="1:11" x14ac:dyDescent="0.2">
      <c r="A440">
        <v>416</v>
      </c>
      <c r="B440">
        <v>2376801.9664064287</v>
      </c>
      <c r="D440" s="2"/>
      <c r="E440" s="2"/>
      <c r="F440" s="2"/>
      <c r="G440" s="2"/>
      <c r="H440" s="2"/>
      <c r="I440" s="2"/>
      <c r="J440" s="2"/>
      <c r="K440" s="2"/>
    </row>
    <row r="441" spans="1:11" x14ac:dyDescent="0.2">
      <c r="A441">
        <v>417</v>
      </c>
      <c r="B441">
        <v>-559453.54875150695</v>
      </c>
      <c r="D441" s="2"/>
      <c r="E441" s="2"/>
      <c r="F441" s="2"/>
      <c r="G441" s="2"/>
      <c r="H441" s="2"/>
      <c r="I441" s="2"/>
      <c r="J441" s="2"/>
      <c r="K441" s="2"/>
    </row>
    <row r="442" spans="1:11" x14ac:dyDescent="0.2">
      <c r="A442">
        <v>418</v>
      </c>
      <c r="B442">
        <v>609242.64830237441</v>
      </c>
      <c r="D442" s="2"/>
      <c r="E442" s="2"/>
      <c r="F442" s="2"/>
      <c r="G442" s="2"/>
      <c r="H442" s="2"/>
      <c r="I442" s="2"/>
      <c r="J442" s="2"/>
      <c r="K442" s="2"/>
    </row>
    <row r="443" spans="1:11" x14ac:dyDescent="0.2">
      <c r="A443">
        <v>419</v>
      </c>
      <c r="B443">
        <v>2381397.0352125056</v>
      </c>
      <c r="D443" s="2"/>
      <c r="E443" s="2"/>
      <c r="F443" s="2"/>
      <c r="G443" s="2"/>
      <c r="H443" s="2"/>
      <c r="I443" s="2"/>
      <c r="J443" s="2"/>
      <c r="K443" s="2"/>
    </row>
    <row r="444" spans="1:11" x14ac:dyDescent="0.2">
      <c r="A444">
        <v>420</v>
      </c>
      <c r="B444">
        <v>7058887.4694562135</v>
      </c>
      <c r="D444" s="2"/>
      <c r="E444" s="2"/>
      <c r="F444" s="2"/>
      <c r="G444" s="2"/>
      <c r="H444" s="2"/>
      <c r="I444" s="2"/>
      <c r="J444" s="2"/>
      <c r="K444" s="2"/>
    </row>
    <row r="445" spans="1:11" x14ac:dyDescent="0.2">
      <c r="A445">
        <v>421</v>
      </c>
      <c r="B445">
        <v>4264119.4149348903</v>
      </c>
      <c r="D445" s="2"/>
      <c r="E445" s="2"/>
      <c r="F445" s="2"/>
      <c r="G445" s="2"/>
      <c r="H445" s="2"/>
      <c r="I445" s="2"/>
      <c r="J445" s="2"/>
      <c r="K445" s="2"/>
    </row>
    <row r="446" spans="1:11" x14ac:dyDescent="0.2">
      <c r="A446">
        <v>422</v>
      </c>
      <c r="B446">
        <v>1464836.7480184049</v>
      </c>
      <c r="D446" s="2"/>
      <c r="E446" s="2"/>
      <c r="F446" s="2"/>
      <c r="G446" s="2"/>
      <c r="H446" s="2"/>
      <c r="I446" s="2"/>
      <c r="J446" s="2"/>
      <c r="K446" s="2"/>
    </row>
    <row r="447" spans="1:11" x14ac:dyDescent="0.2">
      <c r="A447">
        <v>423</v>
      </c>
      <c r="B447">
        <v>15026451.252761507</v>
      </c>
      <c r="D447" s="2"/>
      <c r="E447" s="2"/>
      <c r="F447" s="2"/>
      <c r="G447" s="2"/>
      <c r="H447" s="2"/>
      <c r="I447" s="2"/>
      <c r="J447" s="2"/>
      <c r="K447" s="2"/>
    </row>
    <row r="448" spans="1:11" x14ac:dyDescent="0.2">
      <c r="A448">
        <v>424</v>
      </c>
      <c r="B448">
        <v>2432859.1695536771</v>
      </c>
      <c r="D448" s="2"/>
      <c r="E448" s="2"/>
      <c r="F448" s="2"/>
      <c r="G448" s="2"/>
      <c r="H448" s="2"/>
      <c r="I448" s="2"/>
      <c r="J448" s="2"/>
      <c r="K448" s="2"/>
    </row>
    <row r="449" spans="1:11" x14ac:dyDescent="0.2">
      <c r="A449">
        <v>425</v>
      </c>
      <c r="B449">
        <v>-1627272.855725809</v>
      </c>
      <c r="D449" s="2"/>
      <c r="E449" s="2"/>
      <c r="F449" s="2"/>
      <c r="G449" s="2"/>
      <c r="H449" s="2"/>
      <c r="I449" s="2"/>
      <c r="J449" s="2"/>
      <c r="K449" s="2"/>
    </row>
    <row r="450" spans="1:11" x14ac:dyDescent="0.2">
      <c r="A450">
        <v>426</v>
      </c>
      <c r="B450">
        <v>3546857.8794907895</v>
      </c>
      <c r="D450" s="2"/>
      <c r="E450" s="2"/>
      <c r="F450" s="2"/>
      <c r="G450" s="2"/>
      <c r="H450" s="2"/>
      <c r="I450" s="2"/>
      <c r="J450" s="2"/>
      <c r="K450" s="2"/>
    </row>
    <row r="451" spans="1:11" x14ac:dyDescent="0.2">
      <c r="A451">
        <v>427</v>
      </c>
      <c r="B451">
        <v>3267056.1745329234</v>
      </c>
      <c r="D451" s="2"/>
      <c r="E451" s="2"/>
      <c r="F451" s="2"/>
      <c r="G451" s="2"/>
      <c r="H451" s="2"/>
      <c r="I451" s="2"/>
      <c r="J451" s="2"/>
      <c r="K451" s="2"/>
    </row>
    <row r="452" spans="1:11" x14ac:dyDescent="0.2">
      <c r="A452">
        <v>428</v>
      </c>
      <c r="B452">
        <v>1283678.7063608267</v>
      </c>
      <c r="D452" s="2"/>
      <c r="E452" s="2"/>
      <c r="F452" s="2"/>
      <c r="G452" s="2"/>
      <c r="H452" s="2"/>
      <c r="I452" s="2"/>
      <c r="J452" s="2"/>
      <c r="K452" s="2"/>
    </row>
    <row r="453" spans="1:11" x14ac:dyDescent="0.2">
      <c r="A453">
        <v>429</v>
      </c>
      <c r="B453">
        <v>5365118.8807653682</v>
      </c>
      <c r="D453" s="2"/>
      <c r="E453" s="2"/>
      <c r="F453" s="2"/>
      <c r="G453" s="2"/>
      <c r="H453" s="2"/>
      <c r="I453" s="2"/>
      <c r="J453" s="2"/>
      <c r="K453" s="2"/>
    </row>
    <row r="454" spans="1:11" x14ac:dyDescent="0.2">
      <c r="A454">
        <v>430</v>
      </c>
      <c r="B454">
        <v>-1228750.5096033113</v>
      </c>
      <c r="D454" s="2"/>
      <c r="E454" s="2"/>
      <c r="F454" s="2"/>
      <c r="G454" s="2"/>
      <c r="H454" s="2"/>
      <c r="I454" s="2"/>
      <c r="J454" s="2"/>
      <c r="K454" s="2"/>
    </row>
    <row r="455" spans="1:11" x14ac:dyDescent="0.2">
      <c r="A455">
        <v>431</v>
      </c>
      <c r="B455">
        <v>7589894.6875890801</v>
      </c>
      <c r="D455" s="2"/>
      <c r="E455" s="2"/>
      <c r="F455" s="2"/>
      <c r="G455" s="2"/>
      <c r="H455" s="2"/>
      <c r="I455" s="2"/>
      <c r="J455" s="2"/>
      <c r="K455" s="2"/>
    </row>
    <row r="456" spans="1:11" x14ac:dyDescent="0.2">
      <c r="A456">
        <v>432</v>
      </c>
      <c r="B456">
        <v>3410258.4917943031</v>
      </c>
      <c r="D456" s="2"/>
      <c r="E456" s="2"/>
      <c r="F456" s="2"/>
      <c r="G456" s="2"/>
      <c r="H456" s="2"/>
      <c r="I456" s="2"/>
      <c r="J456" s="2"/>
      <c r="K456" s="2"/>
    </row>
    <row r="457" spans="1:11" x14ac:dyDescent="0.2">
      <c r="A457">
        <v>433</v>
      </c>
      <c r="B457">
        <v>836642.08715532359</v>
      </c>
      <c r="D457" s="2"/>
      <c r="E457" s="2"/>
      <c r="F457" s="2"/>
      <c r="G457" s="2"/>
      <c r="H457" s="2"/>
      <c r="I457" s="2"/>
      <c r="J457" s="2"/>
      <c r="K457" s="2"/>
    </row>
    <row r="458" spans="1:11" x14ac:dyDescent="0.2">
      <c r="A458">
        <v>434</v>
      </c>
      <c r="B458">
        <v>2374733.6566779539</v>
      </c>
      <c r="D458" s="2"/>
      <c r="E458" s="2"/>
      <c r="F458" s="2"/>
      <c r="G458" s="2"/>
      <c r="H458" s="2"/>
      <c r="I458" s="2"/>
      <c r="J458" s="2"/>
      <c r="K458" s="2"/>
    </row>
    <row r="459" spans="1:11" x14ac:dyDescent="0.2">
      <c r="A459">
        <v>435</v>
      </c>
      <c r="B459">
        <v>2991291.6693977257</v>
      </c>
      <c r="D459" s="2"/>
      <c r="E459" s="2"/>
      <c r="F459" s="2"/>
      <c r="G459" s="2"/>
      <c r="H459" s="2"/>
      <c r="I459" s="2"/>
      <c r="J459" s="2"/>
      <c r="K459" s="2"/>
    </row>
    <row r="460" spans="1:11" x14ac:dyDescent="0.2">
      <c r="A460">
        <v>436</v>
      </c>
      <c r="B460">
        <v>4299322.8894415852</v>
      </c>
      <c r="D460" s="2"/>
      <c r="E460" s="2"/>
      <c r="F460" s="2"/>
      <c r="G460" s="2"/>
      <c r="H460" s="2"/>
      <c r="I460" s="2"/>
      <c r="J460" s="2"/>
      <c r="K460" s="2"/>
    </row>
    <row r="461" spans="1:11" x14ac:dyDescent="0.2">
      <c r="A461">
        <v>437</v>
      </c>
      <c r="B461">
        <v>9142808.5188442487</v>
      </c>
      <c r="D461" s="2"/>
      <c r="E461" s="2"/>
      <c r="F461" s="2"/>
      <c r="G461" s="2"/>
      <c r="H461" s="2"/>
      <c r="I461" s="2"/>
      <c r="J461" s="2"/>
      <c r="K461" s="2"/>
    </row>
    <row r="462" spans="1:11" x14ac:dyDescent="0.2">
      <c r="A462">
        <v>438</v>
      </c>
      <c r="B462">
        <v>2453307.0226655342</v>
      </c>
      <c r="D462" s="2"/>
      <c r="E462" s="2"/>
      <c r="F462" s="2"/>
      <c r="G462" s="2"/>
      <c r="H462" s="2"/>
      <c r="I462" s="2"/>
      <c r="J462" s="2"/>
      <c r="K462" s="2"/>
    </row>
    <row r="463" spans="1:11" x14ac:dyDescent="0.2">
      <c r="A463">
        <v>439</v>
      </c>
      <c r="B463">
        <v>6686634.1073819967</v>
      </c>
      <c r="D463" s="2"/>
      <c r="E463" s="2"/>
      <c r="F463" s="2"/>
      <c r="G463" s="2"/>
      <c r="H463" s="2"/>
      <c r="I463" s="2"/>
      <c r="J463" s="2"/>
      <c r="K463" s="2"/>
    </row>
    <row r="464" spans="1:11" x14ac:dyDescent="0.2">
      <c r="A464">
        <v>440</v>
      </c>
      <c r="B464">
        <v>3086218.1743003954</v>
      </c>
      <c r="D464" s="2"/>
      <c r="E464" s="2"/>
      <c r="F464" s="2"/>
      <c r="G464" s="2"/>
      <c r="H464" s="2"/>
      <c r="I464" s="2"/>
      <c r="J464" s="2"/>
      <c r="K464" s="2"/>
    </row>
    <row r="465" spans="1:11" x14ac:dyDescent="0.2">
      <c r="A465">
        <v>441</v>
      </c>
      <c r="B465">
        <v>1505800.8571213603</v>
      </c>
      <c r="D465" s="2"/>
      <c r="E465" s="2"/>
      <c r="F465" s="2"/>
      <c r="G465" s="2"/>
      <c r="H465" s="2"/>
      <c r="I465" s="2"/>
      <c r="J465" s="2"/>
      <c r="K465" s="2"/>
    </row>
    <row r="466" spans="1:11" x14ac:dyDescent="0.2">
      <c r="A466">
        <v>442</v>
      </c>
      <c r="B466">
        <v>480232.60011018766</v>
      </c>
      <c r="D466" s="2"/>
      <c r="E466" s="2"/>
      <c r="F466" s="2"/>
      <c r="G466" s="2"/>
      <c r="H466" s="2"/>
      <c r="I466" s="2"/>
      <c r="J466" s="2"/>
      <c r="K466" s="2"/>
    </row>
    <row r="467" spans="1:11" x14ac:dyDescent="0.2">
      <c r="A467">
        <v>443</v>
      </c>
      <c r="B467">
        <v>2634228.1983346594</v>
      </c>
      <c r="D467" s="2"/>
      <c r="E467" s="2"/>
      <c r="F467" s="2"/>
      <c r="G467" s="2"/>
      <c r="H467" s="2"/>
      <c r="I467" s="2"/>
      <c r="J467" s="2"/>
      <c r="K467" s="2"/>
    </row>
    <row r="468" spans="1:11" x14ac:dyDescent="0.2">
      <c r="A468">
        <v>444</v>
      </c>
      <c r="B468">
        <v>-1339130.9182203577</v>
      </c>
      <c r="D468" s="2"/>
      <c r="E468" s="2"/>
      <c r="F468" s="2"/>
      <c r="G468" s="2"/>
      <c r="H468" s="2"/>
      <c r="I468" s="2"/>
      <c r="J468" s="2"/>
      <c r="K468" s="2"/>
    </row>
    <row r="469" spans="1:11" x14ac:dyDescent="0.2">
      <c r="A469">
        <v>445</v>
      </c>
      <c r="B469">
        <v>-1448942.553009141</v>
      </c>
      <c r="D469" s="2"/>
      <c r="E469" s="2"/>
      <c r="F469" s="2"/>
      <c r="G469" s="2"/>
      <c r="H469" s="2"/>
      <c r="I469" s="2"/>
      <c r="J469" s="2"/>
      <c r="K469" s="2"/>
    </row>
    <row r="470" spans="1:11" x14ac:dyDescent="0.2">
      <c r="A470">
        <v>446</v>
      </c>
      <c r="B470">
        <v>2209119.3567254888</v>
      </c>
      <c r="D470" s="2"/>
      <c r="E470" s="2"/>
      <c r="F470" s="2"/>
      <c r="G470" s="2"/>
      <c r="H470" s="2"/>
      <c r="I470" s="2"/>
      <c r="J470" s="2"/>
      <c r="K470" s="2"/>
    </row>
    <row r="471" spans="1:11" x14ac:dyDescent="0.2">
      <c r="A471">
        <v>447</v>
      </c>
      <c r="B471">
        <v>9951962.3473583274</v>
      </c>
      <c r="D471" s="2"/>
      <c r="E471" s="2"/>
      <c r="F471" s="2"/>
      <c r="G471" s="2"/>
      <c r="H471" s="2"/>
      <c r="I471" s="2"/>
      <c r="J471" s="2"/>
      <c r="K471" s="2"/>
    </row>
    <row r="472" spans="1:11" x14ac:dyDescent="0.2">
      <c r="A472">
        <v>448</v>
      </c>
      <c r="B472">
        <v>1853236.5449333121</v>
      </c>
      <c r="D472" s="2"/>
      <c r="E472" s="2"/>
      <c r="F472" s="2"/>
      <c r="G472" s="2"/>
      <c r="H472" s="2"/>
      <c r="I472" s="2"/>
      <c r="J472" s="2"/>
      <c r="K472" s="2"/>
    </row>
    <row r="473" spans="1:11" x14ac:dyDescent="0.2">
      <c r="A473">
        <v>449</v>
      </c>
      <c r="B473">
        <v>2220142.6545116734</v>
      </c>
      <c r="D473" s="2"/>
      <c r="E473" s="2"/>
      <c r="F473" s="2"/>
      <c r="G473" s="2"/>
      <c r="H473" s="2"/>
      <c r="I473" s="2"/>
      <c r="J473" s="2"/>
      <c r="K473" s="2"/>
    </row>
    <row r="474" spans="1:11" x14ac:dyDescent="0.2">
      <c r="A474">
        <v>450</v>
      </c>
      <c r="B474">
        <v>5501797.5464756405</v>
      </c>
      <c r="D474" s="2"/>
      <c r="E474" s="2"/>
      <c r="F474" s="2"/>
      <c r="G474" s="2"/>
      <c r="H474" s="2"/>
      <c r="I474" s="2"/>
      <c r="J474" s="2"/>
      <c r="K474" s="2"/>
    </row>
    <row r="475" spans="1:11" x14ac:dyDescent="0.2">
      <c r="A475">
        <v>451</v>
      </c>
      <c r="B475">
        <v>1534203.6771397272</v>
      </c>
      <c r="D475" s="2"/>
      <c r="E475" s="2"/>
      <c r="F475" s="2"/>
      <c r="G475" s="2"/>
      <c r="H475" s="2"/>
      <c r="I475" s="2"/>
      <c r="J475" s="2"/>
      <c r="K475" s="2"/>
    </row>
    <row r="476" spans="1:11" x14ac:dyDescent="0.2">
      <c r="A476">
        <v>452</v>
      </c>
      <c r="B476">
        <v>6348332.2809230825</v>
      </c>
      <c r="D476" s="2"/>
      <c r="E476" s="2"/>
      <c r="F476" s="2"/>
      <c r="G476" s="2"/>
      <c r="H476" s="2"/>
      <c r="I476" s="2"/>
      <c r="J476" s="2"/>
      <c r="K476" s="2"/>
    </row>
    <row r="477" spans="1:11" x14ac:dyDescent="0.2">
      <c r="A477">
        <v>453</v>
      </c>
      <c r="B477">
        <v>166781.58393338509</v>
      </c>
      <c r="D477" s="2"/>
      <c r="E477" s="2"/>
      <c r="F477" s="2"/>
      <c r="G477" s="2"/>
      <c r="H477" s="2"/>
      <c r="I477" s="2"/>
      <c r="J477" s="2"/>
      <c r="K477" s="2"/>
    </row>
    <row r="478" spans="1:11" x14ac:dyDescent="0.2">
      <c r="A478">
        <v>454</v>
      </c>
      <c r="B478">
        <v>-2298007.4948270437</v>
      </c>
      <c r="D478" s="2"/>
      <c r="E478" s="2"/>
      <c r="F478" s="2"/>
      <c r="G478" s="2"/>
      <c r="H478" s="2"/>
      <c r="I478" s="2"/>
      <c r="J478" s="2"/>
      <c r="K478" s="2"/>
    </row>
    <row r="479" spans="1:11" x14ac:dyDescent="0.2">
      <c r="A479">
        <v>455</v>
      </c>
      <c r="B479">
        <v>1691088.3128448608</v>
      </c>
      <c r="D479" s="2"/>
      <c r="E479" s="2"/>
      <c r="F479" s="2"/>
      <c r="G479" s="2"/>
      <c r="H479" s="2"/>
      <c r="I479" s="2"/>
      <c r="J479" s="2"/>
      <c r="K479" s="2"/>
    </row>
    <row r="480" spans="1:11" x14ac:dyDescent="0.2">
      <c r="A480">
        <v>456</v>
      </c>
      <c r="B480">
        <v>3887180.3221124513</v>
      </c>
      <c r="D480" s="2"/>
      <c r="E480" s="2"/>
      <c r="F480" s="2"/>
      <c r="G480" s="2"/>
      <c r="H480" s="2"/>
      <c r="I480" s="2"/>
      <c r="J480" s="2"/>
      <c r="K480" s="2"/>
    </row>
    <row r="481" spans="1:11" x14ac:dyDescent="0.2">
      <c r="A481">
        <v>457</v>
      </c>
      <c r="B481">
        <v>3041021.8078958662</v>
      </c>
      <c r="D481" s="2"/>
      <c r="E481" s="2"/>
      <c r="F481" s="2"/>
      <c r="G481" s="2"/>
      <c r="H481" s="2"/>
      <c r="I481" s="2"/>
      <c r="J481" s="2"/>
      <c r="K481" s="2"/>
    </row>
    <row r="482" spans="1:11" x14ac:dyDescent="0.2">
      <c r="A482">
        <v>458</v>
      </c>
      <c r="B482">
        <v>-2156613.878061777</v>
      </c>
      <c r="D482" s="2"/>
      <c r="E482" s="2"/>
      <c r="F482" s="2"/>
      <c r="G482" s="2"/>
      <c r="H482" s="2"/>
      <c r="I482" s="2"/>
      <c r="J482" s="2"/>
      <c r="K482" s="2"/>
    </row>
    <row r="483" spans="1:11" x14ac:dyDescent="0.2">
      <c r="A483">
        <v>459</v>
      </c>
      <c r="B483">
        <v>4190120.6362206736</v>
      </c>
      <c r="D483" s="2"/>
      <c r="E483" s="2"/>
      <c r="F483" s="2"/>
      <c r="G483" s="2"/>
      <c r="H483" s="2"/>
      <c r="I483" s="2"/>
      <c r="J483" s="2"/>
      <c r="K483" s="2"/>
    </row>
    <row r="484" spans="1:11" x14ac:dyDescent="0.2">
      <c r="A484">
        <v>460</v>
      </c>
      <c r="B484">
        <v>692722.78710936371</v>
      </c>
      <c r="D484" s="2"/>
      <c r="E484" s="2"/>
      <c r="F484" s="2"/>
      <c r="G484" s="2"/>
      <c r="H484" s="2"/>
      <c r="I484" s="2"/>
      <c r="J484" s="2"/>
      <c r="K484" s="2"/>
    </row>
    <row r="485" spans="1:11" x14ac:dyDescent="0.2">
      <c r="A485">
        <v>461</v>
      </c>
      <c r="B485">
        <v>12966638.602965774</v>
      </c>
      <c r="D485" s="2"/>
      <c r="E485" s="2"/>
      <c r="F485" s="2"/>
      <c r="G485" s="2"/>
      <c r="H485" s="2"/>
      <c r="I485" s="2"/>
      <c r="J485" s="2"/>
      <c r="K485" s="2"/>
    </row>
    <row r="486" spans="1:11" x14ac:dyDescent="0.2">
      <c r="A486">
        <v>462</v>
      </c>
      <c r="B486">
        <v>4708459.1326095592</v>
      </c>
      <c r="D486" s="2"/>
      <c r="E486" s="2"/>
      <c r="F486" s="2"/>
      <c r="G486" s="2"/>
      <c r="H486" s="2"/>
      <c r="I486" s="2"/>
      <c r="J486" s="2"/>
      <c r="K486" s="2"/>
    </row>
    <row r="487" spans="1:11" x14ac:dyDescent="0.2">
      <c r="A487">
        <v>463</v>
      </c>
      <c r="B487">
        <v>10518634.783482825</v>
      </c>
      <c r="D487" s="2"/>
      <c r="E487" s="2"/>
      <c r="F487" s="2"/>
      <c r="G487" s="2"/>
      <c r="H487" s="2"/>
      <c r="I487" s="2"/>
      <c r="J487" s="2"/>
      <c r="K487" s="2"/>
    </row>
    <row r="488" spans="1:11" x14ac:dyDescent="0.2">
      <c r="A488">
        <v>464</v>
      </c>
      <c r="B488">
        <v>9349224.6410062276</v>
      </c>
      <c r="D488" s="2"/>
      <c r="E488" s="2"/>
      <c r="F488" s="2"/>
      <c r="G488" s="2"/>
      <c r="H488" s="2"/>
      <c r="I488" s="2"/>
      <c r="J488" s="2"/>
      <c r="K488" s="2"/>
    </row>
    <row r="489" spans="1:11" x14ac:dyDescent="0.2">
      <c r="A489">
        <v>465</v>
      </c>
      <c r="B489">
        <v>1918880.7472857211</v>
      </c>
      <c r="D489" s="2"/>
      <c r="E489" s="2"/>
      <c r="F489" s="2"/>
      <c r="G489" s="2"/>
      <c r="H489" s="2"/>
      <c r="I489" s="2"/>
      <c r="J489" s="2"/>
      <c r="K489" s="2"/>
    </row>
    <row r="490" spans="1:11" x14ac:dyDescent="0.2">
      <c r="A490">
        <v>466</v>
      </c>
      <c r="B490">
        <v>1108953.5725473715</v>
      </c>
      <c r="D490" s="2"/>
      <c r="E490" s="2"/>
      <c r="F490" s="2"/>
      <c r="G490" s="2"/>
      <c r="H490" s="2"/>
      <c r="I490" s="2"/>
      <c r="J490" s="2"/>
      <c r="K490" s="2"/>
    </row>
    <row r="491" spans="1:11" x14ac:dyDescent="0.2">
      <c r="A491">
        <v>467</v>
      </c>
      <c r="B491">
        <v>1398491.5219887148</v>
      </c>
      <c r="D491" s="2"/>
      <c r="E491" s="2"/>
      <c r="F491" s="2"/>
      <c r="G491" s="2"/>
      <c r="H491" s="2"/>
      <c r="I491" s="2"/>
      <c r="J491" s="2"/>
      <c r="K491" s="2"/>
    </row>
    <row r="492" spans="1:11" x14ac:dyDescent="0.2">
      <c r="A492">
        <v>468</v>
      </c>
      <c r="B492">
        <v>10448308.647969803</v>
      </c>
      <c r="D492" s="2"/>
      <c r="E492" s="2"/>
      <c r="F492" s="2"/>
      <c r="G492" s="2"/>
      <c r="H492" s="2"/>
      <c r="I492" s="2"/>
      <c r="J492" s="2"/>
      <c r="K492" s="2"/>
    </row>
    <row r="493" spans="1:11" x14ac:dyDescent="0.2">
      <c r="A493">
        <v>469</v>
      </c>
      <c r="B493">
        <v>5938919.5743537368</v>
      </c>
      <c r="D493" s="2"/>
      <c r="E493" s="2"/>
      <c r="F493" s="2"/>
      <c r="G493" s="2"/>
      <c r="H493" s="2"/>
      <c r="I493" s="2"/>
      <c r="J493" s="2"/>
      <c r="K493" s="2"/>
    </row>
    <row r="494" spans="1:11" x14ac:dyDescent="0.2">
      <c r="A494">
        <v>470</v>
      </c>
      <c r="B494">
        <v>23515796.818434171</v>
      </c>
      <c r="D494" s="2"/>
      <c r="E494" s="2"/>
      <c r="F494" s="2"/>
      <c r="G494" s="2"/>
      <c r="H494" s="2"/>
      <c r="I494" s="2"/>
      <c r="J494" s="2"/>
      <c r="K494" s="2"/>
    </row>
    <row r="495" spans="1:11" x14ac:dyDescent="0.2">
      <c r="A495">
        <v>471</v>
      </c>
      <c r="B495">
        <v>10964099.201145533</v>
      </c>
      <c r="D495" s="2"/>
      <c r="E495" s="2"/>
      <c r="F495" s="2"/>
      <c r="G495" s="2"/>
      <c r="H495" s="2"/>
      <c r="I495" s="2"/>
      <c r="J495" s="2"/>
      <c r="K495" s="2"/>
    </row>
    <row r="496" spans="1:11" x14ac:dyDescent="0.2">
      <c r="A496">
        <v>472</v>
      </c>
      <c r="B496">
        <v>17221958.532491013</v>
      </c>
      <c r="D496" s="2"/>
      <c r="E496" s="2"/>
      <c r="F496" s="2"/>
      <c r="G496" s="2"/>
      <c r="H496" s="2"/>
      <c r="I496" s="2"/>
      <c r="J496" s="2"/>
      <c r="K496" s="2"/>
    </row>
    <row r="497" spans="1:11" x14ac:dyDescent="0.2">
      <c r="A497">
        <v>473</v>
      </c>
      <c r="B497">
        <v>6272298.3185111945</v>
      </c>
      <c r="D497" s="2"/>
      <c r="E497" s="2"/>
      <c r="F497" s="2"/>
      <c r="G497" s="2"/>
      <c r="H497" s="2"/>
      <c r="I497" s="2"/>
      <c r="J497" s="2"/>
      <c r="K497" s="2"/>
    </row>
    <row r="498" spans="1:11" x14ac:dyDescent="0.2">
      <c r="A498">
        <v>474</v>
      </c>
      <c r="B498">
        <v>990515.99009235948</v>
      </c>
      <c r="D498" s="2"/>
      <c r="E498" s="2"/>
      <c r="F498" s="2"/>
      <c r="G498" s="2"/>
      <c r="H498" s="2"/>
      <c r="I498" s="2"/>
      <c r="J498" s="2"/>
      <c r="K498" s="2"/>
    </row>
    <row r="499" spans="1:11" x14ac:dyDescent="0.2">
      <c r="A499">
        <v>475</v>
      </c>
      <c r="B499">
        <v>16080953.60786123</v>
      </c>
      <c r="D499" s="2"/>
      <c r="E499" s="2"/>
      <c r="F499" s="2"/>
      <c r="G499" s="2"/>
      <c r="H499" s="2"/>
      <c r="I499" s="2"/>
      <c r="J499" s="2"/>
      <c r="K499" s="2"/>
    </row>
    <row r="500" spans="1:11" x14ac:dyDescent="0.2">
      <c r="A500">
        <v>476</v>
      </c>
      <c r="B500">
        <v>7313840.4231439559</v>
      </c>
      <c r="D500" s="2"/>
      <c r="E500" s="2"/>
      <c r="F500" s="2"/>
      <c r="G500" s="2"/>
      <c r="H500" s="2"/>
      <c r="I500" s="2"/>
      <c r="J500" s="2"/>
      <c r="K500" s="2"/>
    </row>
    <row r="501" spans="1:11" x14ac:dyDescent="0.2">
      <c r="A501">
        <v>477</v>
      </c>
      <c r="B501">
        <v>9411325.4841097761</v>
      </c>
      <c r="D501" s="2"/>
      <c r="E501" s="2"/>
      <c r="F501" s="2"/>
      <c r="G501" s="2"/>
      <c r="H501" s="2"/>
      <c r="I501" s="2"/>
      <c r="J501" s="2"/>
      <c r="K501" s="2"/>
    </row>
    <row r="502" spans="1:11" x14ac:dyDescent="0.2">
      <c r="A502">
        <v>478</v>
      </c>
      <c r="B502">
        <v>6323776.2092768038</v>
      </c>
      <c r="D502" s="2"/>
      <c r="E502" s="2"/>
      <c r="F502" s="2"/>
      <c r="G502" s="2"/>
      <c r="H502" s="2"/>
      <c r="I502" s="2"/>
      <c r="J502" s="2"/>
      <c r="K502" s="2"/>
    </row>
    <row r="503" spans="1:11" x14ac:dyDescent="0.2">
      <c r="A503">
        <v>479</v>
      </c>
      <c r="B503">
        <v>3449289.0240591499</v>
      </c>
      <c r="D503" s="2"/>
      <c r="E503" s="2"/>
      <c r="F503" s="2"/>
      <c r="G503" s="2"/>
      <c r="H503" s="2"/>
      <c r="I503" s="2"/>
      <c r="J503" s="2"/>
      <c r="K503" s="2"/>
    </row>
    <row r="504" spans="1:11" x14ac:dyDescent="0.2">
      <c r="A504">
        <v>480</v>
      </c>
      <c r="B504">
        <v>1895998.5998830921</v>
      </c>
      <c r="D504" s="2"/>
      <c r="E504" s="2"/>
      <c r="F504" s="2"/>
      <c r="G504" s="2"/>
      <c r="H504" s="2"/>
      <c r="I504" s="2"/>
      <c r="J504" s="2"/>
      <c r="K504" s="2"/>
    </row>
    <row r="505" spans="1:11" x14ac:dyDescent="0.2">
      <c r="A505">
        <v>481</v>
      </c>
      <c r="B505">
        <v>-273954.02045643219</v>
      </c>
      <c r="D505" s="2"/>
      <c r="E505" s="2"/>
      <c r="F505" s="2"/>
      <c r="G505" s="2"/>
      <c r="H505" s="2"/>
      <c r="I505" s="2"/>
      <c r="J505" s="2"/>
      <c r="K505" s="2"/>
    </row>
    <row r="506" spans="1:11" x14ac:dyDescent="0.2">
      <c r="A506">
        <v>482</v>
      </c>
      <c r="B506">
        <v>19555011.905240074</v>
      </c>
      <c r="D506" s="2"/>
      <c r="E506" s="2"/>
      <c r="F506" s="2"/>
      <c r="G506" s="2"/>
      <c r="H506" s="2"/>
      <c r="I506" s="2"/>
      <c r="J506" s="2"/>
      <c r="K506" s="2"/>
    </row>
    <row r="507" spans="1:11" x14ac:dyDescent="0.2">
      <c r="A507">
        <v>483</v>
      </c>
      <c r="B507">
        <v>3058635.2363804765</v>
      </c>
      <c r="D507" s="2"/>
      <c r="E507" s="2"/>
      <c r="F507" s="2"/>
      <c r="G507" s="2"/>
      <c r="H507" s="2"/>
      <c r="I507" s="2"/>
      <c r="J507" s="2"/>
      <c r="K507" s="2"/>
    </row>
    <row r="508" spans="1:11" x14ac:dyDescent="0.2">
      <c r="A508">
        <v>484</v>
      </c>
      <c r="B508">
        <v>724440.06524421601</v>
      </c>
      <c r="D508" s="2"/>
      <c r="E508" s="2"/>
      <c r="F508" s="2"/>
      <c r="G508" s="2"/>
      <c r="H508" s="2"/>
      <c r="I508" s="2"/>
      <c r="J508" s="2"/>
      <c r="K508" s="2"/>
    </row>
    <row r="509" spans="1:11" x14ac:dyDescent="0.2">
      <c r="A509">
        <v>485</v>
      </c>
      <c r="B509">
        <v>1322967.9420238053</v>
      </c>
      <c r="D509" s="2"/>
      <c r="E509" s="2"/>
      <c r="F509" s="2"/>
      <c r="G509" s="2"/>
      <c r="H509" s="2"/>
      <c r="I509" s="2"/>
      <c r="J509" s="2"/>
      <c r="K509" s="2"/>
    </row>
    <row r="510" spans="1:11" x14ac:dyDescent="0.2">
      <c r="A510">
        <v>486</v>
      </c>
      <c r="B510">
        <v>3895216.0268898057</v>
      </c>
      <c r="D510" s="2"/>
      <c r="E510" s="2"/>
      <c r="F510" s="2"/>
      <c r="G510" s="2"/>
      <c r="H510" s="2"/>
      <c r="I510" s="2"/>
      <c r="J510" s="2"/>
      <c r="K510" s="2"/>
    </row>
    <row r="511" spans="1:11" x14ac:dyDescent="0.2">
      <c r="A511">
        <v>487</v>
      </c>
      <c r="B511">
        <v>1318525.314050606</v>
      </c>
      <c r="D511" s="2"/>
      <c r="E511" s="2"/>
      <c r="F511" s="2"/>
      <c r="G511" s="2"/>
      <c r="H511" s="2"/>
      <c r="I511" s="2"/>
      <c r="J511" s="2"/>
      <c r="K511" s="2"/>
    </row>
    <row r="512" spans="1:11" x14ac:dyDescent="0.2">
      <c r="A512">
        <v>488</v>
      </c>
      <c r="B512">
        <v>3257507.1521144509</v>
      </c>
      <c r="D512" s="2"/>
      <c r="E512" s="2"/>
      <c r="F512" s="2"/>
      <c r="G512" s="2"/>
      <c r="H512" s="2"/>
      <c r="I512" s="2"/>
      <c r="J512" s="2"/>
      <c r="K512" s="2"/>
    </row>
    <row r="513" spans="1:11" x14ac:dyDescent="0.2">
      <c r="A513">
        <v>489</v>
      </c>
      <c r="B513">
        <v>-2580564.6520719468</v>
      </c>
      <c r="D513" s="2"/>
      <c r="E513" s="2"/>
      <c r="F513" s="2"/>
      <c r="G513" s="2"/>
      <c r="H513" s="2"/>
      <c r="I513" s="2"/>
      <c r="J513" s="2"/>
      <c r="K513" s="2"/>
    </row>
    <row r="514" spans="1:11" x14ac:dyDescent="0.2">
      <c r="A514">
        <v>490</v>
      </c>
      <c r="B514">
        <v>3623024.0331517616</v>
      </c>
      <c r="D514" s="2"/>
      <c r="E514" s="2"/>
      <c r="F514" s="2"/>
      <c r="G514" s="2"/>
      <c r="H514" s="2"/>
      <c r="I514" s="2"/>
      <c r="J514" s="2"/>
      <c r="K514" s="2"/>
    </row>
    <row r="515" spans="1:11" x14ac:dyDescent="0.2">
      <c r="A515">
        <v>491</v>
      </c>
      <c r="B515">
        <v>2561231.6335539264</v>
      </c>
      <c r="D515" s="2"/>
      <c r="E515" s="2"/>
      <c r="F515" s="2"/>
      <c r="G515" s="2"/>
      <c r="H515" s="2"/>
      <c r="I515" s="2"/>
      <c r="J515" s="2"/>
      <c r="K515" s="2"/>
    </row>
    <row r="516" spans="1:11" x14ac:dyDescent="0.2">
      <c r="A516">
        <v>492</v>
      </c>
      <c r="B516">
        <v>1754069.13037701</v>
      </c>
      <c r="D516" s="2"/>
      <c r="E516" s="2"/>
      <c r="F516" s="2"/>
      <c r="G516" s="2"/>
      <c r="H516" s="2"/>
      <c r="I516" s="2"/>
      <c r="J516" s="2"/>
      <c r="K516" s="2"/>
    </row>
    <row r="517" spans="1:11" x14ac:dyDescent="0.2">
      <c r="A517">
        <v>493</v>
      </c>
      <c r="B517">
        <v>818768.48521236726</v>
      </c>
      <c r="D517" s="2"/>
      <c r="E517" s="2"/>
      <c r="F517" s="2"/>
      <c r="G517" s="2"/>
      <c r="H517" s="2"/>
      <c r="I517" s="2"/>
      <c r="J517" s="2"/>
      <c r="K517" s="2"/>
    </row>
    <row r="518" spans="1:11" x14ac:dyDescent="0.2">
      <c r="A518">
        <v>494</v>
      </c>
      <c r="B518">
        <v>4800747.2072762083</v>
      </c>
      <c r="D518" s="2"/>
      <c r="E518" s="2"/>
      <c r="F518" s="2"/>
      <c r="G518" s="2"/>
      <c r="H518" s="2"/>
      <c r="I518" s="2"/>
      <c r="J518" s="2"/>
      <c r="K518" s="2"/>
    </row>
    <row r="519" spans="1:11" x14ac:dyDescent="0.2">
      <c r="A519">
        <v>495</v>
      </c>
      <c r="B519">
        <v>6612992.9474238837</v>
      </c>
      <c r="D519" s="2"/>
      <c r="E519" s="2"/>
      <c r="F519" s="2"/>
      <c r="G519" s="2"/>
      <c r="H519" s="2"/>
      <c r="I519" s="2"/>
      <c r="J519" s="2"/>
      <c r="K519" s="2"/>
    </row>
    <row r="520" spans="1:11" x14ac:dyDescent="0.2">
      <c r="A520">
        <v>496</v>
      </c>
      <c r="B520">
        <v>5641508.3558005039</v>
      </c>
      <c r="D520" s="2"/>
      <c r="E520" s="2"/>
      <c r="F520" s="2"/>
      <c r="G520" s="2"/>
      <c r="H520" s="2"/>
      <c r="I520" s="2"/>
      <c r="J520" s="2"/>
      <c r="K520" s="2"/>
    </row>
    <row r="521" spans="1:11" x14ac:dyDescent="0.2">
      <c r="A521">
        <v>497</v>
      </c>
      <c r="B521">
        <v>8107325.4295750372</v>
      </c>
      <c r="D521" s="2"/>
      <c r="E521" s="2"/>
      <c r="F521" s="2"/>
      <c r="G521" s="2"/>
      <c r="H521" s="2"/>
      <c r="I521" s="2"/>
      <c r="J521" s="2"/>
      <c r="K521" s="2"/>
    </row>
    <row r="522" spans="1:11" x14ac:dyDescent="0.2">
      <c r="A522">
        <v>498</v>
      </c>
      <c r="B522">
        <v>1537692.9775294827</v>
      </c>
      <c r="D522" s="2"/>
      <c r="E522" s="2"/>
      <c r="F522" s="2"/>
      <c r="G522" s="2"/>
      <c r="H522" s="2"/>
      <c r="I522" s="2"/>
      <c r="J522" s="2"/>
      <c r="K522" s="2"/>
    </row>
    <row r="523" spans="1:11" x14ac:dyDescent="0.2">
      <c r="A523">
        <v>499</v>
      </c>
      <c r="B523">
        <v>11990119.829086877</v>
      </c>
      <c r="D523" s="2"/>
      <c r="E523" s="2"/>
      <c r="F523" s="2"/>
      <c r="G523" s="2"/>
      <c r="H523" s="2"/>
      <c r="I523" s="2"/>
      <c r="J523" s="2"/>
      <c r="K523" s="2"/>
    </row>
    <row r="524" spans="1:11" x14ac:dyDescent="0.2">
      <c r="A524">
        <v>500</v>
      </c>
      <c r="B524">
        <v>10877047.693152789</v>
      </c>
      <c r="D524" s="2"/>
      <c r="E524" s="2"/>
      <c r="F524" s="2"/>
      <c r="G524" s="2"/>
      <c r="H524" s="2"/>
      <c r="I524" s="2"/>
      <c r="J524" s="2"/>
      <c r="K524" s="2"/>
    </row>
    <row r="525" spans="1:11" x14ac:dyDescent="0.2">
      <c r="A525">
        <v>501</v>
      </c>
      <c r="B525">
        <v>7290567.9183408897</v>
      </c>
      <c r="D525" s="2"/>
      <c r="E525" s="2"/>
      <c r="F525" s="2"/>
      <c r="G525" s="2"/>
      <c r="H525" s="2"/>
      <c r="I525" s="2"/>
      <c r="J525" s="2"/>
      <c r="K525" s="2"/>
    </row>
    <row r="526" spans="1:11" x14ac:dyDescent="0.2">
      <c r="A526">
        <v>502</v>
      </c>
      <c r="B526">
        <v>2135174.5717444792</v>
      </c>
      <c r="D526" s="2"/>
      <c r="E526" s="2"/>
      <c r="F526" s="2"/>
      <c r="G526" s="2"/>
      <c r="H526" s="2"/>
      <c r="I526" s="2"/>
      <c r="J526" s="2"/>
      <c r="K526" s="2"/>
    </row>
    <row r="527" spans="1:11" x14ac:dyDescent="0.2">
      <c r="A527">
        <v>503</v>
      </c>
      <c r="B527">
        <v>73286.282344273641</v>
      </c>
      <c r="D527" s="2"/>
      <c r="E527" s="2"/>
      <c r="F527" s="2"/>
      <c r="G527" s="2"/>
      <c r="H527" s="2"/>
      <c r="I527" s="2"/>
      <c r="J527" s="2"/>
      <c r="K527" s="2"/>
    </row>
    <row r="528" spans="1:11" x14ac:dyDescent="0.2">
      <c r="A528">
        <v>504</v>
      </c>
      <c r="B528">
        <v>-804505.09997714404</v>
      </c>
      <c r="D528" s="2"/>
      <c r="E528" s="2"/>
      <c r="F528" s="2"/>
      <c r="G528" s="2"/>
      <c r="H528" s="2"/>
      <c r="I528" s="2"/>
      <c r="J528" s="2"/>
      <c r="K528" s="2"/>
    </row>
    <row r="529" spans="1:11" x14ac:dyDescent="0.2">
      <c r="A529">
        <v>505</v>
      </c>
      <c r="B529">
        <v>6040010.0506174238</v>
      </c>
      <c r="D529" s="2"/>
      <c r="E529" s="2"/>
      <c r="F529" s="2"/>
      <c r="G529" s="2"/>
      <c r="H529" s="2"/>
      <c r="I529" s="2"/>
      <c r="J529" s="2"/>
      <c r="K529" s="2"/>
    </row>
    <row r="530" spans="1:11" x14ac:dyDescent="0.2">
      <c r="A530">
        <v>506</v>
      </c>
      <c r="B530">
        <v>-1752910.1845869527</v>
      </c>
      <c r="D530" s="2"/>
      <c r="E530" s="2"/>
      <c r="F530" s="2"/>
      <c r="G530" s="2"/>
      <c r="H530" s="2"/>
      <c r="I530" s="2"/>
      <c r="J530" s="2"/>
      <c r="K530" s="2"/>
    </row>
    <row r="531" spans="1:11" x14ac:dyDescent="0.2">
      <c r="A531">
        <v>507</v>
      </c>
      <c r="B531">
        <v>12931681.140570886</v>
      </c>
      <c r="D531" s="2"/>
      <c r="E531" s="2"/>
      <c r="F531" s="2"/>
      <c r="G531" s="2"/>
      <c r="H531" s="2"/>
      <c r="I531" s="2"/>
      <c r="J531" s="2"/>
      <c r="K531" s="2"/>
    </row>
    <row r="532" spans="1:11" x14ac:dyDescent="0.2">
      <c r="A532">
        <v>508</v>
      </c>
      <c r="B532">
        <v>10398525.894568415</v>
      </c>
      <c r="D532" s="2"/>
      <c r="E532" s="2"/>
      <c r="F532" s="2"/>
      <c r="G532" s="2"/>
      <c r="H532" s="2"/>
      <c r="I532" s="2"/>
      <c r="J532" s="2"/>
      <c r="K532" s="2"/>
    </row>
    <row r="533" spans="1:11" x14ac:dyDescent="0.2">
      <c r="A533">
        <v>509</v>
      </c>
      <c r="B533">
        <v>1627586.0871149865</v>
      </c>
      <c r="D533" s="2"/>
      <c r="E533" s="2"/>
      <c r="F533" s="2"/>
      <c r="G533" s="2"/>
      <c r="H533" s="2"/>
      <c r="I533" s="2"/>
      <c r="J533" s="2"/>
      <c r="K533" s="2"/>
    </row>
    <row r="534" spans="1:11" x14ac:dyDescent="0.2">
      <c r="A534">
        <v>510</v>
      </c>
      <c r="B534">
        <v>714572.81954905135</v>
      </c>
      <c r="D534" s="2"/>
      <c r="E534" s="2"/>
      <c r="F534" s="2"/>
      <c r="G534" s="2"/>
      <c r="H534" s="2"/>
      <c r="I534" s="2"/>
      <c r="J534" s="2"/>
      <c r="K534" s="2"/>
    </row>
    <row r="535" spans="1:11" x14ac:dyDescent="0.2">
      <c r="A535">
        <v>511</v>
      </c>
      <c r="B535">
        <v>5048790.1124531319</v>
      </c>
      <c r="D535" s="2"/>
      <c r="E535" s="2"/>
      <c r="F535" s="2"/>
      <c r="G535" s="2"/>
      <c r="H535" s="2"/>
      <c r="I535" s="2"/>
      <c r="J535" s="2"/>
      <c r="K535" s="2"/>
    </row>
    <row r="536" spans="1:11" x14ac:dyDescent="0.2">
      <c r="A536">
        <v>512</v>
      </c>
      <c r="B536">
        <v>1966311.0473660054</v>
      </c>
      <c r="D536" s="2"/>
      <c r="E536" s="2"/>
      <c r="F536" s="2"/>
      <c r="G536" s="2"/>
      <c r="H536" s="2"/>
      <c r="I536" s="2"/>
      <c r="J536" s="2"/>
      <c r="K536" s="2"/>
    </row>
    <row r="537" spans="1:11" x14ac:dyDescent="0.2">
      <c r="A537">
        <v>513</v>
      </c>
      <c r="B537">
        <v>440831.93075856153</v>
      </c>
      <c r="D537" s="2"/>
      <c r="E537" s="2"/>
      <c r="F537" s="2"/>
      <c r="G537" s="2"/>
      <c r="H537" s="2"/>
      <c r="I537" s="2"/>
      <c r="J537" s="2"/>
      <c r="K537" s="2"/>
    </row>
    <row r="538" spans="1:11" x14ac:dyDescent="0.2">
      <c r="A538">
        <v>514</v>
      </c>
      <c r="B538">
        <v>13179791.315756544</v>
      </c>
      <c r="D538" s="2"/>
      <c r="E538" s="2"/>
      <c r="F538" s="2"/>
      <c r="G538" s="2"/>
      <c r="H538" s="2"/>
      <c r="I538" s="2"/>
      <c r="J538" s="2"/>
      <c r="K538" s="2"/>
    </row>
    <row r="539" spans="1:11" x14ac:dyDescent="0.2">
      <c r="A539">
        <v>515</v>
      </c>
      <c r="B539">
        <v>3908591.5013913545</v>
      </c>
      <c r="D539" s="2"/>
      <c r="E539" s="2"/>
      <c r="F539" s="2"/>
      <c r="G539" s="2"/>
      <c r="H539" s="2"/>
      <c r="I539" s="2"/>
      <c r="J539" s="2"/>
      <c r="K539" s="2"/>
    </row>
    <row r="540" spans="1:11" x14ac:dyDescent="0.2">
      <c r="A540">
        <v>516</v>
      </c>
      <c r="B540">
        <v>-969576.66566880513</v>
      </c>
      <c r="D540" s="2"/>
      <c r="E540" s="2"/>
      <c r="F540" s="2"/>
      <c r="G540" s="2"/>
      <c r="H540" s="2"/>
      <c r="I540" s="2"/>
      <c r="J540" s="2"/>
      <c r="K540" s="2"/>
    </row>
    <row r="541" spans="1:11" x14ac:dyDescent="0.2">
      <c r="A541">
        <v>517</v>
      </c>
      <c r="B541">
        <v>4107274.3999702549</v>
      </c>
      <c r="D541" s="2"/>
      <c r="E541" s="2"/>
      <c r="F541" s="2"/>
      <c r="G541" s="2"/>
      <c r="H541" s="2"/>
      <c r="I541" s="2"/>
      <c r="J541" s="2"/>
      <c r="K541" s="2"/>
    </row>
    <row r="542" spans="1:11" x14ac:dyDescent="0.2">
      <c r="A542">
        <v>518</v>
      </c>
      <c r="B542">
        <v>12503138.888552152</v>
      </c>
      <c r="D542" s="2"/>
      <c r="E542" s="2"/>
      <c r="F542" s="2"/>
      <c r="G542" s="2"/>
      <c r="H542" s="2"/>
      <c r="I542" s="2"/>
      <c r="J542" s="2"/>
      <c r="K542" s="2"/>
    </row>
    <row r="543" spans="1:11" x14ac:dyDescent="0.2">
      <c r="A543">
        <v>519</v>
      </c>
      <c r="B543">
        <v>7815495.6369180139</v>
      </c>
      <c r="D543" s="2"/>
      <c r="E543" s="2"/>
      <c r="F543" s="2"/>
      <c r="G543" s="2"/>
      <c r="H543" s="2"/>
      <c r="I543" s="2"/>
      <c r="J543" s="2"/>
      <c r="K543" s="2"/>
    </row>
    <row r="544" spans="1:11" x14ac:dyDescent="0.2">
      <c r="A544">
        <v>520</v>
      </c>
      <c r="B544">
        <v>1007054.5500027877</v>
      </c>
      <c r="D544" s="2"/>
      <c r="E544" s="2"/>
      <c r="F544" s="2"/>
      <c r="G544" s="2"/>
      <c r="H544" s="2"/>
      <c r="I544" s="2"/>
      <c r="J544" s="2"/>
      <c r="K544" s="2"/>
    </row>
    <row r="545" spans="1:11" x14ac:dyDescent="0.2">
      <c r="A545">
        <v>521</v>
      </c>
      <c r="B545">
        <v>6638688.1525177993</v>
      </c>
      <c r="D545" s="2"/>
      <c r="E545" s="2"/>
      <c r="F545" s="2"/>
      <c r="G545" s="2"/>
      <c r="H545" s="2"/>
      <c r="I545" s="2"/>
      <c r="J545" s="2"/>
      <c r="K545" s="2"/>
    </row>
    <row r="546" spans="1:11" x14ac:dyDescent="0.2">
      <c r="A546">
        <v>522</v>
      </c>
      <c r="B546">
        <v>6352510.4283913625</v>
      </c>
      <c r="D546" s="2"/>
      <c r="E546" s="2"/>
      <c r="F546" s="2"/>
      <c r="G546" s="2"/>
      <c r="H546" s="2"/>
      <c r="I546" s="2"/>
      <c r="J546" s="2"/>
      <c r="K546" s="2"/>
    </row>
    <row r="547" spans="1:11" x14ac:dyDescent="0.2">
      <c r="A547">
        <v>523</v>
      </c>
      <c r="B547">
        <v>4993597.7905402882</v>
      </c>
      <c r="D547" s="2"/>
      <c r="E547" s="2"/>
      <c r="F547" s="2"/>
      <c r="G547" s="2"/>
      <c r="H547" s="2"/>
      <c r="I547" s="2"/>
      <c r="J547" s="2"/>
      <c r="K547" s="2"/>
    </row>
    <row r="548" spans="1:11" x14ac:dyDescent="0.2">
      <c r="A548">
        <v>524</v>
      </c>
      <c r="B548">
        <v>825391.28092805529</v>
      </c>
      <c r="D548" s="2"/>
      <c r="E548" s="2"/>
      <c r="F548" s="2"/>
      <c r="G548" s="2"/>
      <c r="H548" s="2"/>
      <c r="I548" s="2"/>
      <c r="J548" s="2"/>
      <c r="K548" s="2"/>
    </row>
    <row r="549" spans="1:11" x14ac:dyDescent="0.2">
      <c r="A549">
        <v>525</v>
      </c>
      <c r="B549">
        <v>4381046.628501717</v>
      </c>
      <c r="D549" s="2"/>
      <c r="E549" s="2"/>
      <c r="F549" s="2"/>
      <c r="G549" s="2"/>
      <c r="H549" s="2"/>
      <c r="I549" s="2"/>
      <c r="J549" s="2"/>
      <c r="K549" s="2"/>
    </row>
    <row r="550" spans="1:11" x14ac:dyDescent="0.2">
      <c r="A550">
        <v>526</v>
      </c>
      <c r="B550">
        <v>2923437.58466538</v>
      </c>
      <c r="D550" s="2"/>
      <c r="E550" s="2"/>
      <c r="F550" s="2"/>
      <c r="G550" s="2"/>
      <c r="H550" s="2"/>
      <c r="I550" s="2"/>
      <c r="J550" s="2"/>
      <c r="K550" s="2"/>
    </row>
    <row r="551" spans="1:11" x14ac:dyDescent="0.2">
      <c r="A551">
        <v>527</v>
      </c>
      <c r="B551">
        <v>2563358.641481101</v>
      </c>
      <c r="D551" s="2"/>
      <c r="E551" s="2"/>
      <c r="F551" s="2"/>
      <c r="G551" s="2"/>
      <c r="H551" s="2"/>
      <c r="I551" s="2"/>
      <c r="J551" s="2"/>
      <c r="K551" s="2"/>
    </row>
    <row r="552" spans="1:11" x14ac:dyDescent="0.2">
      <c r="A552">
        <v>528</v>
      </c>
      <c r="B552">
        <v>8066642.8593435185</v>
      </c>
      <c r="D552" s="2"/>
      <c r="E552" s="2"/>
      <c r="F552" s="2"/>
      <c r="G552" s="2"/>
      <c r="H552" s="2"/>
      <c r="I552" s="2"/>
      <c r="J552" s="2"/>
      <c r="K552" s="2"/>
    </row>
    <row r="553" spans="1:11" x14ac:dyDescent="0.2">
      <c r="A553">
        <v>529</v>
      </c>
      <c r="B553">
        <v>-2563921.4790339675</v>
      </c>
      <c r="D553" s="2"/>
      <c r="E553" s="2"/>
      <c r="F553" s="2"/>
      <c r="G553" s="2"/>
      <c r="H553" s="2"/>
      <c r="I553" s="2"/>
      <c r="J553" s="2"/>
      <c r="K553" s="2"/>
    </row>
    <row r="554" spans="1:11" x14ac:dyDescent="0.2">
      <c r="A554">
        <v>530</v>
      </c>
      <c r="B554">
        <v>606889.02778835187</v>
      </c>
      <c r="D554" s="2"/>
      <c r="E554" s="2"/>
      <c r="F554" s="2"/>
      <c r="G554" s="2"/>
      <c r="H554" s="2"/>
      <c r="I554" s="2"/>
      <c r="J554" s="2"/>
      <c r="K554" s="2"/>
    </row>
    <row r="555" spans="1:11" x14ac:dyDescent="0.2">
      <c r="A555">
        <v>531</v>
      </c>
      <c r="B555">
        <v>4888528.7120733717</v>
      </c>
      <c r="D555" s="2"/>
      <c r="E555" s="2"/>
      <c r="F555" s="2"/>
      <c r="G555" s="2"/>
      <c r="H555" s="2"/>
      <c r="I555" s="2"/>
      <c r="J555" s="2"/>
      <c r="K555" s="2"/>
    </row>
    <row r="556" spans="1:11" x14ac:dyDescent="0.2">
      <c r="A556">
        <v>532</v>
      </c>
      <c r="B556">
        <v>8650995.6299071908</v>
      </c>
      <c r="D556" s="2"/>
      <c r="E556" s="2"/>
      <c r="F556" s="2"/>
      <c r="G556" s="2"/>
      <c r="H556" s="2"/>
      <c r="I556" s="2"/>
      <c r="J556" s="2"/>
      <c r="K556" s="2"/>
    </row>
    <row r="557" spans="1:11" x14ac:dyDescent="0.2">
      <c r="A557">
        <v>533</v>
      </c>
      <c r="B557">
        <v>1896079.7746201055</v>
      </c>
      <c r="D557" s="2"/>
      <c r="E557" s="2"/>
      <c r="F557" s="2"/>
      <c r="G557" s="2"/>
      <c r="H557" s="2"/>
      <c r="I557" s="2"/>
      <c r="J557" s="2"/>
      <c r="K557" s="2"/>
    </row>
    <row r="558" spans="1:11" x14ac:dyDescent="0.2">
      <c r="A558">
        <v>534</v>
      </c>
      <c r="B558">
        <v>7676631.3736065011</v>
      </c>
      <c r="D558" s="2"/>
      <c r="E558" s="2"/>
      <c r="F558" s="2"/>
      <c r="G558" s="2"/>
      <c r="H558" s="2"/>
      <c r="I558" s="2"/>
      <c r="J558" s="2"/>
      <c r="K558" s="2"/>
    </row>
    <row r="559" spans="1:11" x14ac:dyDescent="0.2">
      <c r="A559">
        <v>535</v>
      </c>
      <c r="B559">
        <v>406479.49966295564</v>
      </c>
      <c r="D559" s="2"/>
      <c r="E559" s="2"/>
      <c r="F559" s="2"/>
      <c r="G559" s="2"/>
      <c r="H559" s="2"/>
      <c r="I559" s="2"/>
      <c r="J559" s="2"/>
      <c r="K559" s="2"/>
    </row>
    <row r="560" spans="1:11" x14ac:dyDescent="0.2">
      <c r="A560">
        <v>536</v>
      </c>
      <c r="B560">
        <v>7036647.208354596</v>
      </c>
      <c r="D560" s="2"/>
      <c r="E560" s="2"/>
      <c r="F560" s="2"/>
      <c r="G560" s="2"/>
      <c r="H560" s="2"/>
      <c r="I560" s="2"/>
      <c r="J560" s="2"/>
      <c r="K560" s="2"/>
    </row>
    <row r="561" spans="1:11" x14ac:dyDescent="0.2">
      <c r="A561">
        <v>537</v>
      </c>
      <c r="B561">
        <v>1330782.7863321751</v>
      </c>
      <c r="D561" s="2"/>
      <c r="E561" s="2"/>
      <c r="F561" s="2"/>
      <c r="G561" s="2"/>
      <c r="H561" s="2"/>
      <c r="I561" s="2"/>
      <c r="J561" s="2"/>
      <c r="K561" s="2"/>
    </row>
    <row r="562" spans="1:11" x14ac:dyDescent="0.2">
      <c r="A562">
        <v>538</v>
      </c>
      <c r="B562">
        <v>-2458535.2606685013</v>
      </c>
      <c r="D562" s="2"/>
      <c r="E562" s="2"/>
      <c r="F562" s="2"/>
      <c r="G562" s="2"/>
      <c r="H562" s="2"/>
      <c r="I562" s="2"/>
      <c r="J562" s="2"/>
      <c r="K562" s="2"/>
    </row>
    <row r="563" spans="1:11" x14ac:dyDescent="0.2">
      <c r="A563">
        <v>539</v>
      </c>
      <c r="B563">
        <v>4971780.9998563882</v>
      </c>
      <c r="D563" s="2"/>
      <c r="E563" s="2"/>
      <c r="F563" s="2"/>
      <c r="G563" s="2"/>
      <c r="H563" s="2"/>
      <c r="I563" s="2"/>
      <c r="J563" s="2"/>
      <c r="K563" s="2"/>
    </row>
    <row r="564" spans="1:11" x14ac:dyDescent="0.2">
      <c r="A564">
        <v>540</v>
      </c>
      <c r="B564">
        <v>828487.97304653085</v>
      </c>
      <c r="D564" s="2"/>
      <c r="E564" s="2"/>
      <c r="F564" s="2"/>
      <c r="G564" s="2"/>
      <c r="H564" s="2"/>
      <c r="I564" s="2"/>
      <c r="J564" s="2"/>
      <c r="K564" s="2"/>
    </row>
    <row r="565" spans="1:11" x14ac:dyDescent="0.2">
      <c r="A565">
        <v>541</v>
      </c>
      <c r="B565">
        <v>6979516.5891238768</v>
      </c>
      <c r="D565" s="2"/>
      <c r="E565" s="2"/>
      <c r="F565" s="2"/>
      <c r="G565" s="2"/>
      <c r="H565" s="2"/>
      <c r="I565" s="2"/>
      <c r="J565" s="2"/>
      <c r="K565" s="2"/>
    </row>
    <row r="566" spans="1:11" x14ac:dyDescent="0.2">
      <c r="A566">
        <v>542</v>
      </c>
      <c r="B566">
        <v>5190964.8423110964</v>
      </c>
      <c r="D566" s="2"/>
      <c r="E566" s="2"/>
      <c r="F566" s="2"/>
      <c r="G566" s="2"/>
      <c r="H566" s="2"/>
      <c r="I566" s="2"/>
      <c r="J566" s="2"/>
      <c r="K566" s="2"/>
    </row>
    <row r="567" spans="1:11" x14ac:dyDescent="0.2">
      <c r="A567">
        <v>543</v>
      </c>
      <c r="B567">
        <v>1244849.8471820075</v>
      </c>
      <c r="D567" s="2"/>
      <c r="E567" s="2"/>
      <c r="F567" s="2"/>
      <c r="G567" s="2"/>
      <c r="H567" s="2"/>
      <c r="I567" s="2"/>
      <c r="J567" s="2"/>
      <c r="K567" s="2"/>
    </row>
    <row r="568" spans="1:11" x14ac:dyDescent="0.2">
      <c r="A568">
        <v>544</v>
      </c>
      <c r="B568">
        <v>7479482.1031087274</v>
      </c>
      <c r="D568" s="2"/>
      <c r="E568" s="2"/>
      <c r="F568" s="2"/>
      <c r="G568" s="2"/>
      <c r="H568" s="2"/>
      <c r="I568" s="2"/>
      <c r="J568" s="2"/>
      <c r="K568" s="2"/>
    </row>
    <row r="569" spans="1:11" x14ac:dyDescent="0.2">
      <c r="A569">
        <v>545</v>
      </c>
      <c r="B569">
        <v>2653522.2521847426</v>
      </c>
      <c r="D569" s="2"/>
      <c r="E569" s="2"/>
      <c r="F569" s="2"/>
      <c r="G569" s="2"/>
      <c r="H569" s="2"/>
      <c r="I569" s="2"/>
      <c r="J569" s="2"/>
      <c r="K569" s="2"/>
    </row>
    <row r="570" spans="1:11" x14ac:dyDescent="0.2">
      <c r="A570">
        <v>546</v>
      </c>
      <c r="B570">
        <v>3567886.7737048008</v>
      </c>
      <c r="D570" s="2"/>
      <c r="E570" s="2"/>
      <c r="F570" s="2"/>
      <c r="G570" s="2"/>
      <c r="H570" s="2"/>
      <c r="I570" s="2"/>
      <c r="J570" s="2"/>
      <c r="K570" s="2"/>
    </row>
    <row r="571" spans="1:11" x14ac:dyDescent="0.2">
      <c r="A571">
        <v>547</v>
      </c>
      <c r="B571">
        <v>2696795.7911076886</v>
      </c>
      <c r="D571" s="2"/>
      <c r="E571" s="2"/>
      <c r="F571" s="2"/>
      <c r="G571" s="2"/>
      <c r="H571" s="2"/>
      <c r="I571" s="2"/>
      <c r="J571" s="2"/>
      <c r="K571" s="2"/>
    </row>
    <row r="572" spans="1:11" x14ac:dyDescent="0.2">
      <c r="A572">
        <v>548</v>
      </c>
      <c r="B572">
        <v>-3180370.7058105427</v>
      </c>
      <c r="D572" s="2"/>
      <c r="E572" s="2"/>
      <c r="F572" s="2"/>
      <c r="G572" s="2"/>
      <c r="H572" s="2"/>
      <c r="I572" s="2"/>
      <c r="J572" s="2"/>
      <c r="K572" s="2"/>
    </row>
    <row r="573" spans="1:11" x14ac:dyDescent="0.2">
      <c r="A573">
        <v>549</v>
      </c>
      <c r="B573">
        <v>3413062.8898393977</v>
      </c>
      <c r="D573" s="2"/>
      <c r="E573" s="2"/>
      <c r="F573" s="2"/>
      <c r="G573" s="2"/>
      <c r="H573" s="2"/>
      <c r="I573" s="2"/>
      <c r="J573" s="2"/>
      <c r="K573" s="2"/>
    </row>
    <row r="574" spans="1:11" x14ac:dyDescent="0.2">
      <c r="A574">
        <v>550</v>
      </c>
      <c r="B574">
        <v>-1590749.9871337332</v>
      </c>
      <c r="D574" s="2"/>
      <c r="E574" s="2"/>
      <c r="F574" s="2"/>
      <c r="G574" s="2"/>
      <c r="H574" s="2"/>
      <c r="I574" s="2"/>
      <c r="J574" s="2"/>
      <c r="K574" s="2"/>
    </row>
    <row r="575" spans="1:11" x14ac:dyDescent="0.2">
      <c r="A575">
        <v>551</v>
      </c>
      <c r="B575">
        <v>5545398.3841427704</v>
      </c>
      <c r="D575" s="2"/>
      <c r="E575" s="2"/>
      <c r="F575" s="2"/>
      <c r="G575" s="2"/>
      <c r="H575" s="2"/>
      <c r="I575" s="2"/>
      <c r="J575" s="2"/>
      <c r="K575" s="2"/>
    </row>
    <row r="576" spans="1:11" x14ac:dyDescent="0.2">
      <c r="A576">
        <v>552</v>
      </c>
      <c r="B576">
        <v>5125848.0530755157</v>
      </c>
      <c r="D576" s="2"/>
      <c r="E576" s="2"/>
      <c r="F576" s="2"/>
      <c r="G576" s="2"/>
      <c r="H576" s="2"/>
      <c r="I576" s="2"/>
      <c r="J576" s="2"/>
      <c r="K576" s="2"/>
    </row>
    <row r="577" spans="1:11" x14ac:dyDescent="0.2">
      <c r="A577">
        <v>553</v>
      </c>
      <c r="B577">
        <v>6816653.6810245262</v>
      </c>
      <c r="D577" s="2"/>
      <c r="E577" s="2"/>
      <c r="F577" s="2"/>
      <c r="G577" s="2"/>
      <c r="H577" s="2"/>
      <c r="I577" s="2"/>
      <c r="J577" s="2"/>
      <c r="K577" s="2"/>
    </row>
    <row r="578" spans="1:11" x14ac:dyDescent="0.2">
      <c r="A578">
        <v>554</v>
      </c>
      <c r="B578">
        <v>7527694.5860074144</v>
      </c>
      <c r="D578" s="2"/>
      <c r="E578" s="2"/>
      <c r="F578" s="2"/>
      <c r="G578" s="2"/>
      <c r="H578" s="2"/>
      <c r="I578" s="2"/>
      <c r="J578" s="2"/>
      <c r="K578" s="2"/>
    </row>
    <row r="579" spans="1:11" x14ac:dyDescent="0.2">
      <c r="A579">
        <v>555</v>
      </c>
      <c r="B579">
        <v>1071778.6106435659</v>
      </c>
      <c r="D579" s="2"/>
      <c r="E579" s="2"/>
      <c r="F579" s="2"/>
      <c r="G579" s="2"/>
      <c r="H579" s="2"/>
      <c r="I579" s="2"/>
      <c r="J579" s="2"/>
      <c r="K579" s="2"/>
    </row>
    <row r="580" spans="1:11" x14ac:dyDescent="0.2">
      <c r="A580">
        <v>556</v>
      </c>
      <c r="B580">
        <v>3450544.091529482</v>
      </c>
      <c r="D580" s="2"/>
      <c r="E580" s="2"/>
      <c r="F580" s="2"/>
      <c r="G580" s="2"/>
      <c r="H580" s="2"/>
      <c r="I580" s="2"/>
      <c r="J580" s="2"/>
      <c r="K580" s="2"/>
    </row>
    <row r="581" spans="1:11" x14ac:dyDescent="0.2">
      <c r="A581">
        <v>557</v>
      </c>
      <c r="B581">
        <v>4769814.8470417447</v>
      </c>
      <c r="D581" s="2"/>
      <c r="E581" s="2"/>
      <c r="F581" s="2"/>
      <c r="G581" s="2"/>
      <c r="H581" s="2"/>
      <c r="I581" s="2"/>
      <c r="J581" s="2"/>
      <c r="K581" s="2"/>
    </row>
    <row r="582" spans="1:11" x14ac:dyDescent="0.2">
      <c r="A582">
        <v>558</v>
      </c>
      <c r="B582">
        <v>2582560.8179274974</v>
      </c>
      <c r="D582" s="2"/>
      <c r="E582" s="2"/>
      <c r="F582" s="2"/>
      <c r="G582" s="2"/>
      <c r="H582" s="2"/>
      <c r="I582" s="2"/>
      <c r="J582" s="2"/>
      <c r="K582" s="2"/>
    </row>
    <row r="583" spans="1:11" x14ac:dyDescent="0.2">
      <c r="A583">
        <v>559</v>
      </c>
      <c r="B583">
        <v>1965182.7109759536</v>
      </c>
      <c r="D583" s="2"/>
      <c r="E583" s="2"/>
      <c r="F583" s="2"/>
      <c r="G583" s="2"/>
      <c r="H583" s="2"/>
      <c r="I583" s="2"/>
      <c r="J583" s="2"/>
      <c r="K583" s="2"/>
    </row>
    <row r="584" spans="1:11" x14ac:dyDescent="0.2">
      <c r="A584">
        <v>560</v>
      </c>
      <c r="B584">
        <v>5536798.7267399281</v>
      </c>
      <c r="D584" s="2"/>
      <c r="E584" s="2"/>
      <c r="F584" s="2"/>
      <c r="G584" s="2"/>
      <c r="H584" s="2"/>
      <c r="I584" s="2"/>
      <c r="J584" s="2"/>
      <c r="K584" s="2"/>
    </row>
    <row r="585" spans="1:11" x14ac:dyDescent="0.2">
      <c r="A585">
        <v>561</v>
      </c>
      <c r="B585">
        <v>1883872.6513281642</v>
      </c>
      <c r="D585" s="2"/>
      <c r="E585" s="2"/>
      <c r="F585" s="2"/>
      <c r="G585" s="2"/>
      <c r="H585" s="2"/>
      <c r="I585" s="2"/>
      <c r="J585" s="2"/>
      <c r="K585" s="2"/>
    </row>
    <row r="586" spans="1:11" x14ac:dyDescent="0.2">
      <c r="A586">
        <v>562</v>
      </c>
      <c r="B586">
        <v>893499.76055402122</v>
      </c>
      <c r="D586" s="2"/>
      <c r="E586" s="2"/>
      <c r="F586" s="2"/>
      <c r="G586" s="2"/>
      <c r="H586" s="2"/>
      <c r="I586" s="2"/>
      <c r="J586" s="2"/>
      <c r="K586" s="2"/>
    </row>
    <row r="587" spans="1:11" x14ac:dyDescent="0.2">
      <c r="A587">
        <v>563</v>
      </c>
      <c r="B587">
        <v>11971366.370468529</v>
      </c>
      <c r="D587" s="2"/>
      <c r="E587" s="2"/>
      <c r="F587" s="2"/>
      <c r="G587" s="2"/>
      <c r="H587" s="2"/>
      <c r="I587" s="2"/>
      <c r="J587" s="2"/>
      <c r="K587" s="2"/>
    </row>
    <row r="588" spans="1:11" x14ac:dyDescent="0.2">
      <c r="A588">
        <v>564</v>
      </c>
      <c r="B588">
        <v>4507335.5670073032</v>
      </c>
      <c r="D588" s="2"/>
      <c r="E588" s="2"/>
      <c r="F588" s="2"/>
      <c r="G588" s="2"/>
      <c r="H588" s="2"/>
      <c r="I588" s="2"/>
      <c r="J588" s="2"/>
      <c r="K588" s="2"/>
    </row>
    <row r="589" spans="1:11" x14ac:dyDescent="0.2">
      <c r="A589">
        <v>565</v>
      </c>
      <c r="B589">
        <v>-1507211.2030297434</v>
      </c>
      <c r="D589" s="2"/>
      <c r="E589" s="2"/>
      <c r="F589" s="2"/>
      <c r="G589" s="2"/>
      <c r="H589" s="2"/>
      <c r="I589" s="2"/>
      <c r="J589" s="2"/>
      <c r="K589" s="2"/>
    </row>
    <row r="590" spans="1:11" x14ac:dyDescent="0.2">
      <c r="A590">
        <v>566</v>
      </c>
      <c r="B590">
        <v>2765077.4608390122</v>
      </c>
      <c r="D590" s="2"/>
      <c r="E590" s="2"/>
      <c r="F590" s="2"/>
      <c r="G590" s="2"/>
      <c r="H590" s="2"/>
      <c r="I590" s="2"/>
      <c r="J590" s="2"/>
      <c r="K590" s="2"/>
    </row>
    <row r="591" spans="1:11" x14ac:dyDescent="0.2">
      <c r="A591">
        <v>567</v>
      </c>
      <c r="B591">
        <v>3519832.4979985817</v>
      </c>
      <c r="D591" s="2"/>
      <c r="E591" s="2"/>
      <c r="F591" s="2"/>
      <c r="G591" s="2"/>
      <c r="H591" s="2"/>
      <c r="I591" s="2"/>
      <c r="J591" s="2"/>
      <c r="K591" s="2"/>
    </row>
    <row r="592" spans="1:11" x14ac:dyDescent="0.2">
      <c r="A592">
        <v>568</v>
      </c>
      <c r="B592">
        <v>1276263.1546762483</v>
      </c>
      <c r="D592" s="2"/>
      <c r="E592" s="2"/>
      <c r="F592" s="2"/>
      <c r="G592" s="2"/>
      <c r="H592" s="2"/>
      <c r="I592" s="2"/>
      <c r="J592" s="2"/>
      <c r="K592" s="2"/>
    </row>
    <row r="593" spans="1:11" x14ac:dyDescent="0.2">
      <c r="A593">
        <v>569</v>
      </c>
      <c r="B593">
        <v>1361275.7603723938</v>
      </c>
      <c r="D593" s="2"/>
      <c r="E593" s="2"/>
      <c r="F593" s="2"/>
      <c r="G593" s="2"/>
      <c r="H593" s="2"/>
      <c r="I593" s="2"/>
      <c r="J593" s="2"/>
      <c r="K593" s="2"/>
    </row>
    <row r="594" spans="1:11" x14ac:dyDescent="0.2">
      <c r="A594">
        <v>570</v>
      </c>
      <c r="B594">
        <v>4211874.3480160655</v>
      </c>
      <c r="D594" s="2"/>
      <c r="E594" s="2"/>
      <c r="F594" s="2"/>
      <c r="G594" s="2"/>
      <c r="H594" s="2"/>
      <c r="I594" s="2"/>
      <c r="J594" s="2"/>
      <c r="K594" s="2"/>
    </row>
    <row r="595" spans="1:11" x14ac:dyDescent="0.2">
      <c r="A595">
        <v>571</v>
      </c>
      <c r="B595">
        <v>5958106.9301333549</v>
      </c>
      <c r="D595" s="2"/>
      <c r="E595" s="2"/>
      <c r="F595" s="2"/>
      <c r="G595" s="2"/>
      <c r="H595" s="2"/>
      <c r="I595" s="2"/>
      <c r="J595" s="2"/>
      <c r="K595" s="2"/>
    </row>
    <row r="596" spans="1:11" x14ac:dyDescent="0.2">
      <c r="A596">
        <v>572</v>
      </c>
      <c r="B596">
        <v>9532979.9890070334</v>
      </c>
      <c r="D596" s="2"/>
      <c r="E596" s="2"/>
      <c r="F596" s="2"/>
      <c r="G596" s="2"/>
      <c r="H596" s="2"/>
      <c r="I596" s="2"/>
      <c r="J596" s="2"/>
      <c r="K596" s="2"/>
    </row>
    <row r="597" spans="1:11" x14ac:dyDescent="0.2">
      <c r="A597">
        <v>573</v>
      </c>
      <c r="B597">
        <v>2347539.1733891042</v>
      </c>
      <c r="D597" s="2"/>
      <c r="E597" s="2"/>
      <c r="F597" s="2"/>
      <c r="G597" s="2"/>
      <c r="H597" s="2"/>
      <c r="I597" s="2"/>
      <c r="J597" s="2"/>
      <c r="K597" s="2"/>
    </row>
    <row r="598" spans="1:11" x14ac:dyDescent="0.2">
      <c r="A598">
        <v>574</v>
      </c>
      <c r="B598">
        <v>4181756.9327323353</v>
      </c>
      <c r="D598" s="2"/>
      <c r="E598" s="2"/>
      <c r="F598" s="2"/>
      <c r="G598" s="2"/>
      <c r="H598" s="2"/>
      <c r="I598" s="2"/>
      <c r="J598" s="2"/>
      <c r="K598" s="2"/>
    </row>
    <row r="599" spans="1:11" x14ac:dyDescent="0.2">
      <c r="A599">
        <v>575</v>
      </c>
      <c r="B599">
        <v>5469850.7776598297</v>
      </c>
      <c r="D599" s="2"/>
      <c r="E599" s="2"/>
      <c r="F599" s="2"/>
      <c r="G599" s="2"/>
      <c r="H599" s="2"/>
      <c r="I599" s="2"/>
      <c r="J599" s="2"/>
      <c r="K599" s="2"/>
    </row>
    <row r="600" spans="1:11" x14ac:dyDescent="0.2">
      <c r="A600">
        <v>576</v>
      </c>
      <c r="B600">
        <v>7195688.4460958196</v>
      </c>
      <c r="D600" s="2"/>
      <c r="E600" s="2"/>
      <c r="F600" s="2"/>
      <c r="G600" s="2"/>
      <c r="H600" s="2"/>
      <c r="I600" s="2"/>
      <c r="J600" s="2"/>
      <c r="K600" s="2"/>
    </row>
    <row r="601" spans="1:11" x14ac:dyDescent="0.2">
      <c r="A601">
        <v>577</v>
      </c>
      <c r="B601">
        <v>10057012.96105084</v>
      </c>
      <c r="D601" s="2"/>
      <c r="E601" s="2"/>
      <c r="F601" s="2"/>
      <c r="G601" s="2"/>
      <c r="H601" s="2"/>
      <c r="I601" s="2"/>
      <c r="J601" s="2"/>
      <c r="K601" s="2"/>
    </row>
    <row r="602" spans="1:11" x14ac:dyDescent="0.2">
      <c r="A602">
        <v>578</v>
      </c>
      <c r="B602">
        <v>3284556.8844083091</v>
      </c>
      <c r="D602" s="2"/>
      <c r="E602" s="2"/>
      <c r="F602" s="2"/>
      <c r="G602" s="2"/>
      <c r="H602" s="2"/>
      <c r="I602" s="2"/>
      <c r="J602" s="2"/>
      <c r="K602" s="2"/>
    </row>
    <row r="603" spans="1:11" x14ac:dyDescent="0.2">
      <c r="A603">
        <v>579</v>
      </c>
      <c r="B603">
        <v>13249888.486415742</v>
      </c>
      <c r="D603" s="2"/>
      <c r="E603" s="2"/>
      <c r="F603" s="2"/>
      <c r="G603" s="2"/>
      <c r="H603" s="2"/>
      <c r="I603" s="2"/>
      <c r="J603" s="2"/>
      <c r="K603" s="2"/>
    </row>
    <row r="604" spans="1:11" x14ac:dyDescent="0.2">
      <c r="A604">
        <v>580</v>
      </c>
      <c r="B604">
        <v>-3606903.1292006327</v>
      </c>
      <c r="D604" s="2"/>
      <c r="E604" s="2"/>
      <c r="F604" s="2"/>
      <c r="G604" s="2"/>
      <c r="H604" s="2"/>
      <c r="I604" s="2"/>
      <c r="J604" s="2"/>
      <c r="K604" s="2"/>
    </row>
    <row r="605" spans="1:11" x14ac:dyDescent="0.2">
      <c r="A605">
        <v>581</v>
      </c>
      <c r="B605">
        <v>8553678.5841264054</v>
      </c>
      <c r="D605" s="2"/>
      <c r="E605" s="2"/>
      <c r="F605" s="2"/>
      <c r="G605" s="2"/>
      <c r="H605" s="2"/>
      <c r="I605" s="2"/>
      <c r="J605" s="2"/>
      <c r="K605" s="2"/>
    </row>
    <row r="606" spans="1:11" x14ac:dyDescent="0.2">
      <c r="A606">
        <v>582</v>
      </c>
      <c r="B606">
        <v>3433863.9986020112</v>
      </c>
      <c r="D606" s="2"/>
      <c r="E606" s="2"/>
      <c r="F606" s="2"/>
      <c r="G606" s="2"/>
      <c r="H606" s="2"/>
      <c r="I606" s="2"/>
      <c r="J606" s="2"/>
      <c r="K606" s="2"/>
    </row>
    <row r="607" spans="1:11" x14ac:dyDescent="0.2">
      <c r="A607">
        <v>583</v>
      </c>
      <c r="B607">
        <v>3272071.7580684265</v>
      </c>
      <c r="D607" s="2"/>
      <c r="E607" s="2"/>
      <c r="F607" s="2"/>
      <c r="G607" s="2"/>
      <c r="H607" s="2"/>
      <c r="I607" s="2"/>
      <c r="J607" s="2"/>
      <c r="K607" s="2"/>
    </row>
    <row r="608" spans="1:11" x14ac:dyDescent="0.2">
      <c r="A608">
        <v>584</v>
      </c>
      <c r="B608">
        <v>-2334670.9567851084</v>
      </c>
      <c r="D608" s="2"/>
      <c r="E608" s="2"/>
      <c r="F608" s="2"/>
      <c r="G608" s="2"/>
      <c r="H608" s="2"/>
      <c r="I608" s="2"/>
      <c r="J608" s="2"/>
      <c r="K608" s="2"/>
    </row>
    <row r="609" spans="1:11" x14ac:dyDescent="0.2">
      <c r="A609">
        <v>585</v>
      </c>
      <c r="B609">
        <v>2373011.0295458362</v>
      </c>
      <c r="D609" s="2"/>
      <c r="E609" s="2"/>
      <c r="F609" s="2"/>
      <c r="G609" s="2"/>
      <c r="H609" s="2"/>
      <c r="I609" s="2"/>
      <c r="J609" s="2"/>
      <c r="K609" s="2"/>
    </row>
    <row r="610" spans="1:11" x14ac:dyDescent="0.2">
      <c r="A610">
        <v>586</v>
      </c>
      <c r="B610">
        <v>1215564.6025124022</v>
      </c>
      <c r="D610" s="2"/>
      <c r="E610" s="2"/>
      <c r="F610" s="2"/>
      <c r="G610" s="2"/>
      <c r="H610" s="2"/>
      <c r="I610" s="2"/>
      <c r="J610" s="2"/>
      <c r="K610" s="2"/>
    </row>
    <row r="611" spans="1:11" x14ac:dyDescent="0.2">
      <c r="A611">
        <v>587</v>
      </c>
      <c r="B611">
        <v>33316188.669883166</v>
      </c>
      <c r="D611" s="2"/>
      <c r="E611" s="2"/>
      <c r="F611" s="2"/>
      <c r="G611" s="2"/>
      <c r="H611" s="2"/>
      <c r="I611" s="2"/>
      <c r="J611" s="2"/>
      <c r="K611" s="2"/>
    </row>
    <row r="612" spans="1:11" x14ac:dyDescent="0.2">
      <c r="A612">
        <v>588</v>
      </c>
      <c r="B612">
        <v>1086831.2240698137</v>
      </c>
      <c r="D612" s="2"/>
      <c r="E612" s="2"/>
      <c r="F612" s="2"/>
      <c r="G612" s="2"/>
      <c r="H612" s="2"/>
      <c r="I612" s="2"/>
      <c r="J612" s="2"/>
      <c r="K612" s="2"/>
    </row>
    <row r="613" spans="1:11" x14ac:dyDescent="0.2">
      <c r="A613">
        <v>589</v>
      </c>
      <c r="B613">
        <v>5192538.6509797722</v>
      </c>
      <c r="D613" s="2"/>
      <c r="E613" s="2"/>
      <c r="F613" s="2"/>
      <c r="G613" s="2"/>
      <c r="H613" s="2"/>
      <c r="I613" s="2"/>
      <c r="J613" s="2"/>
      <c r="K613" s="2"/>
    </row>
    <row r="614" spans="1:11" x14ac:dyDescent="0.2">
      <c r="A614">
        <v>590</v>
      </c>
      <c r="B614">
        <v>20232775.503277909</v>
      </c>
      <c r="D614" s="2"/>
      <c r="E614" s="2"/>
      <c r="F614" s="2"/>
      <c r="G614" s="2"/>
      <c r="H614" s="2"/>
      <c r="I614" s="2"/>
      <c r="J614" s="2"/>
      <c r="K614" s="2"/>
    </row>
    <row r="615" spans="1:11" x14ac:dyDescent="0.2">
      <c r="A615">
        <v>591</v>
      </c>
      <c r="B615">
        <v>5974666.762693353</v>
      </c>
      <c r="D615" s="2"/>
      <c r="E615" s="2"/>
      <c r="F615" s="2"/>
      <c r="G615" s="2"/>
      <c r="H615" s="2"/>
      <c r="I615" s="2"/>
      <c r="J615" s="2"/>
      <c r="K615" s="2"/>
    </row>
    <row r="616" spans="1:11" x14ac:dyDescent="0.2">
      <c r="A616">
        <v>592</v>
      </c>
      <c r="B616">
        <v>2753698.9550737385</v>
      </c>
      <c r="D616" s="2"/>
      <c r="E616" s="2"/>
      <c r="F616" s="2"/>
      <c r="G616" s="2"/>
      <c r="H616" s="2"/>
      <c r="I616" s="2"/>
      <c r="J616" s="2"/>
      <c r="K616" s="2"/>
    </row>
    <row r="617" spans="1:11" x14ac:dyDescent="0.2">
      <c r="A617">
        <v>593</v>
      </c>
      <c r="B617">
        <v>4271029.0506223096</v>
      </c>
      <c r="D617" s="2"/>
      <c r="E617" s="2"/>
      <c r="F617" s="2"/>
      <c r="G617" s="2"/>
      <c r="H617" s="2"/>
      <c r="I617" s="2"/>
      <c r="J617" s="2"/>
      <c r="K617" s="2"/>
    </row>
    <row r="618" spans="1:11" x14ac:dyDescent="0.2">
      <c r="A618">
        <v>594</v>
      </c>
      <c r="B618">
        <v>2626745.4803746492</v>
      </c>
      <c r="D618" s="2"/>
      <c r="E618" s="2"/>
      <c r="F618" s="2"/>
      <c r="G618" s="2"/>
      <c r="H618" s="2"/>
      <c r="I618" s="2"/>
      <c r="J618" s="2"/>
      <c r="K618" s="2"/>
    </row>
    <row r="619" spans="1:11" x14ac:dyDescent="0.2">
      <c r="A619">
        <v>595</v>
      </c>
      <c r="B619">
        <v>1147354.4967758846</v>
      </c>
      <c r="D619" s="2"/>
      <c r="E619" s="2"/>
      <c r="F619" s="2"/>
      <c r="G619" s="2"/>
      <c r="H619" s="2"/>
      <c r="I619" s="2"/>
      <c r="J619" s="2"/>
      <c r="K619" s="2"/>
    </row>
    <row r="620" spans="1:11" x14ac:dyDescent="0.2">
      <c r="A620">
        <v>596</v>
      </c>
      <c r="B620">
        <v>2470093.075961079</v>
      </c>
      <c r="D620" s="2"/>
      <c r="E620" s="2"/>
      <c r="F620" s="2"/>
      <c r="G620" s="2"/>
      <c r="H620" s="2"/>
      <c r="I620" s="2"/>
      <c r="J620" s="2"/>
      <c r="K620" s="2"/>
    </row>
    <row r="621" spans="1:11" x14ac:dyDescent="0.2">
      <c r="A621">
        <v>597</v>
      </c>
      <c r="B621">
        <v>1311747.8874527076</v>
      </c>
      <c r="D621" s="2"/>
      <c r="E621" s="2"/>
      <c r="F621" s="2"/>
      <c r="G621" s="2"/>
      <c r="H621" s="2"/>
      <c r="I621" s="2"/>
      <c r="J621" s="2"/>
      <c r="K621" s="2"/>
    </row>
    <row r="622" spans="1:11" x14ac:dyDescent="0.2">
      <c r="A622">
        <v>598</v>
      </c>
      <c r="B622">
        <v>-327158.96311811748</v>
      </c>
      <c r="D622" s="2"/>
      <c r="E622" s="2"/>
      <c r="F622" s="2"/>
      <c r="G622" s="2"/>
      <c r="H622" s="2"/>
      <c r="I622" s="2"/>
      <c r="J622" s="2"/>
      <c r="K622" s="2"/>
    </row>
    <row r="623" spans="1:11" x14ac:dyDescent="0.2">
      <c r="A623">
        <v>599</v>
      </c>
      <c r="B623">
        <v>-1671599.0718553576</v>
      </c>
      <c r="D623" s="2"/>
      <c r="E623" s="2"/>
      <c r="F623" s="2"/>
      <c r="G623" s="2"/>
      <c r="H623" s="2"/>
      <c r="I623" s="2"/>
      <c r="J623" s="2"/>
      <c r="K623" s="2"/>
    </row>
    <row r="624" spans="1:11" x14ac:dyDescent="0.2">
      <c r="A624">
        <v>600</v>
      </c>
      <c r="B624">
        <v>1494855.8108950732</v>
      </c>
      <c r="D624" s="2"/>
      <c r="E624" s="2"/>
      <c r="F624" s="2"/>
      <c r="G624" s="2"/>
      <c r="H624" s="2"/>
      <c r="I624" s="2"/>
      <c r="J624" s="2"/>
      <c r="K624" s="2"/>
    </row>
    <row r="625" spans="1:11" x14ac:dyDescent="0.2">
      <c r="A625">
        <v>601</v>
      </c>
      <c r="B625">
        <v>2563977.0731417495</v>
      </c>
      <c r="D625" s="2"/>
      <c r="E625" s="2"/>
      <c r="F625" s="2"/>
      <c r="G625" s="2"/>
      <c r="H625" s="2"/>
      <c r="I625" s="2"/>
      <c r="J625" s="2"/>
      <c r="K625" s="2"/>
    </row>
    <row r="626" spans="1:11" x14ac:dyDescent="0.2">
      <c r="A626">
        <v>602</v>
      </c>
      <c r="B626">
        <v>14462426.850657338</v>
      </c>
      <c r="D626" s="2"/>
      <c r="E626" s="2"/>
      <c r="F626" s="2"/>
      <c r="G626" s="2"/>
      <c r="H626" s="2"/>
      <c r="I626" s="2"/>
      <c r="J626" s="2"/>
      <c r="K626" s="2"/>
    </row>
    <row r="627" spans="1:11" x14ac:dyDescent="0.2">
      <c r="A627">
        <v>603</v>
      </c>
      <c r="B627">
        <v>5413624.189308974</v>
      </c>
      <c r="D627" s="2"/>
      <c r="E627" s="2"/>
      <c r="F627" s="2"/>
      <c r="G627" s="2"/>
      <c r="H627" s="2"/>
      <c r="I627" s="2"/>
      <c r="J627" s="2"/>
      <c r="K627" s="2"/>
    </row>
    <row r="628" spans="1:11" x14ac:dyDescent="0.2">
      <c r="A628">
        <v>604</v>
      </c>
      <c r="B628">
        <v>640491.17492267967</v>
      </c>
      <c r="D628" s="2"/>
      <c r="E628" s="2"/>
      <c r="F628" s="2"/>
      <c r="G628" s="2"/>
      <c r="H628" s="2"/>
      <c r="I628" s="2"/>
      <c r="J628" s="2"/>
      <c r="K628" s="2"/>
    </row>
    <row r="629" spans="1:11" x14ac:dyDescent="0.2">
      <c r="A629">
        <v>605</v>
      </c>
      <c r="B629">
        <v>3222446.4019870199</v>
      </c>
      <c r="D629" s="2"/>
      <c r="E629" s="2"/>
      <c r="F629" s="2"/>
      <c r="G629" s="2"/>
      <c r="H629" s="2"/>
      <c r="I629" s="2"/>
      <c r="J629" s="2"/>
      <c r="K629" s="2"/>
    </row>
    <row r="630" spans="1:11" x14ac:dyDescent="0.2">
      <c r="A630">
        <v>606</v>
      </c>
      <c r="B630">
        <v>19879092.946922097</v>
      </c>
      <c r="D630" s="2"/>
      <c r="E630" s="2"/>
      <c r="F630" s="2"/>
      <c r="G630" s="2"/>
      <c r="H630" s="2"/>
      <c r="I630" s="2"/>
      <c r="J630" s="2"/>
      <c r="K630" s="2"/>
    </row>
    <row r="631" spans="1:11" x14ac:dyDescent="0.2">
      <c r="A631">
        <v>607</v>
      </c>
      <c r="B631">
        <v>511893.50581374089</v>
      </c>
      <c r="D631" s="2"/>
      <c r="E631" s="2"/>
      <c r="F631" s="2"/>
      <c r="G631" s="2"/>
      <c r="H631" s="2"/>
      <c r="I631" s="2"/>
      <c r="J631" s="2"/>
      <c r="K631" s="2"/>
    </row>
    <row r="632" spans="1:11" x14ac:dyDescent="0.2">
      <c r="A632">
        <v>608</v>
      </c>
      <c r="B632">
        <v>13251476.26285529</v>
      </c>
      <c r="D632" s="2"/>
      <c r="E632" s="2"/>
      <c r="F632" s="2"/>
      <c r="G632" s="2"/>
      <c r="H632" s="2"/>
      <c r="I632" s="2"/>
      <c r="J632" s="2"/>
      <c r="K632" s="2"/>
    </row>
    <row r="633" spans="1:11" x14ac:dyDescent="0.2">
      <c r="A633">
        <v>609</v>
      </c>
      <c r="B633">
        <v>5102393.5027481234</v>
      </c>
      <c r="D633" s="2"/>
      <c r="E633" s="2"/>
      <c r="F633" s="2"/>
      <c r="G633" s="2"/>
      <c r="H633" s="2"/>
      <c r="I633" s="2"/>
      <c r="J633" s="2"/>
      <c r="K633" s="2"/>
    </row>
    <row r="634" spans="1:11" x14ac:dyDescent="0.2">
      <c r="A634">
        <v>610</v>
      </c>
      <c r="B634">
        <v>4365802.3834479693</v>
      </c>
      <c r="D634" s="2"/>
      <c r="E634" s="2"/>
      <c r="F634" s="2"/>
      <c r="G634" s="2"/>
      <c r="H634" s="2"/>
      <c r="I634" s="2"/>
      <c r="J634" s="2"/>
      <c r="K634" s="2"/>
    </row>
    <row r="635" spans="1:11" x14ac:dyDescent="0.2">
      <c r="A635">
        <v>611</v>
      </c>
      <c r="B635">
        <v>22570556.639255077</v>
      </c>
      <c r="D635" s="2"/>
      <c r="E635" s="2"/>
      <c r="F635" s="2"/>
      <c r="G635" s="2"/>
      <c r="H635" s="2"/>
      <c r="I635" s="2"/>
      <c r="J635" s="2"/>
      <c r="K635" s="2"/>
    </row>
    <row r="636" spans="1:11" x14ac:dyDescent="0.2">
      <c r="A636">
        <v>612</v>
      </c>
      <c r="B636">
        <v>11758666.359265763</v>
      </c>
      <c r="D636" s="2"/>
      <c r="E636" s="2"/>
      <c r="F636" s="2"/>
      <c r="G636" s="2"/>
      <c r="H636" s="2"/>
      <c r="I636" s="2"/>
      <c r="J636" s="2"/>
      <c r="K636" s="2"/>
    </row>
    <row r="637" spans="1:11" x14ac:dyDescent="0.2">
      <c r="A637">
        <v>613</v>
      </c>
      <c r="B637">
        <v>10976098.480030859</v>
      </c>
      <c r="D637" s="2"/>
      <c r="E637" s="2"/>
      <c r="F637" s="2"/>
      <c r="G637" s="2"/>
      <c r="H637" s="2"/>
      <c r="I637" s="2"/>
      <c r="J637" s="2"/>
      <c r="K637" s="2"/>
    </row>
    <row r="638" spans="1:11" x14ac:dyDescent="0.2">
      <c r="A638">
        <v>614</v>
      </c>
      <c r="B638">
        <v>-318043.00486238854</v>
      </c>
      <c r="D638" s="2"/>
      <c r="E638" s="2"/>
      <c r="F638" s="2"/>
      <c r="G638" s="2"/>
      <c r="H638" s="2"/>
      <c r="I638" s="2"/>
      <c r="J638" s="2"/>
      <c r="K638" s="2"/>
    </row>
    <row r="639" spans="1:11" x14ac:dyDescent="0.2">
      <c r="A639">
        <v>615</v>
      </c>
      <c r="B639">
        <v>8905919.3758833706</v>
      </c>
      <c r="D639" s="2"/>
      <c r="E639" s="2"/>
      <c r="F639" s="2"/>
      <c r="G639" s="2"/>
      <c r="H639" s="2"/>
      <c r="I639" s="2"/>
      <c r="J639" s="2"/>
      <c r="K639" s="2"/>
    </row>
    <row r="640" spans="1:11" x14ac:dyDescent="0.2">
      <c r="A640">
        <v>616</v>
      </c>
      <c r="B640">
        <v>12765413.702787101</v>
      </c>
      <c r="D640" s="2"/>
      <c r="E640" s="2"/>
      <c r="F640" s="2"/>
      <c r="G640" s="2"/>
      <c r="H640" s="2"/>
      <c r="I640" s="2"/>
      <c r="J640" s="2"/>
      <c r="K640" s="2"/>
    </row>
    <row r="641" spans="1:11" x14ac:dyDescent="0.2">
      <c r="A641">
        <v>617</v>
      </c>
      <c r="B641">
        <v>1379165.2752107342</v>
      </c>
      <c r="D641" s="2"/>
      <c r="E641" s="2"/>
      <c r="F641" s="2"/>
      <c r="G641" s="2"/>
      <c r="H641" s="2"/>
      <c r="I641" s="2"/>
      <c r="J641" s="2"/>
      <c r="K641" s="2"/>
    </row>
    <row r="642" spans="1:11" x14ac:dyDescent="0.2">
      <c r="A642">
        <v>618</v>
      </c>
      <c r="B642">
        <v>345158.71034600807</v>
      </c>
      <c r="D642" s="2"/>
      <c r="E642" s="2"/>
      <c r="F642" s="2"/>
      <c r="G642" s="2"/>
      <c r="H642" s="2"/>
      <c r="I642" s="2"/>
      <c r="J642" s="2"/>
      <c r="K642" s="2"/>
    </row>
    <row r="643" spans="1:11" x14ac:dyDescent="0.2">
      <c r="A643">
        <v>619</v>
      </c>
      <c r="B643">
        <v>-333839.37581554626</v>
      </c>
      <c r="D643" s="2"/>
      <c r="E643" s="2"/>
      <c r="F643" s="2"/>
      <c r="G643" s="2"/>
      <c r="H643" s="2"/>
      <c r="I643" s="2"/>
      <c r="J643" s="2"/>
      <c r="K643" s="2"/>
    </row>
    <row r="644" spans="1:11" x14ac:dyDescent="0.2">
      <c r="A644">
        <v>620</v>
      </c>
      <c r="B644">
        <v>5249837.1799957547</v>
      </c>
      <c r="D644" s="2"/>
      <c r="E644" s="2"/>
      <c r="F644" s="2"/>
      <c r="G644" s="2"/>
      <c r="H644" s="2"/>
      <c r="I644" s="2"/>
      <c r="J644" s="2"/>
      <c r="K644" s="2"/>
    </row>
    <row r="645" spans="1:11" x14ac:dyDescent="0.2">
      <c r="A645">
        <v>621</v>
      </c>
      <c r="B645">
        <v>-887956.58316834038</v>
      </c>
      <c r="D645" s="2"/>
      <c r="E645" s="2"/>
      <c r="F645" s="2"/>
      <c r="G645" s="2"/>
      <c r="H645" s="2"/>
      <c r="I645" s="2"/>
      <c r="J645" s="2"/>
      <c r="K645" s="2"/>
    </row>
    <row r="646" spans="1:11" x14ac:dyDescent="0.2">
      <c r="A646">
        <v>622</v>
      </c>
      <c r="B646">
        <v>4105666.2234744574</v>
      </c>
      <c r="D646" s="2"/>
      <c r="E646" s="2"/>
      <c r="F646" s="2"/>
      <c r="G646" s="2"/>
      <c r="H646" s="2"/>
      <c r="I646" s="2"/>
      <c r="J646" s="2"/>
      <c r="K646" s="2"/>
    </row>
    <row r="647" spans="1:11" x14ac:dyDescent="0.2">
      <c r="A647">
        <v>623</v>
      </c>
      <c r="B647">
        <v>7969.7369642972481</v>
      </c>
      <c r="D647" s="2"/>
      <c r="E647" s="2"/>
      <c r="F647" s="2"/>
      <c r="G647" s="2"/>
      <c r="H647" s="2"/>
      <c r="I647" s="2"/>
      <c r="J647" s="2"/>
      <c r="K647" s="2"/>
    </row>
    <row r="648" spans="1:11" x14ac:dyDescent="0.2">
      <c r="A648">
        <v>624</v>
      </c>
      <c r="B648">
        <v>2076373.0503576591</v>
      </c>
      <c r="D648" s="2"/>
      <c r="E648" s="2"/>
      <c r="F648" s="2"/>
      <c r="G648" s="2"/>
      <c r="H648" s="2"/>
      <c r="I648" s="2"/>
      <c r="J648" s="2"/>
      <c r="K648" s="2"/>
    </row>
    <row r="649" spans="1:11" x14ac:dyDescent="0.2">
      <c r="A649">
        <v>625</v>
      </c>
      <c r="B649">
        <v>2701414.4165703566</v>
      </c>
      <c r="D649" s="2"/>
      <c r="E649" s="2"/>
      <c r="F649" s="2"/>
      <c r="G649" s="2"/>
      <c r="H649" s="2"/>
      <c r="I649" s="2"/>
      <c r="J649" s="2"/>
      <c r="K649" s="2"/>
    </row>
    <row r="650" spans="1:11" x14ac:dyDescent="0.2">
      <c r="A650">
        <v>626</v>
      </c>
      <c r="B650">
        <v>827032.27703790029</v>
      </c>
      <c r="D650" s="2"/>
      <c r="E650" s="2"/>
      <c r="F650" s="2"/>
      <c r="G650" s="2"/>
      <c r="H650" s="2"/>
      <c r="I650" s="2"/>
      <c r="J650" s="2"/>
      <c r="K650" s="2"/>
    </row>
    <row r="651" spans="1:11" x14ac:dyDescent="0.2">
      <c r="A651">
        <v>627</v>
      </c>
      <c r="B651">
        <v>7459995.926783015</v>
      </c>
      <c r="D651" s="2"/>
      <c r="E651" s="2"/>
      <c r="F651" s="2"/>
      <c r="G651" s="2"/>
      <c r="H651" s="2"/>
      <c r="I651" s="2"/>
      <c r="J651" s="2"/>
      <c r="K651" s="2"/>
    </row>
    <row r="652" spans="1:11" x14ac:dyDescent="0.2">
      <c r="A652">
        <v>628</v>
      </c>
      <c r="B652">
        <v>256752.78202607686</v>
      </c>
      <c r="D652" s="2"/>
      <c r="E652" s="2"/>
      <c r="F652" s="2"/>
      <c r="G652" s="2"/>
      <c r="H652" s="2"/>
      <c r="I652" s="2"/>
      <c r="J652" s="2"/>
      <c r="K652" s="2"/>
    </row>
    <row r="653" spans="1:11" x14ac:dyDescent="0.2">
      <c r="A653">
        <v>629</v>
      </c>
      <c r="B653">
        <v>5817672.3497722344</v>
      </c>
      <c r="D653" s="2"/>
      <c r="E653" s="2"/>
      <c r="F653" s="2"/>
      <c r="G653" s="2"/>
      <c r="H653" s="2"/>
      <c r="I653" s="2"/>
      <c r="J653" s="2"/>
      <c r="K653" s="2"/>
    </row>
    <row r="654" spans="1:11" x14ac:dyDescent="0.2">
      <c r="A654">
        <v>630</v>
      </c>
      <c r="B654">
        <v>1344119.4389201566</v>
      </c>
      <c r="D654" s="2"/>
      <c r="E654" s="2"/>
      <c r="F654" s="2"/>
      <c r="G654" s="2"/>
      <c r="H654" s="2"/>
      <c r="I654" s="2"/>
      <c r="J654" s="2"/>
      <c r="K654" s="2"/>
    </row>
    <row r="655" spans="1:11" x14ac:dyDescent="0.2">
      <c r="A655">
        <v>631</v>
      </c>
      <c r="B655">
        <v>1892584.4312438527</v>
      </c>
      <c r="D655" s="2"/>
      <c r="E655" s="2"/>
      <c r="F655" s="2"/>
      <c r="G655" s="2"/>
      <c r="H655" s="2"/>
      <c r="I655" s="2"/>
      <c r="J655" s="2"/>
      <c r="K655" s="2"/>
    </row>
    <row r="656" spans="1:11" x14ac:dyDescent="0.2">
      <c r="A656">
        <v>632</v>
      </c>
      <c r="B656">
        <v>1594526.8575069765</v>
      </c>
      <c r="D656" s="2"/>
      <c r="E656" s="2"/>
      <c r="F656" s="2"/>
      <c r="G656" s="2"/>
      <c r="H656" s="2"/>
      <c r="I656" s="2"/>
      <c r="J656" s="2"/>
      <c r="K656" s="2"/>
    </row>
    <row r="657" spans="1:11" x14ac:dyDescent="0.2">
      <c r="A657">
        <v>633</v>
      </c>
      <c r="B657">
        <v>4236589.4678999875</v>
      </c>
      <c r="D657" s="2"/>
      <c r="E657" s="2"/>
      <c r="F657" s="2"/>
      <c r="G657" s="2"/>
      <c r="H657" s="2"/>
      <c r="I657" s="2"/>
      <c r="J657" s="2"/>
      <c r="K657" s="2"/>
    </row>
    <row r="658" spans="1:11" x14ac:dyDescent="0.2">
      <c r="A658">
        <v>634</v>
      </c>
      <c r="B658">
        <v>4086100.1788672963</v>
      </c>
      <c r="D658" s="2"/>
      <c r="E658" s="2"/>
      <c r="F658" s="2"/>
      <c r="G658" s="2"/>
      <c r="H658" s="2"/>
      <c r="I658" s="2"/>
      <c r="J658" s="2"/>
      <c r="K658" s="2"/>
    </row>
    <row r="659" spans="1:11" x14ac:dyDescent="0.2">
      <c r="A659">
        <v>635</v>
      </c>
      <c r="B659">
        <v>3155737.9494517595</v>
      </c>
      <c r="D659" s="2"/>
      <c r="E659" s="2"/>
      <c r="F659" s="2"/>
      <c r="G659" s="2"/>
      <c r="H659" s="2"/>
      <c r="I659" s="2"/>
      <c r="J659" s="2"/>
      <c r="K659" s="2"/>
    </row>
    <row r="660" spans="1:11" x14ac:dyDescent="0.2">
      <c r="A660">
        <v>636</v>
      </c>
      <c r="B660">
        <v>4076304.7635813984</v>
      </c>
      <c r="D660" s="2"/>
      <c r="E660" s="2"/>
      <c r="F660" s="2"/>
      <c r="G660" s="2"/>
      <c r="H660" s="2"/>
      <c r="I660" s="2"/>
      <c r="J660" s="2"/>
      <c r="K660" s="2"/>
    </row>
    <row r="661" spans="1:11" x14ac:dyDescent="0.2">
      <c r="A661">
        <v>637</v>
      </c>
      <c r="B661">
        <v>-3080038.8519100868</v>
      </c>
      <c r="D661" s="2"/>
      <c r="E661" s="2"/>
      <c r="F661" s="2"/>
      <c r="G661" s="2"/>
      <c r="H661" s="2"/>
      <c r="I661" s="2"/>
      <c r="J661" s="2"/>
      <c r="K661" s="2"/>
    </row>
    <row r="662" spans="1:11" x14ac:dyDescent="0.2">
      <c r="A662">
        <v>638</v>
      </c>
      <c r="B662">
        <v>3095782.1740110321</v>
      </c>
      <c r="D662" s="2"/>
      <c r="E662" s="2"/>
      <c r="F662" s="2"/>
      <c r="G662" s="2"/>
      <c r="H662" s="2"/>
      <c r="I662" s="2"/>
      <c r="J662" s="2"/>
      <c r="K662" s="2"/>
    </row>
    <row r="663" spans="1:11" x14ac:dyDescent="0.2">
      <c r="A663">
        <v>639</v>
      </c>
      <c r="B663">
        <v>2723959.1737007019</v>
      </c>
      <c r="D663" s="2"/>
      <c r="E663" s="2"/>
      <c r="F663" s="2"/>
      <c r="G663" s="2"/>
      <c r="H663" s="2"/>
      <c r="I663" s="2"/>
      <c r="J663" s="2"/>
      <c r="K663" s="2"/>
    </row>
    <row r="664" spans="1:11" x14ac:dyDescent="0.2">
      <c r="A664">
        <v>640</v>
      </c>
      <c r="B664">
        <v>3566385.1162547376</v>
      </c>
      <c r="D664" s="2"/>
      <c r="E664" s="2"/>
      <c r="F664" s="2"/>
      <c r="G664" s="2"/>
      <c r="H664" s="2"/>
      <c r="I664" s="2"/>
      <c r="J664" s="2"/>
      <c r="K664" s="2"/>
    </row>
    <row r="665" spans="1:11" x14ac:dyDescent="0.2">
      <c r="A665">
        <v>641</v>
      </c>
      <c r="B665">
        <v>-327068.57935229701</v>
      </c>
      <c r="D665" s="2"/>
      <c r="E665" s="2"/>
      <c r="F665" s="2"/>
      <c r="G665" s="2"/>
      <c r="H665" s="2"/>
      <c r="I665" s="2"/>
      <c r="J665" s="2"/>
      <c r="K665" s="2"/>
    </row>
    <row r="666" spans="1:11" x14ac:dyDescent="0.2">
      <c r="A666">
        <v>642</v>
      </c>
      <c r="B666">
        <v>21568719.358719852</v>
      </c>
      <c r="D666" s="2"/>
      <c r="E666" s="2"/>
      <c r="F666" s="2"/>
      <c r="G666" s="2"/>
      <c r="H666" s="2"/>
      <c r="I666" s="2"/>
      <c r="J666" s="2"/>
      <c r="K666" s="2"/>
    </row>
    <row r="667" spans="1:11" x14ac:dyDescent="0.2">
      <c r="A667">
        <v>643</v>
      </c>
      <c r="B667">
        <v>5962242.6030127481</v>
      </c>
      <c r="D667" s="2"/>
      <c r="E667" s="2"/>
      <c r="F667" s="2"/>
      <c r="G667" s="2"/>
      <c r="H667" s="2"/>
      <c r="I667" s="2"/>
      <c r="J667" s="2"/>
      <c r="K667" s="2"/>
    </row>
    <row r="668" spans="1:11" x14ac:dyDescent="0.2">
      <c r="A668">
        <v>644</v>
      </c>
      <c r="B668">
        <v>1521731.6029953104</v>
      </c>
      <c r="D668" s="2"/>
      <c r="E668" s="2"/>
      <c r="F668" s="2"/>
      <c r="G668" s="2"/>
      <c r="H668" s="2"/>
      <c r="I668" s="2"/>
      <c r="J668" s="2"/>
      <c r="K668" s="2"/>
    </row>
    <row r="669" spans="1:11" x14ac:dyDescent="0.2">
      <c r="A669">
        <v>645</v>
      </c>
      <c r="B669">
        <v>11186864.975508215</v>
      </c>
      <c r="D669" s="2"/>
      <c r="E669" s="2"/>
      <c r="F669" s="2"/>
      <c r="G669" s="2"/>
      <c r="H669" s="2"/>
      <c r="I669" s="2"/>
      <c r="J669" s="2"/>
      <c r="K669" s="2"/>
    </row>
    <row r="670" spans="1:11" x14ac:dyDescent="0.2">
      <c r="A670">
        <v>646</v>
      </c>
      <c r="B670">
        <v>9615997.1756570004</v>
      </c>
      <c r="D670" s="2"/>
      <c r="E670" s="2"/>
      <c r="F670" s="2"/>
      <c r="G670" s="2"/>
      <c r="H670" s="2"/>
      <c r="I670" s="2"/>
      <c r="J670" s="2"/>
      <c r="K670" s="2"/>
    </row>
    <row r="671" spans="1:11" x14ac:dyDescent="0.2">
      <c r="A671">
        <v>647</v>
      </c>
      <c r="B671">
        <v>-1171027.0264003591</v>
      </c>
      <c r="D671" s="2"/>
      <c r="E671" s="2"/>
      <c r="F671" s="2"/>
      <c r="G671" s="2"/>
      <c r="H671" s="2"/>
      <c r="I671" s="2"/>
      <c r="J671" s="2"/>
      <c r="K671" s="2"/>
    </row>
    <row r="672" spans="1:11" x14ac:dyDescent="0.2">
      <c r="A672">
        <v>648</v>
      </c>
      <c r="B672">
        <v>8243786.5845995881</v>
      </c>
      <c r="D672" s="2"/>
      <c r="E672" s="2"/>
      <c r="F672" s="2"/>
      <c r="G672" s="2"/>
      <c r="H672" s="2"/>
      <c r="I672" s="2"/>
      <c r="J672" s="2"/>
      <c r="K672" s="2"/>
    </row>
    <row r="673" spans="1:11" x14ac:dyDescent="0.2">
      <c r="A673">
        <v>649</v>
      </c>
      <c r="B673">
        <v>1128731.8002947601</v>
      </c>
      <c r="D673" s="2"/>
      <c r="E673" s="2"/>
      <c r="F673" s="2"/>
      <c r="G673" s="2"/>
      <c r="H673" s="2"/>
      <c r="I673" s="2"/>
      <c r="J673" s="2"/>
      <c r="K673" s="2"/>
    </row>
    <row r="674" spans="1:11" x14ac:dyDescent="0.2">
      <c r="A674">
        <v>650</v>
      </c>
      <c r="B674">
        <v>9554312.4066603966</v>
      </c>
      <c r="D674" s="2"/>
      <c r="E674" s="2"/>
      <c r="F674" s="2"/>
      <c r="G674" s="2"/>
      <c r="H674" s="2"/>
      <c r="I674" s="2"/>
      <c r="J674" s="2"/>
      <c r="K674" s="2"/>
    </row>
    <row r="675" spans="1:11" x14ac:dyDescent="0.2">
      <c r="A675">
        <v>651</v>
      </c>
      <c r="B675">
        <v>3723870.713314672</v>
      </c>
      <c r="D675" s="2"/>
      <c r="E675" s="2"/>
      <c r="F675" s="2"/>
      <c r="G675" s="2"/>
      <c r="H675" s="2"/>
      <c r="I675" s="2"/>
      <c r="J675" s="2"/>
      <c r="K675" s="2"/>
    </row>
    <row r="676" spans="1:11" x14ac:dyDescent="0.2">
      <c r="A676">
        <v>652</v>
      </c>
      <c r="B676">
        <v>658504.01888165018</v>
      </c>
      <c r="D676" s="2"/>
      <c r="E676" s="2"/>
      <c r="F676" s="2"/>
      <c r="G676" s="2"/>
      <c r="H676" s="2"/>
      <c r="I676" s="2"/>
      <c r="J676" s="2"/>
      <c r="K676" s="2"/>
    </row>
    <row r="677" spans="1:11" x14ac:dyDescent="0.2">
      <c r="A677">
        <v>653</v>
      </c>
      <c r="B677">
        <v>12089676.193024339</v>
      </c>
      <c r="D677" s="2"/>
      <c r="E677" s="2"/>
      <c r="F677" s="2"/>
      <c r="G677" s="2"/>
      <c r="H677" s="2"/>
      <c r="I677" s="2"/>
      <c r="J677" s="2"/>
      <c r="K677" s="2"/>
    </row>
    <row r="678" spans="1:11" x14ac:dyDescent="0.2">
      <c r="A678">
        <v>654</v>
      </c>
      <c r="B678">
        <v>660460.43389900122</v>
      </c>
      <c r="D678" s="2"/>
      <c r="E678" s="2"/>
      <c r="F678" s="2"/>
      <c r="G678" s="2"/>
      <c r="H678" s="2"/>
      <c r="I678" s="2"/>
      <c r="J678" s="2"/>
      <c r="K678" s="2"/>
    </row>
    <row r="679" spans="1:11" x14ac:dyDescent="0.2">
      <c r="A679">
        <v>655</v>
      </c>
      <c r="B679">
        <v>4179921.3914711489</v>
      </c>
      <c r="D679" s="2"/>
      <c r="E679" s="2"/>
      <c r="F679" s="2"/>
      <c r="G679" s="2"/>
      <c r="H679" s="2"/>
      <c r="I679" s="2"/>
      <c r="J679" s="2"/>
      <c r="K679" s="2"/>
    </row>
    <row r="680" spans="1:11" x14ac:dyDescent="0.2">
      <c r="A680">
        <v>656</v>
      </c>
      <c r="B680">
        <v>3802783.8741586888</v>
      </c>
      <c r="D680" s="2"/>
      <c r="E680" s="2"/>
      <c r="F680" s="2"/>
      <c r="G680" s="2"/>
      <c r="H680" s="2"/>
      <c r="I680" s="2"/>
      <c r="J680" s="2"/>
      <c r="K680" s="2"/>
    </row>
    <row r="681" spans="1:11" x14ac:dyDescent="0.2">
      <c r="A681">
        <v>657</v>
      </c>
      <c r="B681">
        <v>6033661.8080953956</v>
      </c>
      <c r="D681" s="2"/>
      <c r="E681" s="2"/>
      <c r="F681" s="2"/>
      <c r="G681" s="2"/>
      <c r="H681" s="2"/>
      <c r="I681" s="2"/>
      <c r="J681" s="2"/>
      <c r="K681" s="2"/>
    </row>
    <row r="682" spans="1:11" x14ac:dyDescent="0.2">
      <c r="A682">
        <v>658</v>
      </c>
      <c r="B682">
        <v>-393400.02861984243</v>
      </c>
      <c r="D682" s="2"/>
      <c r="E682" s="2"/>
      <c r="F682" s="2"/>
      <c r="G682" s="2"/>
      <c r="H682" s="2"/>
      <c r="I682" s="2"/>
      <c r="J682" s="2"/>
      <c r="K682" s="2"/>
    </row>
    <row r="683" spans="1:11" x14ac:dyDescent="0.2">
      <c r="A683">
        <v>659</v>
      </c>
      <c r="B683">
        <v>3591332.5215150532</v>
      </c>
      <c r="D683" s="2"/>
      <c r="E683" s="2"/>
      <c r="F683" s="2"/>
      <c r="G683" s="2"/>
      <c r="H683" s="2"/>
      <c r="I683" s="2"/>
      <c r="J683" s="2"/>
      <c r="K683" s="2"/>
    </row>
    <row r="684" spans="1:11" x14ac:dyDescent="0.2">
      <c r="A684">
        <v>660</v>
      </c>
      <c r="B684">
        <v>2937324.2268197373</v>
      </c>
      <c r="D684" s="2"/>
      <c r="E684" s="2"/>
      <c r="F684" s="2"/>
      <c r="G684" s="2"/>
      <c r="H684" s="2"/>
      <c r="I684" s="2"/>
      <c r="J684" s="2"/>
      <c r="K684" s="2"/>
    </row>
    <row r="685" spans="1:11" x14ac:dyDescent="0.2">
      <c r="A685">
        <v>661</v>
      </c>
      <c r="B685">
        <v>-853855.77018816094</v>
      </c>
      <c r="D685" s="2"/>
      <c r="E685" s="2"/>
      <c r="F685" s="2"/>
      <c r="G685" s="2"/>
      <c r="H685" s="2"/>
      <c r="I685" s="2"/>
      <c r="J685" s="2"/>
      <c r="K685" s="2"/>
    </row>
    <row r="686" spans="1:11" x14ac:dyDescent="0.2">
      <c r="A686">
        <v>662</v>
      </c>
      <c r="B686">
        <v>1186188.03050468</v>
      </c>
      <c r="D686" s="2"/>
      <c r="E686" s="2"/>
      <c r="F686" s="2"/>
      <c r="G686" s="2"/>
      <c r="H686" s="2"/>
      <c r="I686" s="2"/>
      <c r="J686" s="2"/>
      <c r="K686" s="2"/>
    </row>
    <row r="687" spans="1:11" x14ac:dyDescent="0.2">
      <c r="A687">
        <v>663</v>
      </c>
      <c r="B687">
        <v>1592919.5653602134</v>
      </c>
      <c r="D687" s="2"/>
      <c r="E687" s="2"/>
      <c r="F687" s="2"/>
      <c r="G687" s="2"/>
      <c r="H687" s="2"/>
      <c r="I687" s="2"/>
      <c r="J687" s="2"/>
      <c r="K687" s="2"/>
    </row>
    <row r="688" spans="1:11" x14ac:dyDescent="0.2">
      <c r="A688">
        <v>664</v>
      </c>
      <c r="B688">
        <v>4061754.4806465474</v>
      </c>
      <c r="D688" s="2"/>
      <c r="E688" s="2"/>
      <c r="F688" s="2"/>
      <c r="G688" s="2"/>
      <c r="H688" s="2"/>
      <c r="I688" s="2"/>
      <c r="J688" s="2"/>
      <c r="K688" s="2"/>
    </row>
    <row r="689" spans="1:11" x14ac:dyDescent="0.2">
      <c r="A689">
        <v>665</v>
      </c>
      <c r="B689">
        <v>1426499.5103956228</v>
      </c>
      <c r="D689" s="2"/>
      <c r="E689" s="2"/>
      <c r="F689" s="2"/>
      <c r="G689" s="2"/>
      <c r="H689" s="2"/>
      <c r="I689" s="2"/>
      <c r="J689" s="2"/>
      <c r="K689" s="2"/>
    </row>
    <row r="690" spans="1:11" x14ac:dyDescent="0.2">
      <c r="A690">
        <v>666</v>
      </c>
      <c r="B690">
        <v>3236679.983049199</v>
      </c>
      <c r="D690" s="2"/>
      <c r="E690" s="2"/>
      <c r="F690" s="2"/>
      <c r="G690" s="2"/>
      <c r="H690" s="2"/>
      <c r="I690" s="2"/>
      <c r="J690" s="2"/>
      <c r="K690" s="2"/>
    </row>
    <row r="691" spans="1:11" x14ac:dyDescent="0.2">
      <c r="A691">
        <v>667</v>
      </c>
      <c r="B691">
        <v>862195.38548450416</v>
      </c>
      <c r="D691" s="2"/>
      <c r="E691" s="2"/>
      <c r="F691" s="2"/>
      <c r="G691" s="2"/>
      <c r="H691" s="2"/>
      <c r="I691" s="2"/>
      <c r="J691" s="2"/>
      <c r="K691" s="2"/>
    </row>
    <row r="692" spans="1:11" x14ac:dyDescent="0.2">
      <c r="A692">
        <v>668</v>
      </c>
      <c r="B692">
        <v>-640193.77235408407</v>
      </c>
      <c r="D692" s="2"/>
      <c r="E692" s="2"/>
      <c r="F692" s="2"/>
      <c r="G692" s="2"/>
      <c r="H692" s="2"/>
      <c r="I692" s="2"/>
      <c r="J692" s="2"/>
      <c r="K692" s="2"/>
    </row>
    <row r="693" spans="1:11" x14ac:dyDescent="0.2">
      <c r="A693">
        <v>669</v>
      </c>
      <c r="B693">
        <v>3101731.221293564</v>
      </c>
      <c r="D693" s="2"/>
      <c r="E693" s="2"/>
      <c r="F693" s="2"/>
      <c r="G693" s="2"/>
      <c r="H693" s="2"/>
      <c r="I693" s="2"/>
      <c r="J693" s="2"/>
      <c r="K693" s="2"/>
    </row>
    <row r="694" spans="1:11" x14ac:dyDescent="0.2">
      <c r="A694">
        <v>670</v>
      </c>
      <c r="B694">
        <v>2588702.1370950853</v>
      </c>
      <c r="D694" s="2"/>
      <c r="E694" s="2"/>
      <c r="F694" s="2"/>
      <c r="G694" s="2"/>
      <c r="H694" s="2"/>
      <c r="I694" s="2"/>
      <c r="J694" s="2"/>
      <c r="K694" s="2"/>
    </row>
    <row r="695" spans="1:11" x14ac:dyDescent="0.2">
      <c r="A695">
        <v>671</v>
      </c>
      <c r="B695">
        <v>376009.91659058235</v>
      </c>
      <c r="D695" s="2"/>
      <c r="E695" s="2"/>
      <c r="F695" s="2"/>
      <c r="G695" s="2"/>
      <c r="H695" s="2"/>
      <c r="I695" s="2"/>
      <c r="J695" s="2"/>
      <c r="K695" s="2"/>
    </row>
    <row r="696" spans="1:11" x14ac:dyDescent="0.2">
      <c r="A696">
        <v>672</v>
      </c>
      <c r="B696">
        <v>4580373.0233974112</v>
      </c>
      <c r="D696" s="2"/>
      <c r="E696" s="2"/>
      <c r="F696" s="2"/>
      <c r="G696" s="2"/>
      <c r="H696" s="2"/>
      <c r="I696" s="2"/>
      <c r="J696" s="2"/>
      <c r="K696" s="2"/>
    </row>
    <row r="697" spans="1:11" x14ac:dyDescent="0.2">
      <c r="A697">
        <v>673</v>
      </c>
      <c r="B697">
        <v>-1019131.2704686809</v>
      </c>
      <c r="D697" s="2"/>
      <c r="E697" s="2"/>
      <c r="F697" s="2"/>
      <c r="G697" s="2"/>
      <c r="H697" s="2"/>
      <c r="I697" s="2"/>
      <c r="J697" s="2"/>
      <c r="K697" s="2"/>
    </row>
    <row r="698" spans="1:11" x14ac:dyDescent="0.2">
      <c r="A698">
        <v>674</v>
      </c>
      <c r="B698">
        <v>4215530.4136056947</v>
      </c>
      <c r="D698" s="2"/>
      <c r="E698" s="2"/>
      <c r="F698" s="2"/>
      <c r="G698" s="2"/>
      <c r="H698" s="2"/>
      <c r="I698" s="2"/>
      <c r="J698" s="2"/>
      <c r="K698" s="2"/>
    </row>
    <row r="699" spans="1:11" x14ac:dyDescent="0.2">
      <c r="A699">
        <v>675</v>
      </c>
      <c r="B699">
        <v>8687510.0903129838</v>
      </c>
      <c r="D699" s="2"/>
      <c r="E699" s="2"/>
      <c r="F699" s="2"/>
      <c r="G699" s="2"/>
      <c r="H699" s="2"/>
      <c r="I699" s="2"/>
      <c r="J699" s="2"/>
      <c r="K699" s="2"/>
    </row>
    <row r="700" spans="1:11" x14ac:dyDescent="0.2">
      <c r="A700">
        <v>676</v>
      </c>
      <c r="B700">
        <v>10032399.923564492</v>
      </c>
      <c r="D700" s="2"/>
      <c r="E700" s="2"/>
      <c r="F700" s="2"/>
      <c r="G700" s="2"/>
      <c r="H700" s="2"/>
      <c r="I700" s="2"/>
      <c r="J700" s="2"/>
      <c r="K700" s="2"/>
    </row>
    <row r="701" spans="1:11" x14ac:dyDescent="0.2">
      <c r="A701">
        <v>677</v>
      </c>
      <c r="B701">
        <v>4022035.7965634898</v>
      </c>
      <c r="D701" s="2"/>
      <c r="E701" s="2"/>
      <c r="F701" s="2"/>
      <c r="G701" s="2"/>
      <c r="H701" s="2"/>
      <c r="I701" s="2"/>
      <c r="J701" s="2"/>
      <c r="K701" s="2"/>
    </row>
    <row r="702" spans="1:11" x14ac:dyDescent="0.2">
      <c r="A702">
        <v>678</v>
      </c>
      <c r="B702">
        <v>1037775.0615608897</v>
      </c>
      <c r="D702" s="2"/>
      <c r="E702" s="2"/>
      <c r="F702" s="2"/>
      <c r="G702" s="2"/>
      <c r="H702" s="2"/>
      <c r="I702" s="2"/>
      <c r="J702" s="2"/>
      <c r="K702" s="2"/>
    </row>
    <row r="703" spans="1:11" x14ac:dyDescent="0.2">
      <c r="A703">
        <v>679</v>
      </c>
      <c r="B703">
        <v>3294647.9647574625</v>
      </c>
      <c r="D703" s="2"/>
      <c r="E703" s="2"/>
      <c r="F703" s="2"/>
      <c r="G703" s="2"/>
      <c r="H703" s="2"/>
      <c r="I703" s="2"/>
      <c r="J703" s="2"/>
      <c r="K703" s="2"/>
    </row>
    <row r="704" spans="1:11" x14ac:dyDescent="0.2">
      <c r="A704">
        <v>680</v>
      </c>
      <c r="B704">
        <v>2291820.2150007831</v>
      </c>
      <c r="D704" s="2"/>
      <c r="E704" s="2"/>
      <c r="F704" s="2"/>
      <c r="G704" s="2"/>
      <c r="H704" s="2"/>
      <c r="I704" s="2"/>
      <c r="J704" s="2"/>
      <c r="K704" s="2"/>
    </row>
    <row r="705" spans="1:11" x14ac:dyDescent="0.2">
      <c r="A705">
        <v>681</v>
      </c>
      <c r="B705">
        <v>969454.02136003179</v>
      </c>
      <c r="D705" s="2"/>
      <c r="E705" s="2"/>
      <c r="F705" s="2"/>
      <c r="G705" s="2"/>
      <c r="H705" s="2"/>
      <c r="I705" s="2"/>
      <c r="J705" s="2"/>
      <c r="K705" s="2"/>
    </row>
    <row r="706" spans="1:11" x14ac:dyDescent="0.2">
      <c r="A706">
        <v>682</v>
      </c>
      <c r="B706">
        <v>9036271.9635759853</v>
      </c>
      <c r="D706" s="2"/>
      <c r="E706" s="2"/>
      <c r="F706" s="2"/>
      <c r="G706" s="2"/>
      <c r="H706" s="2"/>
      <c r="I706" s="2"/>
      <c r="J706" s="2"/>
      <c r="K706" s="2"/>
    </row>
    <row r="707" spans="1:11" x14ac:dyDescent="0.2">
      <c r="A707">
        <v>683</v>
      </c>
      <c r="B707">
        <v>12919553.51620681</v>
      </c>
      <c r="D707" s="2"/>
      <c r="E707" s="2"/>
      <c r="F707" s="2"/>
      <c r="G707" s="2"/>
      <c r="H707" s="2"/>
      <c r="I707" s="2"/>
      <c r="J707" s="2"/>
      <c r="K707" s="2"/>
    </row>
    <row r="708" spans="1:11" x14ac:dyDescent="0.2">
      <c r="A708">
        <v>684</v>
      </c>
      <c r="B708">
        <v>11414483.863412648</v>
      </c>
      <c r="D708" s="2"/>
      <c r="E708" s="2"/>
      <c r="F708" s="2"/>
      <c r="G708" s="2"/>
      <c r="H708" s="2"/>
      <c r="I708" s="2"/>
      <c r="J708" s="2"/>
      <c r="K708" s="2"/>
    </row>
    <row r="709" spans="1:11" x14ac:dyDescent="0.2">
      <c r="A709">
        <v>685</v>
      </c>
      <c r="B709">
        <v>8658636.6549996957</v>
      </c>
      <c r="D709" s="2"/>
      <c r="E709" s="2"/>
      <c r="F709" s="2"/>
      <c r="G709" s="2"/>
      <c r="H709" s="2"/>
      <c r="I709" s="2"/>
      <c r="J709" s="2"/>
      <c r="K709" s="2"/>
    </row>
    <row r="710" spans="1:11" x14ac:dyDescent="0.2">
      <c r="A710">
        <v>686</v>
      </c>
      <c r="B710">
        <v>4200425.2396081695</v>
      </c>
      <c r="D710" s="2"/>
      <c r="E710" s="2"/>
      <c r="F710" s="2"/>
      <c r="G710" s="2"/>
      <c r="H710" s="2"/>
      <c r="I710" s="2"/>
      <c r="J710" s="2"/>
      <c r="K710" s="2"/>
    </row>
    <row r="711" spans="1:11" x14ac:dyDescent="0.2">
      <c r="A711">
        <v>687</v>
      </c>
      <c r="B711">
        <v>1295648.9037125295</v>
      </c>
      <c r="D711" s="2"/>
      <c r="E711" s="2"/>
      <c r="F711" s="2"/>
      <c r="G711" s="2"/>
      <c r="H711" s="2"/>
      <c r="I711" s="2"/>
      <c r="J711" s="2"/>
      <c r="K711" s="2"/>
    </row>
    <row r="712" spans="1:11" x14ac:dyDescent="0.2">
      <c r="A712">
        <v>688</v>
      </c>
      <c r="B712">
        <v>3579690.6309738741</v>
      </c>
      <c r="D712" s="2"/>
      <c r="E712" s="2"/>
      <c r="F712" s="2"/>
      <c r="G712" s="2"/>
      <c r="H712" s="2"/>
      <c r="I712" s="2"/>
      <c r="J712" s="2"/>
      <c r="K712" s="2"/>
    </row>
    <row r="713" spans="1:11" x14ac:dyDescent="0.2">
      <c r="A713">
        <v>689</v>
      </c>
      <c r="B713">
        <v>6308743.7891539056</v>
      </c>
      <c r="D713" s="2"/>
      <c r="E713" s="2"/>
      <c r="F713" s="2"/>
      <c r="G713" s="2"/>
      <c r="H713" s="2"/>
      <c r="I713" s="2"/>
      <c r="J713" s="2"/>
      <c r="K713" s="2"/>
    </row>
    <row r="714" spans="1:11" x14ac:dyDescent="0.2">
      <c r="A714">
        <v>690</v>
      </c>
      <c r="B714">
        <v>2395284.1219753674</v>
      </c>
      <c r="D714" s="2"/>
      <c r="E714" s="2"/>
      <c r="F714" s="2"/>
      <c r="G714" s="2"/>
      <c r="H714" s="2"/>
      <c r="I714" s="2"/>
      <c r="J714" s="2"/>
      <c r="K714" s="2"/>
    </row>
    <row r="715" spans="1:11" x14ac:dyDescent="0.2">
      <c r="A715">
        <v>691</v>
      </c>
      <c r="B715">
        <v>7675783.0935614891</v>
      </c>
      <c r="D715" s="2"/>
      <c r="E715" s="2"/>
      <c r="F715" s="2"/>
      <c r="G715" s="2"/>
      <c r="H715" s="2"/>
      <c r="I715" s="2"/>
      <c r="J715" s="2"/>
      <c r="K715" s="2"/>
    </row>
    <row r="716" spans="1:11" x14ac:dyDescent="0.2">
      <c r="A716">
        <v>692</v>
      </c>
      <c r="B716">
        <v>1966150.5354918004</v>
      </c>
      <c r="D716" s="2"/>
      <c r="E716" s="2"/>
      <c r="F716" s="2"/>
      <c r="G716" s="2"/>
      <c r="H716" s="2"/>
      <c r="I716" s="2"/>
      <c r="J716" s="2"/>
      <c r="K716" s="2"/>
    </row>
    <row r="717" spans="1:11" x14ac:dyDescent="0.2">
      <c r="A717">
        <v>693</v>
      </c>
      <c r="B717">
        <v>-248557.21775377644</v>
      </c>
      <c r="D717" s="2"/>
      <c r="E717" s="2"/>
      <c r="F717" s="2"/>
      <c r="G717" s="2"/>
      <c r="H717" s="2"/>
      <c r="I717" s="2"/>
      <c r="J717" s="2"/>
      <c r="K717" s="2"/>
    </row>
    <row r="718" spans="1:11" x14ac:dyDescent="0.2">
      <c r="A718">
        <v>694</v>
      </c>
      <c r="B718">
        <v>2904731.0268502058</v>
      </c>
      <c r="D718" s="2"/>
      <c r="E718" s="2"/>
      <c r="F718" s="2"/>
      <c r="G718" s="2"/>
      <c r="H718" s="2"/>
      <c r="I718" s="2"/>
      <c r="J718" s="2"/>
      <c r="K718" s="2"/>
    </row>
    <row r="719" spans="1:11" x14ac:dyDescent="0.2">
      <c r="A719">
        <v>695</v>
      </c>
      <c r="B719">
        <v>-248878.79820145137</v>
      </c>
      <c r="D719" s="2"/>
      <c r="E719" s="2"/>
      <c r="F719" s="2"/>
      <c r="G719" s="2"/>
      <c r="H719" s="2"/>
      <c r="I719" s="2"/>
      <c r="J719" s="2"/>
      <c r="K719" s="2"/>
    </row>
    <row r="720" spans="1:11" x14ac:dyDescent="0.2">
      <c r="A720">
        <v>696</v>
      </c>
      <c r="B720">
        <v>3008453.1812614053</v>
      </c>
      <c r="D720" s="2"/>
      <c r="E720" s="2"/>
      <c r="F720" s="2"/>
      <c r="G720" s="2"/>
      <c r="H720" s="2"/>
      <c r="I720" s="2"/>
      <c r="J720" s="2"/>
      <c r="K720" s="2"/>
    </row>
    <row r="721" spans="1:11" x14ac:dyDescent="0.2">
      <c r="A721">
        <v>697</v>
      </c>
      <c r="B721">
        <v>596083.93779879564</v>
      </c>
      <c r="D721" s="2"/>
      <c r="E721" s="2"/>
      <c r="F721" s="2"/>
      <c r="G721" s="2"/>
      <c r="H721" s="2"/>
      <c r="I721" s="2"/>
      <c r="J721" s="2"/>
      <c r="K721" s="2"/>
    </row>
    <row r="722" spans="1:11" x14ac:dyDescent="0.2">
      <c r="A722">
        <v>698</v>
      </c>
      <c r="B722">
        <v>-757293.58207413193</v>
      </c>
      <c r="D722" s="2"/>
      <c r="E722" s="2"/>
      <c r="F722" s="2"/>
      <c r="G722" s="2"/>
      <c r="H722" s="2"/>
      <c r="I722" s="2"/>
      <c r="J722" s="2"/>
      <c r="K722" s="2"/>
    </row>
    <row r="723" spans="1:11" x14ac:dyDescent="0.2">
      <c r="A723">
        <v>699</v>
      </c>
      <c r="B723">
        <v>1151787.2492609445</v>
      </c>
      <c r="D723" s="2"/>
      <c r="E723" s="2"/>
      <c r="F723" s="2"/>
      <c r="G723" s="2"/>
      <c r="H723" s="2"/>
      <c r="I723" s="2"/>
      <c r="J723" s="2"/>
      <c r="K723" s="2"/>
    </row>
    <row r="724" spans="1:11" x14ac:dyDescent="0.2">
      <c r="A724">
        <v>700</v>
      </c>
      <c r="B724">
        <v>9793716.4966854993</v>
      </c>
      <c r="D724" s="2"/>
      <c r="E724" s="2"/>
      <c r="F724" s="2"/>
      <c r="G724" s="2"/>
      <c r="H724" s="2"/>
      <c r="I724" s="2"/>
      <c r="J724" s="2"/>
      <c r="K724" s="2"/>
    </row>
    <row r="725" spans="1:11" x14ac:dyDescent="0.2">
      <c r="A725">
        <v>701</v>
      </c>
      <c r="B725">
        <v>14694428.273864811</v>
      </c>
      <c r="D725" s="2"/>
      <c r="E725" s="2"/>
      <c r="F725" s="2"/>
      <c r="G725" s="2"/>
      <c r="H725" s="2"/>
      <c r="I725" s="2"/>
      <c r="J725" s="2"/>
      <c r="K725" s="2"/>
    </row>
    <row r="726" spans="1:11" x14ac:dyDescent="0.2">
      <c r="A726">
        <v>702</v>
      </c>
      <c r="B726">
        <v>1840327.3939840358</v>
      </c>
      <c r="D726" s="2"/>
      <c r="E726" s="2"/>
      <c r="F726" s="2"/>
      <c r="G726" s="2"/>
      <c r="H726" s="2"/>
      <c r="I726" s="2"/>
      <c r="J726" s="2"/>
      <c r="K726" s="2"/>
    </row>
    <row r="727" spans="1:11" x14ac:dyDescent="0.2">
      <c r="A727">
        <v>703</v>
      </c>
      <c r="B727">
        <v>4414625.9280358963</v>
      </c>
      <c r="D727" s="2"/>
      <c r="E727" s="2"/>
      <c r="F727" s="2"/>
      <c r="G727" s="2"/>
      <c r="H727" s="2"/>
      <c r="I727" s="2"/>
      <c r="J727" s="2"/>
      <c r="K727" s="2"/>
    </row>
    <row r="728" spans="1:11" x14ac:dyDescent="0.2">
      <c r="A728">
        <v>704</v>
      </c>
      <c r="B728">
        <v>2955054.5996247754</v>
      </c>
      <c r="D728" s="2"/>
      <c r="E728" s="2"/>
      <c r="F728" s="2"/>
      <c r="G728" s="2"/>
      <c r="H728" s="2"/>
      <c r="I728" s="2"/>
      <c r="J728" s="2"/>
      <c r="K728" s="2"/>
    </row>
    <row r="729" spans="1:11" x14ac:dyDescent="0.2">
      <c r="A729">
        <v>705</v>
      </c>
      <c r="B729">
        <v>1889067.8005737597</v>
      </c>
      <c r="D729" s="2"/>
      <c r="E729" s="2"/>
      <c r="F729" s="2"/>
      <c r="G729" s="2"/>
      <c r="H729" s="2"/>
      <c r="I729" s="2"/>
      <c r="J729" s="2"/>
      <c r="K729" s="2"/>
    </row>
    <row r="730" spans="1:11" x14ac:dyDescent="0.2">
      <c r="A730">
        <v>706</v>
      </c>
      <c r="B730">
        <v>13855.278898690856</v>
      </c>
      <c r="D730" s="2"/>
      <c r="E730" s="2"/>
      <c r="F730" s="2"/>
      <c r="G730" s="2"/>
      <c r="H730" s="2"/>
      <c r="I730" s="2"/>
      <c r="J730" s="2"/>
      <c r="K730" s="2"/>
    </row>
    <row r="731" spans="1:11" x14ac:dyDescent="0.2">
      <c r="A731">
        <v>707</v>
      </c>
      <c r="B731">
        <v>2228584.6888134014</v>
      </c>
      <c r="D731" s="2"/>
      <c r="E731" s="2"/>
      <c r="F731" s="2"/>
      <c r="G731" s="2"/>
      <c r="H731" s="2"/>
      <c r="I731" s="2"/>
      <c r="J731" s="2"/>
      <c r="K731" s="2"/>
    </row>
    <row r="732" spans="1:11" x14ac:dyDescent="0.2">
      <c r="A732">
        <v>708</v>
      </c>
      <c r="B732">
        <v>13454828.94592217</v>
      </c>
      <c r="D732" s="2"/>
      <c r="E732" s="2"/>
      <c r="F732" s="2"/>
      <c r="G732" s="2"/>
      <c r="H732" s="2"/>
      <c r="I732" s="2"/>
      <c r="J732" s="2"/>
      <c r="K732" s="2"/>
    </row>
    <row r="733" spans="1:11" x14ac:dyDescent="0.2">
      <c r="A733">
        <v>709</v>
      </c>
      <c r="B733">
        <v>3753084.4873623624</v>
      </c>
      <c r="D733" s="2"/>
      <c r="E733" s="2"/>
      <c r="F733" s="2"/>
      <c r="G733" s="2"/>
      <c r="H733" s="2"/>
      <c r="I733" s="2"/>
      <c r="J733" s="2"/>
      <c r="K733" s="2"/>
    </row>
    <row r="734" spans="1:11" x14ac:dyDescent="0.2">
      <c r="A734">
        <v>710</v>
      </c>
      <c r="B734">
        <v>9778830.1294750981</v>
      </c>
      <c r="D734" s="2"/>
      <c r="E734" s="2"/>
      <c r="F734" s="2"/>
      <c r="G734" s="2"/>
      <c r="H734" s="2"/>
      <c r="I734" s="2"/>
      <c r="J734" s="2"/>
      <c r="K734" s="2"/>
    </row>
    <row r="735" spans="1:11" x14ac:dyDescent="0.2">
      <c r="A735">
        <v>711</v>
      </c>
      <c r="B735">
        <v>2638868.9280248913</v>
      </c>
      <c r="D735" s="2"/>
      <c r="E735" s="2"/>
      <c r="F735" s="2"/>
      <c r="G735" s="2"/>
      <c r="H735" s="2"/>
      <c r="I735" s="2"/>
      <c r="J735" s="2"/>
      <c r="K735" s="2"/>
    </row>
    <row r="736" spans="1:11" x14ac:dyDescent="0.2">
      <c r="A736">
        <v>712</v>
      </c>
      <c r="B736">
        <v>-780881.12087527476</v>
      </c>
      <c r="D736" s="2"/>
      <c r="E736" s="2"/>
      <c r="F736" s="2"/>
      <c r="G736" s="2"/>
      <c r="H736" s="2"/>
      <c r="I736" s="2"/>
      <c r="J736" s="2"/>
      <c r="K736" s="2"/>
    </row>
    <row r="737" spans="1:11" x14ac:dyDescent="0.2">
      <c r="A737">
        <v>713</v>
      </c>
      <c r="B737">
        <v>7055955.1605963977</v>
      </c>
      <c r="D737" s="2"/>
      <c r="E737" s="2"/>
      <c r="F737" s="2"/>
      <c r="G737" s="2"/>
      <c r="H737" s="2"/>
      <c r="I737" s="2"/>
      <c r="J737" s="2"/>
      <c r="K737" s="2"/>
    </row>
    <row r="738" spans="1:11" x14ac:dyDescent="0.2">
      <c r="A738">
        <v>714</v>
      </c>
      <c r="B738">
        <v>1758018.5925217262</v>
      </c>
      <c r="D738" s="2"/>
      <c r="E738" s="2"/>
      <c r="F738" s="2"/>
      <c r="G738" s="2"/>
      <c r="H738" s="2"/>
      <c r="I738" s="2"/>
      <c r="J738" s="2"/>
      <c r="K738" s="2"/>
    </row>
    <row r="739" spans="1:11" x14ac:dyDescent="0.2">
      <c r="A739">
        <v>715</v>
      </c>
      <c r="B739">
        <v>-1895951.0925784677</v>
      </c>
      <c r="D739" s="2"/>
      <c r="E739" s="2"/>
      <c r="F739" s="2"/>
      <c r="G739" s="2"/>
      <c r="H739" s="2"/>
      <c r="I739" s="2"/>
      <c r="J739" s="2"/>
      <c r="K739" s="2"/>
    </row>
    <row r="740" spans="1:11" x14ac:dyDescent="0.2">
      <c r="A740">
        <v>716</v>
      </c>
      <c r="B740">
        <v>4336409.3906848654</v>
      </c>
      <c r="D740" s="2"/>
      <c r="E740" s="2"/>
      <c r="F740" s="2"/>
      <c r="G740" s="2"/>
      <c r="H740" s="2"/>
      <c r="I740" s="2"/>
      <c r="J740" s="2"/>
      <c r="K740" s="2"/>
    </row>
    <row r="741" spans="1:11" x14ac:dyDescent="0.2">
      <c r="A741">
        <v>717</v>
      </c>
      <c r="B741">
        <v>1894380.4791960916</v>
      </c>
      <c r="D741" s="2"/>
      <c r="E741" s="2"/>
      <c r="F741" s="2"/>
      <c r="G741" s="2"/>
      <c r="H741" s="2"/>
      <c r="I741" s="2"/>
      <c r="J741" s="2"/>
      <c r="K741" s="2"/>
    </row>
    <row r="742" spans="1:11" x14ac:dyDescent="0.2">
      <c r="A742">
        <v>718</v>
      </c>
      <c r="B742">
        <v>-50469.555761987664</v>
      </c>
      <c r="D742" s="2"/>
      <c r="E742" s="2"/>
      <c r="F742" s="2"/>
      <c r="G742" s="2"/>
      <c r="H742" s="2"/>
      <c r="I742" s="2"/>
      <c r="J742" s="2"/>
      <c r="K742" s="2"/>
    </row>
    <row r="743" spans="1:11" x14ac:dyDescent="0.2">
      <c r="A743">
        <v>719</v>
      </c>
      <c r="B743">
        <v>1686636.3995649035</v>
      </c>
      <c r="D743" s="2"/>
      <c r="E743" s="2"/>
      <c r="F743" s="2"/>
      <c r="G743" s="2"/>
      <c r="H743" s="2"/>
      <c r="I743" s="2"/>
      <c r="J743" s="2"/>
      <c r="K743" s="2"/>
    </row>
    <row r="744" spans="1:11" x14ac:dyDescent="0.2">
      <c r="A744">
        <v>720</v>
      </c>
      <c r="B744">
        <v>1514232.9772067086</v>
      </c>
      <c r="D744" s="2"/>
      <c r="E744" s="2"/>
      <c r="F744" s="2"/>
      <c r="G744" s="2"/>
      <c r="H744" s="2"/>
      <c r="I744" s="2"/>
      <c r="J744" s="2"/>
      <c r="K744" s="2"/>
    </row>
    <row r="745" spans="1:11" x14ac:dyDescent="0.2">
      <c r="A745">
        <v>721</v>
      </c>
      <c r="B745">
        <v>2233478.8587635383</v>
      </c>
      <c r="D745" s="2"/>
      <c r="E745" s="2"/>
      <c r="F745" s="2"/>
      <c r="G745" s="2"/>
      <c r="H745" s="2"/>
      <c r="I745" s="2"/>
      <c r="J745" s="2"/>
      <c r="K745" s="2"/>
    </row>
    <row r="746" spans="1:11" x14ac:dyDescent="0.2">
      <c r="A746">
        <v>722</v>
      </c>
      <c r="B746">
        <v>-3579374.641906729</v>
      </c>
      <c r="D746" s="2"/>
      <c r="E746" s="2"/>
      <c r="F746" s="2"/>
      <c r="G746" s="2"/>
      <c r="H746" s="2"/>
      <c r="I746" s="2"/>
      <c r="J746" s="2"/>
      <c r="K746" s="2"/>
    </row>
    <row r="747" spans="1:11" x14ac:dyDescent="0.2">
      <c r="A747">
        <v>723</v>
      </c>
      <c r="B747">
        <v>4665317.0517582521</v>
      </c>
      <c r="D747" s="2"/>
      <c r="E747" s="2"/>
      <c r="F747" s="2"/>
      <c r="G747" s="2"/>
      <c r="H747" s="2"/>
      <c r="I747" s="2"/>
      <c r="J747" s="2"/>
      <c r="K747" s="2"/>
    </row>
    <row r="748" spans="1:11" x14ac:dyDescent="0.2">
      <c r="A748">
        <v>724</v>
      </c>
      <c r="B748">
        <v>3801214.4310502121</v>
      </c>
      <c r="D748" s="2"/>
      <c r="E748" s="2"/>
      <c r="F748" s="2"/>
      <c r="G748" s="2"/>
      <c r="H748" s="2"/>
      <c r="I748" s="2"/>
      <c r="J748" s="2"/>
      <c r="K748" s="2"/>
    </row>
    <row r="749" spans="1:11" x14ac:dyDescent="0.2">
      <c r="A749">
        <v>725</v>
      </c>
      <c r="B749">
        <v>-3089428.0049883956</v>
      </c>
      <c r="D749" s="2"/>
      <c r="E749" s="2"/>
      <c r="F749" s="2"/>
      <c r="G749" s="2"/>
      <c r="H749" s="2"/>
      <c r="I749" s="2"/>
      <c r="J749" s="2"/>
      <c r="K749" s="2"/>
    </row>
    <row r="750" spans="1:11" x14ac:dyDescent="0.2">
      <c r="A750">
        <v>726</v>
      </c>
      <c r="B750">
        <v>9419204.7072919328</v>
      </c>
      <c r="D750" s="2"/>
      <c r="E750" s="2"/>
      <c r="F750" s="2"/>
      <c r="G750" s="2"/>
      <c r="H750" s="2"/>
      <c r="I750" s="2"/>
      <c r="J750" s="2"/>
      <c r="K750" s="2"/>
    </row>
    <row r="751" spans="1:11" x14ac:dyDescent="0.2">
      <c r="A751">
        <v>727</v>
      </c>
      <c r="B751">
        <v>948448.03796346975</v>
      </c>
      <c r="D751" s="2"/>
      <c r="E751" s="2"/>
      <c r="F751" s="2"/>
      <c r="G751" s="2"/>
      <c r="H751" s="2"/>
      <c r="I751" s="2"/>
      <c r="J751" s="2"/>
      <c r="K751" s="2"/>
    </row>
    <row r="752" spans="1:11" x14ac:dyDescent="0.2">
      <c r="A752">
        <v>728</v>
      </c>
      <c r="B752">
        <v>149497.07506131392</v>
      </c>
      <c r="D752" s="2"/>
      <c r="E752" s="2"/>
      <c r="F752" s="2"/>
      <c r="G752" s="2"/>
      <c r="H752" s="2"/>
      <c r="I752" s="2"/>
      <c r="J752" s="2"/>
      <c r="K752" s="2"/>
    </row>
    <row r="753" spans="1:11" x14ac:dyDescent="0.2">
      <c r="A753">
        <v>729</v>
      </c>
      <c r="B753">
        <v>2925060.1724125426</v>
      </c>
      <c r="D753" s="2"/>
      <c r="E753" s="2"/>
      <c r="F753" s="2"/>
      <c r="G753" s="2"/>
      <c r="H753" s="2"/>
      <c r="I753" s="2"/>
      <c r="J753" s="2"/>
      <c r="K753" s="2"/>
    </row>
    <row r="754" spans="1:11" x14ac:dyDescent="0.2">
      <c r="A754">
        <v>730</v>
      </c>
      <c r="B754">
        <v>-1713385.5593058425</v>
      </c>
      <c r="D754" s="2"/>
      <c r="E754" s="2"/>
      <c r="F754" s="2"/>
      <c r="G754" s="2"/>
      <c r="H754" s="2"/>
      <c r="I754" s="2"/>
      <c r="J754" s="2"/>
      <c r="K754" s="2"/>
    </row>
    <row r="755" spans="1:11" x14ac:dyDescent="0.2">
      <c r="A755">
        <v>731</v>
      </c>
      <c r="B755">
        <v>4660035.3967448696</v>
      </c>
      <c r="D755" s="2"/>
      <c r="E755" s="2"/>
      <c r="F755" s="2"/>
      <c r="G755" s="2"/>
      <c r="H755" s="2"/>
      <c r="I755" s="2"/>
      <c r="J755" s="2"/>
      <c r="K755" s="2"/>
    </row>
    <row r="756" spans="1:11" x14ac:dyDescent="0.2">
      <c r="A756">
        <v>732</v>
      </c>
      <c r="B756">
        <v>2782834.2656578897</v>
      </c>
      <c r="D756" s="2"/>
      <c r="E756" s="2"/>
      <c r="F756" s="2"/>
      <c r="G756" s="2"/>
      <c r="H756" s="2"/>
      <c r="I756" s="2"/>
      <c r="J756" s="2"/>
      <c r="K756" s="2"/>
    </row>
    <row r="757" spans="1:11" x14ac:dyDescent="0.2">
      <c r="A757">
        <v>733</v>
      </c>
      <c r="B757">
        <v>19382197.187283773</v>
      </c>
      <c r="D757" s="2"/>
      <c r="E757" s="2"/>
      <c r="F757" s="2"/>
      <c r="G757" s="2"/>
      <c r="H757" s="2"/>
      <c r="I757" s="2"/>
      <c r="J757" s="2"/>
      <c r="K757" s="2"/>
    </row>
    <row r="758" spans="1:11" x14ac:dyDescent="0.2">
      <c r="A758">
        <v>734</v>
      </c>
      <c r="B758">
        <v>3191042.0995261837</v>
      </c>
      <c r="D758" s="2"/>
      <c r="E758" s="2"/>
      <c r="F758" s="2"/>
      <c r="G758" s="2"/>
      <c r="H758" s="2"/>
      <c r="I758" s="2"/>
      <c r="J758" s="2"/>
      <c r="K758" s="2"/>
    </row>
    <row r="759" spans="1:11" x14ac:dyDescent="0.2">
      <c r="A759">
        <v>735</v>
      </c>
      <c r="B759">
        <v>2293184.0569792246</v>
      </c>
      <c r="D759" s="2"/>
      <c r="E759" s="2"/>
      <c r="F759" s="2"/>
      <c r="G759" s="2"/>
      <c r="H759" s="2"/>
      <c r="I759" s="2"/>
      <c r="J759" s="2"/>
      <c r="K759" s="2"/>
    </row>
    <row r="760" spans="1:11" x14ac:dyDescent="0.2">
      <c r="A760">
        <v>736</v>
      </c>
      <c r="B760">
        <v>-2920744.7484516753</v>
      </c>
      <c r="D760" s="2"/>
      <c r="E760" s="2"/>
      <c r="F760" s="2"/>
      <c r="G760" s="2"/>
      <c r="H760" s="2"/>
      <c r="I760" s="2"/>
      <c r="J760" s="2"/>
      <c r="K760" s="2"/>
    </row>
    <row r="761" spans="1:11" x14ac:dyDescent="0.2">
      <c r="A761">
        <v>737</v>
      </c>
      <c r="B761">
        <v>3130308.2463727319</v>
      </c>
      <c r="D761" s="2"/>
      <c r="E761" s="2"/>
      <c r="F761" s="2"/>
      <c r="G761" s="2"/>
      <c r="H761" s="2"/>
      <c r="I761" s="2"/>
      <c r="J761" s="2"/>
      <c r="K761" s="2"/>
    </row>
    <row r="762" spans="1:11" x14ac:dyDescent="0.2">
      <c r="A762">
        <v>738</v>
      </c>
      <c r="B762">
        <v>5797799.4305405561</v>
      </c>
      <c r="D762" s="2"/>
      <c r="E762" s="2"/>
      <c r="F762" s="2"/>
      <c r="G762" s="2"/>
      <c r="H762" s="2"/>
      <c r="I762" s="2"/>
      <c r="J762" s="2"/>
      <c r="K762" s="2"/>
    </row>
    <row r="763" spans="1:11" x14ac:dyDescent="0.2">
      <c r="A763">
        <v>739</v>
      </c>
      <c r="B763">
        <v>2353335.2513059429</v>
      </c>
      <c r="D763" s="2"/>
      <c r="E763" s="2"/>
      <c r="F763" s="2"/>
      <c r="G763" s="2"/>
      <c r="H763" s="2"/>
      <c r="I763" s="2"/>
      <c r="J763" s="2"/>
      <c r="K763" s="2"/>
    </row>
    <row r="764" spans="1:11" x14ac:dyDescent="0.2">
      <c r="A764">
        <v>740</v>
      </c>
      <c r="B764">
        <v>9234074.7166398373</v>
      </c>
      <c r="D764" s="2"/>
      <c r="E764" s="2"/>
      <c r="F764" s="2"/>
      <c r="G764" s="2"/>
      <c r="H764" s="2"/>
      <c r="I764" s="2"/>
      <c r="J764" s="2"/>
      <c r="K764" s="2"/>
    </row>
    <row r="765" spans="1:11" x14ac:dyDescent="0.2">
      <c r="A765">
        <v>741</v>
      </c>
      <c r="B765">
        <v>3682545.5878440794</v>
      </c>
      <c r="D765" s="2"/>
      <c r="E765" s="2"/>
      <c r="F765" s="2"/>
      <c r="G765" s="2"/>
      <c r="H765" s="2"/>
      <c r="I765" s="2"/>
      <c r="J765" s="2"/>
      <c r="K765" s="2"/>
    </row>
    <row r="766" spans="1:11" x14ac:dyDescent="0.2">
      <c r="A766">
        <v>742</v>
      </c>
      <c r="B766">
        <v>4579254.2725443672</v>
      </c>
      <c r="D766" s="2"/>
      <c r="E766" s="2"/>
      <c r="F766" s="2"/>
      <c r="G766" s="2"/>
      <c r="H766" s="2"/>
      <c r="I766" s="2"/>
      <c r="J766" s="2"/>
      <c r="K766" s="2"/>
    </row>
    <row r="767" spans="1:11" x14ac:dyDescent="0.2">
      <c r="A767">
        <v>743</v>
      </c>
      <c r="B767">
        <v>9357736.3473453</v>
      </c>
      <c r="D767" s="2"/>
      <c r="E767" s="2"/>
      <c r="F767" s="2"/>
      <c r="G767" s="2"/>
      <c r="H767" s="2"/>
      <c r="I767" s="2"/>
      <c r="J767" s="2"/>
      <c r="K767" s="2"/>
    </row>
    <row r="768" spans="1:11" x14ac:dyDescent="0.2">
      <c r="A768">
        <v>744</v>
      </c>
      <c r="B768">
        <v>5349405.9569072034</v>
      </c>
      <c r="D768" s="2"/>
      <c r="E768" s="2"/>
      <c r="F768" s="2"/>
      <c r="G768" s="2"/>
      <c r="H768" s="2"/>
      <c r="I768" s="2"/>
      <c r="J768" s="2"/>
      <c r="K768" s="2"/>
    </row>
    <row r="769" spans="1:11" x14ac:dyDescent="0.2">
      <c r="A769">
        <v>745</v>
      </c>
      <c r="B769">
        <v>2799957.1643188195</v>
      </c>
      <c r="D769" s="2"/>
      <c r="E769" s="2"/>
      <c r="F769" s="2"/>
      <c r="G769" s="2"/>
      <c r="H769" s="2"/>
      <c r="I769" s="2"/>
      <c r="J769" s="2"/>
      <c r="K769" s="2"/>
    </row>
    <row r="770" spans="1:11" x14ac:dyDescent="0.2">
      <c r="A770">
        <v>746</v>
      </c>
      <c r="B770">
        <v>14423619.229195027</v>
      </c>
      <c r="D770" s="2"/>
      <c r="E770" s="2"/>
      <c r="F770" s="2"/>
      <c r="G770" s="2"/>
      <c r="H770" s="2"/>
      <c r="I770" s="2"/>
      <c r="J770" s="2"/>
      <c r="K770" s="2"/>
    </row>
    <row r="771" spans="1:11" x14ac:dyDescent="0.2">
      <c r="A771">
        <v>747</v>
      </c>
      <c r="B771">
        <v>4149122.1842671516</v>
      </c>
      <c r="D771" s="2"/>
      <c r="E771" s="2"/>
      <c r="F771" s="2"/>
      <c r="G771" s="2"/>
      <c r="H771" s="2"/>
      <c r="I771" s="2"/>
      <c r="J771" s="2"/>
      <c r="K771" s="2"/>
    </row>
    <row r="772" spans="1:11" x14ac:dyDescent="0.2">
      <c r="A772">
        <v>748</v>
      </c>
      <c r="B772">
        <v>1540355.2708235516</v>
      </c>
      <c r="D772" s="2"/>
      <c r="E772" s="2"/>
      <c r="F772" s="2"/>
      <c r="G772" s="2"/>
      <c r="H772" s="2"/>
      <c r="I772" s="2"/>
      <c r="J772" s="2"/>
      <c r="K772" s="2"/>
    </row>
    <row r="773" spans="1:11" x14ac:dyDescent="0.2">
      <c r="A773">
        <v>749</v>
      </c>
      <c r="B773">
        <v>8236369.00041332</v>
      </c>
      <c r="D773" s="2"/>
      <c r="E773" s="2"/>
      <c r="F773" s="2"/>
      <c r="G773" s="2"/>
      <c r="H773" s="2"/>
      <c r="I773" s="2"/>
      <c r="J773" s="2"/>
      <c r="K773" s="2"/>
    </row>
    <row r="774" spans="1:11" x14ac:dyDescent="0.2">
      <c r="A774">
        <v>750</v>
      </c>
      <c r="B774">
        <v>3965756.0865517878</v>
      </c>
      <c r="D774" s="2"/>
      <c r="E774" s="2"/>
      <c r="F774" s="2"/>
      <c r="G774" s="2"/>
      <c r="H774" s="2"/>
      <c r="I774" s="2"/>
      <c r="J774" s="2"/>
      <c r="K774" s="2"/>
    </row>
    <row r="775" spans="1:11" x14ac:dyDescent="0.2">
      <c r="A775">
        <v>751</v>
      </c>
      <c r="B775">
        <v>5013404.2665415509</v>
      </c>
      <c r="D775" s="2"/>
      <c r="E775" s="2"/>
      <c r="F775" s="2"/>
      <c r="G775" s="2"/>
      <c r="H775" s="2"/>
      <c r="I775" s="2"/>
      <c r="J775" s="2"/>
      <c r="K775" s="2"/>
    </row>
    <row r="776" spans="1:11" x14ac:dyDescent="0.2">
      <c r="A776">
        <v>752</v>
      </c>
      <c r="B776">
        <v>4773937.9883486805</v>
      </c>
      <c r="D776" s="2"/>
      <c r="E776" s="2"/>
      <c r="F776" s="2"/>
      <c r="G776" s="2"/>
      <c r="H776" s="2"/>
      <c r="I776" s="2"/>
      <c r="J776" s="2"/>
      <c r="K776" s="2"/>
    </row>
    <row r="777" spans="1:11" x14ac:dyDescent="0.2">
      <c r="A777">
        <v>753</v>
      </c>
      <c r="B777">
        <v>8296174.5134410635</v>
      </c>
      <c r="D777" s="2"/>
      <c r="E777" s="2"/>
      <c r="F777" s="2"/>
      <c r="G777" s="2"/>
      <c r="H777" s="2"/>
      <c r="I777" s="2"/>
      <c r="J777" s="2"/>
      <c r="K777" s="2"/>
    </row>
    <row r="778" spans="1:11" x14ac:dyDescent="0.2">
      <c r="A778">
        <v>754</v>
      </c>
      <c r="B778">
        <v>2719128.9090335611</v>
      </c>
      <c r="D778" s="2"/>
      <c r="E778" s="2"/>
      <c r="F778" s="2"/>
      <c r="G778" s="2"/>
      <c r="H778" s="2"/>
      <c r="I778" s="2"/>
      <c r="J778" s="2"/>
      <c r="K778" s="2"/>
    </row>
    <row r="779" spans="1:11" x14ac:dyDescent="0.2">
      <c r="A779">
        <v>755</v>
      </c>
      <c r="B779">
        <v>3187621.8452940583</v>
      </c>
      <c r="D779" s="2"/>
      <c r="E779" s="2"/>
      <c r="F779" s="2"/>
      <c r="G779" s="2"/>
      <c r="H779" s="2"/>
      <c r="I779" s="2"/>
      <c r="J779" s="2"/>
      <c r="K779" s="2"/>
    </row>
    <row r="780" spans="1:11" x14ac:dyDescent="0.2">
      <c r="A780">
        <v>756</v>
      </c>
      <c r="B780">
        <v>23521644.193401054</v>
      </c>
      <c r="D780" s="2"/>
      <c r="E780" s="2"/>
      <c r="F780" s="2"/>
      <c r="G780" s="2"/>
      <c r="H780" s="2"/>
      <c r="I780" s="2"/>
      <c r="J780" s="2"/>
      <c r="K780" s="2"/>
    </row>
    <row r="781" spans="1:11" x14ac:dyDescent="0.2">
      <c r="A781">
        <v>757</v>
      </c>
      <c r="B781">
        <v>43506.252530087717</v>
      </c>
      <c r="D781" s="2"/>
      <c r="E781" s="2"/>
      <c r="F781" s="2"/>
      <c r="G781" s="2"/>
      <c r="H781" s="2"/>
      <c r="I781" s="2"/>
      <c r="J781" s="2"/>
      <c r="K781" s="2"/>
    </row>
    <row r="782" spans="1:11" x14ac:dyDescent="0.2">
      <c r="A782">
        <v>758</v>
      </c>
      <c r="B782">
        <v>3620058.9097870355</v>
      </c>
      <c r="D782" s="2"/>
      <c r="E782" s="2"/>
      <c r="F782" s="2"/>
      <c r="G782" s="2"/>
      <c r="H782" s="2"/>
      <c r="I782" s="2"/>
      <c r="J782" s="2"/>
      <c r="K782" s="2"/>
    </row>
    <row r="783" spans="1:11" x14ac:dyDescent="0.2">
      <c r="A783">
        <v>759</v>
      </c>
      <c r="B783">
        <v>6406856.4648182951</v>
      </c>
      <c r="D783" s="2"/>
      <c r="E783" s="2"/>
      <c r="F783" s="2"/>
      <c r="G783" s="2"/>
      <c r="H783" s="2"/>
      <c r="I783" s="2"/>
      <c r="J783" s="2"/>
      <c r="K783" s="2"/>
    </row>
    <row r="784" spans="1:11" x14ac:dyDescent="0.2">
      <c r="A784">
        <v>760</v>
      </c>
      <c r="B784">
        <v>232056.65138929963</v>
      </c>
      <c r="D784" s="2"/>
      <c r="E784" s="2"/>
      <c r="F784" s="2"/>
      <c r="G784" s="2"/>
      <c r="H784" s="2"/>
      <c r="I784" s="2"/>
      <c r="J784" s="2"/>
      <c r="K784" s="2"/>
    </row>
    <row r="785" spans="1:11" x14ac:dyDescent="0.2">
      <c r="A785">
        <v>761</v>
      </c>
      <c r="B785">
        <v>4570239.0051138708</v>
      </c>
      <c r="D785" s="2"/>
      <c r="E785" s="2"/>
      <c r="F785" s="2"/>
      <c r="G785" s="2"/>
      <c r="H785" s="2"/>
      <c r="I785" s="2"/>
      <c r="J785" s="2"/>
      <c r="K785" s="2"/>
    </row>
    <row r="786" spans="1:11" x14ac:dyDescent="0.2">
      <c r="A786">
        <v>762</v>
      </c>
      <c r="B786">
        <v>217556.61749505531</v>
      </c>
      <c r="D786" s="2"/>
      <c r="E786" s="2"/>
      <c r="F786" s="2"/>
      <c r="G786" s="2"/>
      <c r="H786" s="2"/>
      <c r="I786" s="2"/>
      <c r="J786" s="2"/>
      <c r="K786" s="2"/>
    </row>
    <row r="787" spans="1:11" x14ac:dyDescent="0.2">
      <c r="A787">
        <v>763</v>
      </c>
      <c r="B787">
        <v>4833102.1958524715</v>
      </c>
      <c r="D787" s="2"/>
      <c r="E787" s="2"/>
      <c r="F787" s="2"/>
      <c r="G787" s="2"/>
      <c r="H787" s="2"/>
      <c r="I787" s="2"/>
      <c r="J787" s="2"/>
      <c r="K787" s="2"/>
    </row>
    <row r="788" spans="1:11" x14ac:dyDescent="0.2">
      <c r="A788">
        <v>764</v>
      </c>
      <c r="B788">
        <v>9106058.2433434408</v>
      </c>
      <c r="D788" s="2"/>
      <c r="E788" s="2"/>
      <c r="F788" s="2"/>
      <c r="G788" s="2"/>
      <c r="H788" s="2"/>
      <c r="I788" s="2"/>
      <c r="J788" s="2"/>
      <c r="K788" s="2"/>
    </row>
    <row r="789" spans="1:11" x14ac:dyDescent="0.2">
      <c r="A789">
        <v>765</v>
      </c>
      <c r="B789">
        <v>957925.59107894311</v>
      </c>
      <c r="D789" s="2"/>
      <c r="E789" s="2"/>
      <c r="F789" s="2"/>
      <c r="G789" s="2"/>
      <c r="H789" s="2"/>
      <c r="I789" s="2"/>
      <c r="J789" s="2"/>
      <c r="K789" s="2"/>
    </row>
    <row r="790" spans="1:11" x14ac:dyDescent="0.2">
      <c r="A790">
        <v>766</v>
      </c>
      <c r="B790">
        <v>4673369.73348777</v>
      </c>
      <c r="D790" s="2"/>
      <c r="E790" s="2"/>
      <c r="F790" s="2"/>
      <c r="G790" s="2"/>
      <c r="H790" s="2"/>
      <c r="I790" s="2"/>
      <c r="J790" s="2"/>
      <c r="K790" s="2"/>
    </row>
    <row r="791" spans="1:11" x14ac:dyDescent="0.2">
      <c r="A791">
        <v>767</v>
      </c>
      <c r="B791">
        <v>122065.04335580743</v>
      </c>
      <c r="D791" s="2"/>
      <c r="E791" s="2"/>
      <c r="F791" s="2"/>
      <c r="G791" s="2"/>
      <c r="H791" s="2"/>
      <c r="I791" s="2"/>
      <c r="J791" s="2"/>
      <c r="K791" s="2"/>
    </row>
    <row r="792" spans="1:11" x14ac:dyDescent="0.2">
      <c r="A792">
        <v>768</v>
      </c>
      <c r="B792">
        <v>1272327.2879233847</v>
      </c>
      <c r="D792" s="2"/>
      <c r="E792" s="2"/>
      <c r="F792" s="2"/>
      <c r="G792" s="2"/>
      <c r="H792" s="2"/>
      <c r="I792" s="2"/>
      <c r="J792" s="2"/>
      <c r="K792" s="2"/>
    </row>
    <row r="793" spans="1:11" x14ac:dyDescent="0.2">
      <c r="A793">
        <v>769</v>
      </c>
      <c r="B793">
        <v>4369334.8734438177</v>
      </c>
      <c r="D793" s="2"/>
      <c r="E793" s="2"/>
      <c r="F793" s="2"/>
      <c r="G793" s="2"/>
      <c r="H793" s="2"/>
      <c r="I793" s="2"/>
      <c r="J793" s="2"/>
      <c r="K793" s="2"/>
    </row>
    <row r="794" spans="1:11" x14ac:dyDescent="0.2">
      <c r="A794">
        <v>770</v>
      </c>
      <c r="B794">
        <v>11016878.888241721</v>
      </c>
      <c r="D794" s="2"/>
      <c r="E794" s="2"/>
      <c r="F794" s="2"/>
      <c r="G794" s="2"/>
      <c r="H794" s="2"/>
      <c r="I794" s="2"/>
      <c r="J794" s="2"/>
      <c r="K794" s="2"/>
    </row>
    <row r="795" spans="1:11" x14ac:dyDescent="0.2">
      <c r="A795">
        <v>771</v>
      </c>
      <c r="B795">
        <v>16200687.490888016</v>
      </c>
      <c r="D795" s="2"/>
      <c r="E795" s="2"/>
      <c r="F795" s="2"/>
      <c r="G795" s="2"/>
      <c r="H795" s="2"/>
      <c r="I795" s="2"/>
      <c r="J795" s="2"/>
      <c r="K795" s="2"/>
    </row>
    <row r="796" spans="1:11" x14ac:dyDescent="0.2">
      <c r="A796">
        <v>772</v>
      </c>
      <c r="B796">
        <v>7283052.4733474702</v>
      </c>
      <c r="D796" s="2"/>
      <c r="E796" s="2"/>
      <c r="F796" s="2"/>
      <c r="G796" s="2"/>
      <c r="H796" s="2"/>
      <c r="I796" s="2"/>
      <c r="J796" s="2"/>
      <c r="K796" s="2"/>
    </row>
    <row r="797" spans="1:11" x14ac:dyDescent="0.2">
      <c r="A797">
        <v>773</v>
      </c>
      <c r="B797">
        <v>6297627.5568558741</v>
      </c>
      <c r="D797" s="2"/>
      <c r="E797" s="2"/>
      <c r="F797" s="2"/>
      <c r="G797" s="2"/>
      <c r="H797" s="2"/>
      <c r="I797" s="2"/>
      <c r="J797" s="2"/>
      <c r="K797" s="2"/>
    </row>
    <row r="798" spans="1:11" x14ac:dyDescent="0.2">
      <c r="A798">
        <v>774</v>
      </c>
      <c r="B798">
        <v>1727408.6221985598</v>
      </c>
      <c r="D798" s="2"/>
      <c r="E798" s="2"/>
      <c r="F798" s="2"/>
      <c r="G798" s="2"/>
      <c r="H798" s="2"/>
      <c r="I798" s="2"/>
      <c r="J798" s="2"/>
      <c r="K798" s="2"/>
    </row>
    <row r="799" spans="1:11" x14ac:dyDescent="0.2">
      <c r="A799">
        <v>775</v>
      </c>
      <c r="B799">
        <v>4547541.9234190779</v>
      </c>
      <c r="D799" s="2"/>
      <c r="E799" s="2"/>
      <c r="F799" s="2"/>
      <c r="G799" s="2"/>
      <c r="H799" s="2"/>
      <c r="I799" s="2"/>
      <c r="J799" s="2"/>
      <c r="K799" s="2"/>
    </row>
    <row r="800" spans="1:11" x14ac:dyDescent="0.2">
      <c r="A800">
        <v>776</v>
      </c>
      <c r="B800">
        <v>-1835635.4878435095</v>
      </c>
      <c r="D800" s="2"/>
      <c r="E800" s="2"/>
      <c r="F800" s="2"/>
      <c r="G800" s="2"/>
      <c r="H800" s="2"/>
      <c r="I800" s="2"/>
      <c r="J800" s="2"/>
      <c r="K800" s="2"/>
    </row>
    <row r="801" spans="1:11" x14ac:dyDescent="0.2">
      <c r="A801">
        <v>777</v>
      </c>
      <c r="B801">
        <v>-2123777.857447261</v>
      </c>
      <c r="D801" s="2"/>
      <c r="E801" s="2"/>
      <c r="F801" s="2"/>
      <c r="G801" s="2"/>
      <c r="H801" s="2"/>
      <c r="I801" s="2"/>
      <c r="J801" s="2"/>
      <c r="K801" s="2"/>
    </row>
    <row r="802" spans="1:11" x14ac:dyDescent="0.2">
      <c r="A802">
        <v>778</v>
      </c>
      <c r="B802">
        <v>3653331.9499419923</v>
      </c>
      <c r="D802" s="2"/>
      <c r="E802" s="2"/>
      <c r="F802" s="2"/>
      <c r="G802" s="2"/>
      <c r="H802" s="2"/>
      <c r="I802" s="2"/>
      <c r="J802" s="2"/>
      <c r="K802" s="2"/>
    </row>
    <row r="803" spans="1:11" x14ac:dyDescent="0.2">
      <c r="A803">
        <v>779</v>
      </c>
      <c r="B803">
        <v>17881348.195658773</v>
      </c>
      <c r="D803" s="2"/>
      <c r="E803" s="2"/>
      <c r="F803" s="2"/>
      <c r="G803" s="2"/>
      <c r="H803" s="2"/>
      <c r="I803" s="2"/>
      <c r="J803" s="2"/>
      <c r="K803" s="2"/>
    </row>
    <row r="804" spans="1:11" x14ac:dyDescent="0.2">
      <c r="A804">
        <v>780</v>
      </c>
      <c r="B804">
        <v>831984.98088448751</v>
      </c>
      <c r="D804" s="2"/>
      <c r="E804" s="2"/>
      <c r="F804" s="2"/>
      <c r="G804" s="2"/>
      <c r="H804" s="2"/>
      <c r="I804" s="2"/>
      <c r="J804" s="2"/>
      <c r="K804" s="2"/>
    </row>
    <row r="805" spans="1:11" x14ac:dyDescent="0.2">
      <c r="A805">
        <v>781</v>
      </c>
      <c r="B805">
        <v>12977377.655220523</v>
      </c>
      <c r="D805" s="2"/>
      <c r="E805" s="2"/>
      <c r="F805" s="2"/>
      <c r="G805" s="2"/>
      <c r="H805" s="2"/>
      <c r="I805" s="2"/>
      <c r="J805" s="2"/>
      <c r="K805" s="2"/>
    </row>
    <row r="806" spans="1:11" x14ac:dyDescent="0.2">
      <c r="A806">
        <v>782</v>
      </c>
      <c r="B806">
        <v>2817332.2454760689</v>
      </c>
      <c r="D806" s="2"/>
      <c r="E806" s="2"/>
      <c r="F806" s="2"/>
      <c r="G806" s="2"/>
      <c r="H806" s="2"/>
      <c r="I806" s="2"/>
      <c r="J806" s="2"/>
      <c r="K806" s="2"/>
    </row>
    <row r="807" spans="1:11" x14ac:dyDescent="0.2">
      <c r="A807">
        <v>783</v>
      </c>
      <c r="B807">
        <v>3084255.9595258688</v>
      </c>
      <c r="D807" s="2"/>
      <c r="E807" s="2"/>
      <c r="F807" s="2"/>
      <c r="G807" s="2"/>
      <c r="H807" s="2"/>
      <c r="I807" s="2"/>
      <c r="J807" s="2"/>
      <c r="K807" s="2"/>
    </row>
    <row r="808" spans="1:11" x14ac:dyDescent="0.2">
      <c r="A808">
        <v>784</v>
      </c>
      <c r="B808">
        <v>6690719.1321453471</v>
      </c>
      <c r="D808" s="2"/>
      <c r="E808" s="2"/>
      <c r="F808" s="2"/>
      <c r="G808" s="2"/>
      <c r="H808" s="2"/>
      <c r="I808" s="2"/>
      <c r="J808" s="2"/>
      <c r="K808" s="2"/>
    </row>
    <row r="809" spans="1:11" x14ac:dyDescent="0.2">
      <c r="A809">
        <v>785</v>
      </c>
      <c r="B809">
        <v>3390994.4839794673</v>
      </c>
      <c r="D809" s="2"/>
      <c r="E809" s="2"/>
      <c r="F809" s="2"/>
      <c r="G809" s="2"/>
      <c r="H809" s="2"/>
      <c r="I809" s="2"/>
      <c r="J809" s="2"/>
      <c r="K809" s="2"/>
    </row>
    <row r="810" spans="1:11" x14ac:dyDescent="0.2">
      <c r="A810">
        <v>786</v>
      </c>
      <c r="B810">
        <v>2941460.7384059126</v>
      </c>
      <c r="D810" s="2"/>
      <c r="E810" s="2"/>
      <c r="F810" s="2"/>
      <c r="G810" s="2"/>
      <c r="H810" s="2"/>
      <c r="I810" s="2"/>
      <c r="J810" s="2"/>
      <c r="K810" s="2"/>
    </row>
    <row r="811" spans="1:11" x14ac:dyDescent="0.2">
      <c r="A811">
        <v>787</v>
      </c>
      <c r="B811">
        <v>7865301.7765667457</v>
      </c>
      <c r="D811" s="2"/>
      <c r="E811" s="2"/>
      <c r="F811" s="2"/>
      <c r="G811" s="2"/>
      <c r="H811" s="2"/>
      <c r="I811" s="2"/>
      <c r="J811" s="2"/>
      <c r="K811" s="2"/>
    </row>
    <row r="812" spans="1:11" x14ac:dyDescent="0.2">
      <c r="A812">
        <v>788</v>
      </c>
      <c r="B812">
        <v>-550092.27503290656</v>
      </c>
      <c r="D812" s="2"/>
      <c r="E812" s="2"/>
      <c r="F812" s="2"/>
      <c r="G812" s="2"/>
      <c r="H812" s="2"/>
      <c r="I812" s="2"/>
      <c r="J812" s="2"/>
      <c r="K812" s="2"/>
    </row>
    <row r="813" spans="1:11" x14ac:dyDescent="0.2">
      <c r="A813">
        <v>789</v>
      </c>
      <c r="B813">
        <v>9675633.1109758094</v>
      </c>
      <c r="D813" s="2"/>
      <c r="E813" s="2"/>
      <c r="F813" s="2"/>
      <c r="G813" s="2"/>
      <c r="H813" s="2"/>
      <c r="I813" s="2"/>
      <c r="J813" s="2"/>
      <c r="K813" s="2"/>
    </row>
    <row r="814" spans="1:11" x14ac:dyDescent="0.2">
      <c r="A814">
        <v>790</v>
      </c>
      <c r="B814">
        <v>-30822.629180239222</v>
      </c>
      <c r="D814" s="2"/>
      <c r="E814" s="2"/>
      <c r="F814" s="2"/>
      <c r="G814" s="2"/>
      <c r="H814" s="2"/>
      <c r="I814" s="2"/>
      <c r="J814" s="2"/>
      <c r="K814" s="2"/>
    </row>
    <row r="815" spans="1:11" x14ac:dyDescent="0.2">
      <c r="A815">
        <v>791</v>
      </c>
      <c r="B815">
        <v>2215541.9629475689</v>
      </c>
      <c r="D815" s="2"/>
      <c r="E815" s="2"/>
      <c r="F815" s="2"/>
      <c r="G815" s="2"/>
      <c r="H815" s="2"/>
      <c r="I815" s="2"/>
      <c r="J815" s="2"/>
      <c r="K815" s="2"/>
    </row>
    <row r="816" spans="1:11" x14ac:dyDescent="0.2">
      <c r="A816">
        <v>792</v>
      </c>
      <c r="B816">
        <v>-1147462.5408792293</v>
      </c>
      <c r="D816" s="2"/>
      <c r="E816" s="2"/>
      <c r="F816" s="2"/>
      <c r="G816" s="2"/>
      <c r="H816" s="2"/>
      <c r="I816" s="2"/>
      <c r="J816" s="2"/>
      <c r="K816" s="2"/>
    </row>
    <row r="817" spans="1:11" x14ac:dyDescent="0.2">
      <c r="A817">
        <v>793</v>
      </c>
      <c r="B817">
        <v>2755201.3862453247</v>
      </c>
      <c r="D817" s="2"/>
      <c r="E817" s="2"/>
      <c r="F817" s="2"/>
      <c r="G817" s="2"/>
      <c r="H817" s="2"/>
      <c r="I817" s="2"/>
      <c r="J817" s="2"/>
      <c r="K817" s="2"/>
    </row>
    <row r="818" spans="1:11" x14ac:dyDescent="0.2">
      <c r="A818">
        <v>794</v>
      </c>
      <c r="B818">
        <v>2580420.6053517302</v>
      </c>
      <c r="D818" s="2"/>
      <c r="E818" s="2"/>
      <c r="F818" s="2"/>
      <c r="G818" s="2"/>
      <c r="H818" s="2"/>
      <c r="I818" s="2"/>
      <c r="J818" s="2"/>
      <c r="K818" s="2"/>
    </row>
    <row r="819" spans="1:11" x14ac:dyDescent="0.2">
      <c r="A819">
        <v>795</v>
      </c>
      <c r="B819">
        <v>-1466099.4298333814</v>
      </c>
      <c r="D819" s="2"/>
      <c r="E819" s="2"/>
      <c r="F819" s="2"/>
      <c r="G819" s="2"/>
      <c r="H819" s="2"/>
      <c r="I819" s="2"/>
      <c r="J819" s="2"/>
      <c r="K819" s="2"/>
    </row>
    <row r="820" spans="1:11" x14ac:dyDescent="0.2">
      <c r="A820">
        <v>796</v>
      </c>
      <c r="B820">
        <v>5831003.2451549666</v>
      </c>
      <c r="D820" s="2"/>
      <c r="E820" s="2"/>
      <c r="F820" s="2"/>
      <c r="G820" s="2"/>
      <c r="H820" s="2"/>
      <c r="I820" s="2"/>
      <c r="J820" s="2"/>
      <c r="K820" s="2"/>
    </row>
    <row r="821" spans="1:11" x14ac:dyDescent="0.2">
      <c r="A821">
        <v>797</v>
      </c>
      <c r="B821">
        <v>2630693.719883651</v>
      </c>
      <c r="D821" s="2"/>
      <c r="E821" s="2"/>
      <c r="F821" s="2"/>
      <c r="G821" s="2"/>
      <c r="H821" s="2"/>
      <c r="I821" s="2"/>
      <c r="J821" s="2"/>
      <c r="K821" s="2"/>
    </row>
    <row r="822" spans="1:11" x14ac:dyDescent="0.2">
      <c r="A822">
        <v>798</v>
      </c>
      <c r="B822">
        <v>-272112.68296269025</v>
      </c>
      <c r="D822" s="2"/>
      <c r="E822" s="2"/>
      <c r="F822" s="2"/>
      <c r="G822" s="2"/>
      <c r="H822" s="2"/>
      <c r="I822" s="2"/>
      <c r="J822" s="2"/>
      <c r="K822" s="2"/>
    </row>
    <row r="823" spans="1:11" x14ac:dyDescent="0.2">
      <c r="A823">
        <v>799</v>
      </c>
      <c r="B823">
        <v>1303204.0339029981</v>
      </c>
      <c r="D823" s="2"/>
      <c r="E823" s="2"/>
      <c r="F823" s="2"/>
      <c r="G823" s="2"/>
      <c r="H823" s="2"/>
      <c r="I823" s="2"/>
      <c r="J823" s="2"/>
      <c r="K823" s="2"/>
    </row>
    <row r="824" spans="1:11" x14ac:dyDescent="0.2">
      <c r="A824">
        <v>800</v>
      </c>
      <c r="B824">
        <v>4875221.9347860981</v>
      </c>
      <c r="D824" s="2"/>
      <c r="E824" s="2"/>
      <c r="F824" s="2"/>
      <c r="G824" s="2"/>
      <c r="H824" s="2"/>
      <c r="I824" s="2"/>
      <c r="J824" s="2"/>
      <c r="K824" s="2"/>
    </row>
    <row r="825" spans="1:11" x14ac:dyDescent="0.2">
      <c r="A825">
        <v>801</v>
      </c>
      <c r="B825">
        <v>6511629.74952274</v>
      </c>
      <c r="D825" s="2"/>
      <c r="E825" s="2"/>
      <c r="F825" s="2"/>
      <c r="G825" s="2"/>
      <c r="H825" s="2"/>
      <c r="I825" s="2"/>
      <c r="J825" s="2"/>
      <c r="K825" s="2"/>
    </row>
    <row r="826" spans="1:11" x14ac:dyDescent="0.2">
      <c r="A826">
        <v>802</v>
      </c>
      <c r="B826">
        <v>1862362.8792638618</v>
      </c>
      <c r="D826" s="2"/>
      <c r="E826" s="2"/>
      <c r="F826" s="2"/>
      <c r="G826" s="2"/>
      <c r="H826" s="2"/>
      <c r="I826" s="2"/>
      <c r="J826" s="2"/>
      <c r="K826" s="2"/>
    </row>
    <row r="827" spans="1:11" x14ac:dyDescent="0.2">
      <c r="A827">
        <v>803</v>
      </c>
      <c r="B827">
        <v>6216724.2750691809</v>
      </c>
      <c r="D827" s="2"/>
      <c r="E827" s="2"/>
      <c r="F827" s="2"/>
      <c r="G827" s="2"/>
      <c r="H827" s="2"/>
      <c r="I827" s="2"/>
      <c r="J827" s="2"/>
      <c r="K827" s="2"/>
    </row>
    <row r="828" spans="1:11" x14ac:dyDescent="0.2">
      <c r="A828">
        <v>804</v>
      </c>
      <c r="B828">
        <v>5030470.4428741066</v>
      </c>
      <c r="D828" s="2"/>
      <c r="E828" s="2"/>
      <c r="F828" s="2"/>
      <c r="G828" s="2"/>
      <c r="H828" s="2"/>
      <c r="I828" s="2"/>
      <c r="J828" s="2"/>
      <c r="K828" s="2"/>
    </row>
    <row r="829" spans="1:11" x14ac:dyDescent="0.2">
      <c r="A829">
        <v>805</v>
      </c>
      <c r="B829">
        <v>2858002.2475940874</v>
      </c>
      <c r="D829" s="2"/>
      <c r="E829" s="2"/>
      <c r="F829" s="2"/>
      <c r="G829" s="2"/>
      <c r="H829" s="2"/>
      <c r="I829" s="2"/>
      <c r="J829" s="2"/>
      <c r="K829" s="2"/>
    </row>
    <row r="830" spans="1:11" x14ac:dyDescent="0.2">
      <c r="A830">
        <v>806</v>
      </c>
      <c r="B830">
        <v>6589599.1249448499</v>
      </c>
      <c r="D830" s="2"/>
      <c r="E830" s="2"/>
      <c r="F830" s="2"/>
      <c r="G830" s="2"/>
      <c r="H830" s="2"/>
      <c r="I830" s="2"/>
      <c r="J830" s="2"/>
      <c r="K830" s="2"/>
    </row>
    <row r="831" spans="1:11" x14ac:dyDescent="0.2">
      <c r="A831">
        <v>807</v>
      </c>
      <c r="B831">
        <v>18440303.258970253</v>
      </c>
      <c r="D831" s="2"/>
      <c r="E831" s="2"/>
      <c r="F831" s="2"/>
      <c r="G831" s="2"/>
      <c r="H831" s="2"/>
      <c r="I831" s="2"/>
      <c r="J831" s="2"/>
      <c r="K831" s="2"/>
    </row>
    <row r="832" spans="1:11" x14ac:dyDescent="0.2">
      <c r="A832">
        <v>808</v>
      </c>
      <c r="B832">
        <v>-198943.41864629983</v>
      </c>
      <c r="D832" s="2"/>
      <c r="E832" s="2"/>
      <c r="F832" s="2"/>
      <c r="G832" s="2"/>
      <c r="H832" s="2"/>
      <c r="I832" s="2"/>
      <c r="J832" s="2"/>
      <c r="K832" s="2"/>
    </row>
    <row r="833" spans="1:11" x14ac:dyDescent="0.2">
      <c r="A833">
        <v>809</v>
      </c>
      <c r="B833">
        <v>1855102.4574316905</v>
      </c>
      <c r="D833" s="2"/>
      <c r="E833" s="2"/>
      <c r="F833" s="2"/>
      <c r="G833" s="2"/>
      <c r="H833" s="2"/>
      <c r="I833" s="2"/>
      <c r="J833" s="2"/>
      <c r="K833" s="2"/>
    </row>
    <row r="834" spans="1:11" x14ac:dyDescent="0.2">
      <c r="A834">
        <v>810</v>
      </c>
      <c r="B834">
        <v>2322018.4183325525</v>
      </c>
      <c r="D834" s="2"/>
      <c r="E834" s="2"/>
      <c r="F834" s="2"/>
      <c r="G834" s="2"/>
      <c r="H834" s="2"/>
      <c r="I834" s="2"/>
      <c r="J834" s="2"/>
      <c r="K834" s="2"/>
    </row>
    <row r="835" spans="1:11" x14ac:dyDescent="0.2">
      <c r="A835">
        <v>811</v>
      </c>
      <c r="B835">
        <v>5573530.0288999155</v>
      </c>
      <c r="D835" s="2"/>
      <c r="E835" s="2"/>
      <c r="F835" s="2"/>
      <c r="G835" s="2"/>
      <c r="H835" s="2"/>
      <c r="I835" s="2"/>
      <c r="J835" s="2"/>
      <c r="K835" s="2"/>
    </row>
    <row r="836" spans="1:11" x14ac:dyDescent="0.2">
      <c r="A836">
        <v>812</v>
      </c>
      <c r="B836">
        <v>3986935.3655315097</v>
      </c>
      <c r="D836" s="2"/>
      <c r="E836" s="2"/>
      <c r="F836" s="2"/>
      <c r="G836" s="2"/>
      <c r="H836" s="2"/>
      <c r="I836" s="2"/>
      <c r="J836" s="2"/>
      <c r="K836" s="2"/>
    </row>
    <row r="837" spans="1:11" x14ac:dyDescent="0.2">
      <c r="A837">
        <v>813</v>
      </c>
      <c r="B837">
        <v>368850.60398857854</v>
      </c>
      <c r="D837" s="2"/>
      <c r="E837" s="2"/>
      <c r="F837" s="2"/>
      <c r="G837" s="2"/>
      <c r="H837" s="2"/>
      <c r="I837" s="2"/>
      <c r="J837" s="2"/>
      <c r="K837" s="2"/>
    </row>
    <row r="838" spans="1:11" x14ac:dyDescent="0.2">
      <c r="A838">
        <v>814</v>
      </c>
      <c r="B838">
        <v>6494815.1091910377</v>
      </c>
      <c r="D838" s="2"/>
      <c r="E838" s="2"/>
      <c r="F838" s="2"/>
      <c r="G838" s="2"/>
      <c r="H838" s="2"/>
      <c r="I838" s="2"/>
      <c r="J838" s="2"/>
      <c r="K838" s="2"/>
    </row>
    <row r="839" spans="1:11" x14ac:dyDescent="0.2">
      <c r="A839">
        <v>815</v>
      </c>
      <c r="B839">
        <v>1432070.5467907758</v>
      </c>
      <c r="D839" s="2"/>
      <c r="E839" s="2"/>
      <c r="F839" s="2"/>
      <c r="G839" s="2"/>
      <c r="H839" s="2"/>
      <c r="I839" s="2"/>
      <c r="J839" s="2"/>
      <c r="K839" s="2"/>
    </row>
    <row r="840" spans="1:11" x14ac:dyDescent="0.2">
      <c r="A840">
        <v>816</v>
      </c>
      <c r="B840">
        <v>3673965.7138188658</v>
      </c>
      <c r="D840" s="2"/>
      <c r="E840" s="2"/>
      <c r="F840" s="2"/>
      <c r="G840" s="2"/>
      <c r="H840" s="2"/>
      <c r="I840" s="2"/>
      <c r="J840" s="2"/>
      <c r="K840" s="2"/>
    </row>
    <row r="841" spans="1:11" x14ac:dyDescent="0.2">
      <c r="A841">
        <v>817</v>
      </c>
      <c r="B841">
        <v>-723860.28579294251</v>
      </c>
      <c r="D841" s="2"/>
      <c r="E841" s="2"/>
      <c r="F841" s="2"/>
      <c r="G841" s="2"/>
      <c r="H841" s="2"/>
      <c r="I841" s="2"/>
      <c r="J841" s="2"/>
      <c r="K841" s="2"/>
    </row>
    <row r="842" spans="1:11" x14ac:dyDescent="0.2">
      <c r="A842">
        <v>818</v>
      </c>
      <c r="B842">
        <v>2733840.2689888906</v>
      </c>
      <c r="D842" s="2"/>
      <c r="E842" s="2"/>
      <c r="F842" s="2"/>
      <c r="G842" s="2"/>
      <c r="H842" s="2"/>
      <c r="I842" s="2"/>
      <c r="J842" s="2"/>
      <c r="K842" s="2"/>
    </row>
    <row r="843" spans="1:11" x14ac:dyDescent="0.2">
      <c r="A843">
        <v>819</v>
      </c>
      <c r="B843">
        <v>4877505.6689754399</v>
      </c>
      <c r="D843" s="2"/>
      <c r="E843" s="2"/>
      <c r="F843" s="2"/>
      <c r="G843" s="2"/>
      <c r="H843" s="2"/>
      <c r="I843" s="2"/>
      <c r="J843" s="2"/>
      <c r="K843" s="2"/>
    </row>
    <row r="844" spans="1:11" x14ac:dyDescent="0.2">
      <c r="A844">
        <v>820</v>
      </c>
      <c r="B844">
        <v>7423530.4316914221</v>
      </c>
      <c r="D844" s="2"/>
      <c r="E844" s="2"/>
      <c r="F844" s="2"/>
      <c r="G844" s="2"/>
      <c r="H844" s="2"/>
      <c r="I844" s="2"/>
      <c r="J844" s="2"/>
      <c r="K844" s="2"/>
    </row>
    <row r="845" spans="1:11" x14ac:dyDescent="0.2">
      <c r="A845">
        <v>821</v>
      </c>
      <c r="B845">
        <v>4181750.9570563477</v>
      </c>
      <c r="D845" s="2"/>
      <c r="E845" s="2"/>
      <c r="F845" s="2"/>
      <c r="G845" s="2"/>
      <c r="H845" s="2"/>
      <c r="I845" s="2"/>
      <c r="J845" s="2"/>
      <c r="K845" s="2"/>
    </row>
    <row r="846" spans="1:11" x14ac:dyDescent="0.2">
      <c r="A846">
        <v>822</v>
      </c>
      <c r="B846">
        <v>10365162.774335787</v>
      </c>
      <c r="D846" s="2"/>
      <c r="E846" s="2"/>
      <c r="F846" s="2"/>
      <c r="G846" s="2"/>
      <c r="H846" s="2"/>
      <c r="I846" s="2"/>
      <c r="J846" s="2"/>
      <c r="K846" s="2"/>
    </row>
    <row r="847" spans="1:11" x14ac:dyDescent="0.2">
      <c r="A847">
        <v>823</v>
      </c>
      <c r="B847">
        <v>5029966.8144344864</v>
      </c>
      <c r="D847" s="2"/>
      <c r="E847" s="2"/>
      <c r="F847" s="2"/>
      <c r="G847" s="2"/>
      <c r="H847" s="2"/>
      <c r="I847" s="2"/>
      <c r="J847" s="2"/>
      <c r="K847" s="2"/>
    </row>
    <row r="848" spans="1:11" x14ac:dyDescent="0.2">
      <c r="A848">
        <v>824</v>
      </c>
      <c r="B848">
        <v>646829.33974265237</v>
      </c>
      <c r="D848" s="2"/>
      <c r="E848" s="2"/>
      <c r="F848" s="2"/>
      <c r="G848" s="2"/>
      <c r="H848" s="2"/>
      <c r="I848" s="2"/>
      <c r="J848" s="2"/>
      <c r="K848" s="2"/>
    </row>
    <row r="849" spans="1:11" x14ac:dyDescent="0.2">
      <c r="A849">
        <v>825</v>
      </c>
      <c r="B849">
        <v>1119997.5781176658</v>
      </c>
      <c r="D849" s="2"/>
      <c r="E849" s="2"/>
      <c r="F849" s="2"/>
      <c r="G849" s="2"/>
      <c r="H849" s="2"/>
      <c r="I849" s="2"/>
      <c r="J849" s="2"/>
      <c r="K849" s="2"/>
    </row>
    <row r="850" spans="1:11" x14ac:dyDescent="0.2">
      <c r="A850">
        <v>826</v>
      </c>
      <c r="B850">
        <v>8294333.6751232883</v>
      </c>
      <c r="D850" s="2"/>
      <c r="E850" s="2"/>
      <c r="F850" s="2"/>
      <c r="G850" s="2"/>
      <c r="H850" s="2"/>
      <c r="I850" s="2"/>
      <c r="J850" s="2"/>
      <c r="K850" s="2"/>
    </row>
    <row r="851" spans="1:11" x14ac:dyDescent="0.2">
      <c r="A851">
        <v>827</v>
      </c>
      <c r="B851">
        <v>5816965.3420476196</v>
      </c>
      <c r="D851" s="2"/>
      <c r="E851" s="2"/>
      <c r="F851" s="2"/>
      <c r="G851" s="2"/>
      <c r="H851" s="2"/>
      <c r="I851" s="2"/>
      <c r="J851" s="2"/>
      <c r="K851" s="2"/>
    </row>
    <row r="852" spans="1:11" x14ac:dyDescent="0.2">
      <c r="A852">
        <v>828</v>
      </c>
      <c r="B852">
        <v>8917606.8053894565</v>
      </c>
      <c r="D852" s="2"/>
      <c r="E852" s="2"/>
      <c r="F852" s="2"/>
      <c r="G852" s="2"/>
      <c r="H852" s="2"/>
      <c r="I852" s="2"/>
      <c r="J852" s="2"/>
      <c r="K852" s="2"/>
    </row>
    <row r="853" spans="1:11" x14ac:dyDescent="0.2">
      <c r="A853">
        <v>829</v>
      </c>
      <c r="B853">
        <v>1460588.0162079828</v>
      </c>
      <c r="D853" s="2"/>
      <c r="E853" s="2"/>
      <c r="F853" s="2"/>
      <c r="G853" s="2"/>
      <c r="H853" s="2"/>
      <c r="I853" s="2"/>
      <c r="J853" s="2"/>
      <c r="K853" s="2"/>
    </row>
    <row r="854" spans="1:11" x14ac:dyDescent="0.2">
      <c r="A854">
        <v>830</v>
      </c>
      <c r="B854">
        <v>9825214.5707030334</v>
      </c>
      <c r="D854" s="2"/>
      <c r="E854" s="2"/>
      <c r="F854" s="2"/>
      <c r="G854" s="2"/>
      <c r="H854" s="2"/>
      <c r="I854" s="2"/>
      <c r="J854" s="2"/>
      <c r="K854" s="2"/>
    </row>
    <row r="855" spans="1:11" x14ac:dyDescent="0.2">
      <c r="A855">
        <v>831</v>
      </c>
      <c r="B855">
        <v>3651294.3406494642</v>
      </c>
      <c r="D855" s="2"/>
      <c r="E855" s="2"/>
      <c r="F855" s="2"/>
      <c r="G855" s="2"/>
      <c r="H855" s="2"/>
      <c r="I855" s="2"/>
      <c r="J855" s="2"/>
      <c r="K855" s="2"/>
    </row>
    <row r="856" spans="1:11" x14ac:dyDescent="0.2">
      <c r="A856">
        <v>832</v>
      </c>
      <c r="B856">
        <v>3675994.10010166</v>
      </c>
      <c r="D856" s="2"/>
      <c r="E856" s="2"/>
      <c r="F856" s="2"/>
      <c r="G856" s="2"/>
      <c r="H856" s="2"/>
      <c r="I856" s="2"/>
      <c r="J856" s="2"/>
      <c r="K856" s="2"/>
    </row>
    <row r="857" spans="1:11" x14ac:dyDescent="0.2">
      <c r="A857">
        <v>833</v>
      </c>
      <c r="B857">
        <v>-1018063.7079864547</v>
      </c>
      <c r="D857" s="2"/>
      <c r="E857" s="2"/>
      <c r="F857" s="2"/>
      <c r="G857" s="2"/>
      <c r="H857" s="2"/>
      <c r="I857" s="2"/>
      <c r="J857" s="2"/>
      <c r="K857" s="2"/>
    </row>
    <row r="858" spans="1:11" x14ac:dyDescent="0.2">
      <c r="A858">
        <v>834</v>
      </c>
      <c r="B858">
        <v>1740722.6038672598</v>
      </c>
      <c r="D858" s="2"/>
      <c r="E858" s="2"/>
      <c r="F858" s="2"/>
      <c r="G858" s="2"/>
      <c r="H858" s="2"/>
      <c r="I858" s="2"/>
      <c r="J858" s="2"/>
      <c r="K858" s="2"/>
    </row>
    <row r="859" spans="1:11" x14ac:dyDescent="0.2">
      <c r="A859">
        <v>835</v>
      </c>
      <c r="B859">
        <v>-406337.33197201981</v>
      </c>
      <c r="D859" s="2"/>
      <c r="E859" s="2"/>
      <c r="F859" s="2"/>
      <c r="G859" s="2"/>
      <c r="H859" s="2"/>
      <c r="I859" s="2"/>
      <c r="J859" s="2"/>
      <c r="K859" s="2"/>
    </row>
    <row r="860" spans="1:11" x14ac:dyDescent="0.2">
      <c r="A860">
        <v>836</v>
      </c>
      <c r="B860">
        <v>-1716928.1777445027</v>
      </c>
      <c r="D860" s="2"/>
      <c r="E860" s="2"/>
      <c r="F860" s="2"/>
      <c r="G860" s="2"/>
      <c r="H860" s="2"/>
      <c r="I860" s="2"/>
      <c r="J860" s="2"/>
      <c r="K860" s="2"/>
    </row>
    <row r="861" spans="1:11" x14ac:dyDescent="0.2">
      <c r="A861">
        <v>837</v>
      </c>
      <c r="B861">
        <v>1258136.3469320764</v>
      </c>
      <c r="D861" s="2"/>
      <c r="E861" s="2"/>
      <c r="F861" s="2"/>
      <c r="G861" s="2"/>
      <c r="H861" s="2"/>
      <c r="I861" s="2"/>
      <c r="J861" s="2"/>
      <c r="K861" s="2"/>
    </row>
    <row r="862" spans="1:11" x14ac:dyDescent="0.2">
      <c r="A862">
        <v>838</v>
      </c>
      <c r="B862">
        <v>3852434.3222989542</v>
      </c>
      <c r="D862" s="2"/>
      <c r="E862" s="2"/>
      <c r="F862" s="2"/>
      <c r="G862" s="2"/>
      <c r="H862" s="2"/>
      <c r="I862" s="2"/>
      <c r="J862" s="2"/>
      <c r="K862" s="2"/>
    </row>
    <row r="863" spans="1:11" x14ac:dyDescent="0.2">
      <c r="A863">
        <v>839</v>
      </c>
      <c r="B863">
        <v>7405198.4729939122</v>
      </c>
      <c r="D863" s="2"/>
      <c r="E863" s="2"/>
      <c r="F863" s="2"/>
      <c r="G863" s="2"/>
      <c r="H863" s="2"/>
      <c r="I863" s="2"/>
      <c r="J863" s="2"/>
      <c r="K863" s="2"/>
    </row>
    <row r="864" spans="1:11" x14ac:dyDescent="0.2">
      <c r="A864">
        <v>840</v>
      </c>
      <c r="B864">
        <v>1901979.6843331463</v>
      </c>
      <c r="D864" s="2"/>
      <c r="E864" s="2"/>
      <c r="F864" s="2"/>
      <c r="G864" s="2"/>
      <c r="H864" s="2"/>
      <c r="I864" s="2"/>
      <c r="J864" s="2"/>
      <c r="K864" s="2"/>
    </row>
    <row r="865" spans="1:11" x14ac:dyDescent="0.2">
      <c r="A865">
        <v>841</v>
      </c>
      <c r="B865">
        <v>16343206.76082487</v>
      </c>
      <c r="D865" s="2"/>
      <c r="E865" s="2"/>
      <c r="F865" s="2"/>
      <c r="G865" s="2"/>
      <c r="H865" s="2"/>
      <c r="I865" s="2"/>
      <c r="J865" s="2"/>
      <c r="K865" s="2"/>
    </row>
    <row r="866" spans="1:11" x14ac:dyDescent="0.2">
      <c r="A866">
        <v>842</v>
      </c>
      <c r="B866">
        <v>965097.51691105706</v>
      </c>
      <c r="D866" s="2"/>
      <c r="E866" s="2"/>
      <c r="F866" s="2"/>
      <c r="G866" s="2"/>
      <c r="H866" s="2"/>
      <c r="I866" s="2"/>
      <c r="J866" s="2"/>
      <c r="K866" s="2"/>
    </row>
    <row r="867" spans="1:11" x14ac:dyDescent="0.2">
      <c r="A867">
        <v>843</v>
      </c>
      <c r="B867">
        <v>6565217.9702902883</v>
      </c>
      <c r="D867" s="2"/>
      <c r="E867" s="2"/>
      <c r="F867" s="2"/>
      <c r="G867" s="2"/>
      <c r="H867" s="2"/>
      <c r="I867" s="2"/>
      <c r="J867" s="2"/>
      <c r="K867" s="2"/>
    </row>
    <row r="868" spans="1:11" x14ac:dyDescent="0.2">
      <c r="A868">
        <v>844</v>
      </c>
      <c r="B868">
        <v>228047.45454938011</v>
      </c>
      <c r="D868" s="2"/>
      <c r="E868" s="2"/>
      <c r="F868" s="2"/>
      <c r="G868" s="2"/>
      <c r="H868" s="2"/>
      <c r="I868" s="2"/>
      <c r="J868" s="2"/>
      <c r="K868" s="2"/>
    </row>
    <row r="869" spans="1:11" x14ac:dyDescent="0.2">
      <c r="A869">
        <v>845</v>
      </c>
      <c r="B869">
        <v>4676402.0325897932</v>
      </c>
      <c r="D869" s="2"/>
      <c r="E869" s="2"/>
      <c r="F869" s="2"/>
      <c r="G869" s="2"/>
      <c r="H869" s="2"/>
      <c r="I869" s="2"/>
      <c r="J869" s="2"/>
      <c r="K869" s="2"/>
    </row>
    <row r="870" spans="1:11" x14ac:dyDescent="0.2">
      <c r="A870">
        <v>846</v>
      </c>
      <c r="B870">
        <v>-2089062.9760248167</v>
      </c>
      <c r="D870" s="2"/>
      <c r="E870" s="2"/>
      <c r="F870" s="2"/>
      <c r="G870" s="2"/>
      <c r="H870" s="2"/>
      <c r="I870" s="2"/>
      <c r="J870" s="2"/>
      <c r="K870" s="2"/>
    </row>
    <row r="871" spans="1:11" x14ac:dyDescent="0.2">
      <c r="A871">
        <v>847</v>
      </c>
      <c r="B871">
        <v>5390015.5093877465</v>
      </c>
      <c r="D871" s="2"/>
      <c r="E871" s="2"/>
      <c r="F871" s="2"/>
      <c r="G871" s="2"/>
      <c r="H871" s="2"/>
      <c r="I871" s="2"/>
      <c r="J871" s="2"/>
      <c r="K871" s="2"/>
    </row>
    <row r="872" spans="1:11" x14ac:dyDescent="0.2">
      <c r="A872">
        <v>848</v>
      </c>
      <c r="B872">
        <v>3548208.6631155852</v>
      </c>
      <c r="D872" s="2"/>
      <c r="E872" s="2"/>
      <c r="F872" s="2"/>
      <c r="G872" s="2"/>
      <c r="H872" s="2"/>
      <c r="I872" s="2"/>
      <c r="J872" s="2"/>
      <c r="K872" s="2"/>
    </row>
    <row r="873" spans="1:11" x14ac:dyDescent="0.2">
      <c r="A873">
        <v>849</v>
      </c>
      <c r="B873">
        <v>994298.12348230451</v>
      </c>
      <c r="D873" s="2"/>
      <c r="E873" s="2"/>
      <c r="F873" s="2"/>
      <c r="G873" s="2"/>
      <c r="H873" s="2"/>
      <c r="I873" s="2"/>
      <c r="J873" s="2"/>
      <c r="K873" s="2"/>
    </row>
    <row r="874" spans="1:11" x14ac:dyDescent="0.2">
      <c r="A874">
        <v>850</v>
      </c>
      <c r="B874">
        <v>1396114.5180534278</v>
      </c>
      <c r="D874" s="2"/>
      <c r="E874" s="2"/>
      <c r="F874" s="2"/>
      <c r="G874" s="2"/>
      <c r="H874" s="2"/>
      <c r="I874" s="2"/>
      <c r="J874" s="2"/>
      <c r="K874" s="2"/>
    </row>
    <row r="875" spans="1:11" x14ac:dyDescent="0.2">
      <c r="A875">
        <v>851</v>
      </c>
      <c r="B875">
        <v>814607.20218396629</v>
      </c>
      <c r="D875" s="2"/>
      <c r="E875" s="2"/>
      <c r="F875" s="2"/>
      <c r="G875" s="2"/>
      <c r="H875" s="2"/>
      <c r="I875" s="2"/>
      <c r="J875" s="2"/>
      <c r="K875" s="2"/>
    </row>
    <row r="876" spans="1:11" x14ac:dyDescent="0.2">
      <c r="A876">
        <v>852</v>
      </c>
      <c r="B876">
        <v>4602901.1882855343</v>
      </c>
      <c r="D876" s="2"/>
      <c r="E876" s="2"/>
      <c r="F876" s="2"/>
      <c r="G876" s="2"/>
      <c r="H876" s="2"/>
      <c r="I876" s="2"/>
      <c r="J876" s="2"/>
      <c r="K876" s="2"/>
    </row>
    <row r="877" spans="1:11" x14ac:dyDescent="0.2">
      <c r="A877">
        <v>853</v>
      </c>
      <c r="B877">
        <v>4986545.3445421448</v>
      </c>
      <c r="D877" s="2"/>
      <c r="E877" s="2"/>
      <c r="F877" s="2"/>
      <c r="G877" s="2"/>
      <c r="H877" s="2"/>
      <c r="I877" s="2"/>
      <c r="J877" s="2"/>
      <c r="K877" s="2"/>
    </row>
    <row r="878" spans="1:11" x14ac:dyDescent="0.2">
      <c r="A878">
        <v>854</v>
      </c>
      <c r="B878">
        <v>22704720.563308802</v>
      </c>
      <c r="D878" s="2"/>
      <c r="E878" s="2"/>
      <c r="F878" s="2"/>
      <c r="G878" s="2"/>
      <c r="H878" s="2"/>
      <c r="I878" s="2"/>
      <c r="J878" s="2"/>
      <c r="K878" s="2"/>
    </row>
    <row r="879" spans="1:11" x14ac:dyDescent="0.2">
      <c r="A879">
        <v>855</v>
      </c>
      <c r="B879">
        <v>5246625.3848064393</v>
      </c>
      <c r="D879" s="2"/>
      <c r="E879" s="2"/>
      <c r="F879" s="2"/>
      <c r="G879" s="2"/>
      <c r="H879" s="2"/>
      <c r="I879" s="2"/>
      <c r="J879" s="2"/>
      <c r="K879" s="2"/>
    </row>
    <row r="880" spans="1:11" x14ac:dyDescent="0.2">
      <c r="A880">
        <v>856</v>
      </c>
      <c r="B880">
        <v>11162071.050859286</v>
      </c>
      <c r="D880" s="2"/>
      <c r="E880" s="2"/>
      <c r="F880" s="2"/>
      <c r="G880" s="2"/>
      <c r="H880" s="2"/>
      <c r="I880" s="2"/>
      <c r="J880" s="2"/>
      <c r="K880" s="2"/>
    </row>
    <row r="881" spans="1:11" x14ac:dyDescent="0.2">
      <c r="A881">
        <v>857</v>
      </c>
      <c r="B881">
        <v>309720.21223183174</v>
      </c>
      <c r="D881" s="2"/>
      <c r="E881" s="2"/>
      <c r="F881" s="2"/>
      <c r="G881" s="2"/>
      <c r="H881" s="2"/>
      <c r="I881" s="2"/>
      <c r="J881" s="2"/>
      <c r="K881" s="2"/>
    </row>
    <row r="882" spans="1:11" x14ac:dyDescent="0.2">
      <c r="A882">
        <v>858</v>
      </c>
      <c r="B882">
        <v>2556626.6487625646</v>
      </c>
      <c r="D882" s="2"/>
      <c r="E882" s="2"/>
      <c r="F882" s="2"/>
      <c r="G882" s="2"/>
      <c r="H882" s="2"/>
      <c r="I882" s="2"/>
      <c r="J882" s="2"/>
      <c r="K882" s="2"/>
    </row>
    <row r="883" spans="1:11" x14ac:dyDescent="0.2">
      <c r="A883">
        <v>859</v>
      </c>
      <c r="B883">
        <v>-3062549.0616672779</v>
      </c>
      <c r="D883" s="2"/>
      <c r="E883" s="2"/>
      <c r="F883" s="2"/>
      <c r="G883" s="2"/>
      <c r="H883" s="2"/>
      <c r="I883" s="2"/>
      <c r="J883" s="2"/>
      <c r="K883" s="2"/>
    </row>
    <row r="884" spans="1:11" x14ac:dyDescent="0.2">
      <c r="A884">
        <v>860</v>
      </c>
      <c r="B884">
        <v>4168365.9884381257</v>
      </c>
      <c r="D884" s="2"/>
      <c r="E884" s="2"/>
      <c r="F884" s="2"/>
      <c r="G884" s="2"/>
      <c r="H884" s="2"/>
      <c r="I884" s="2"/>
      <c r="J884" s="2"/>
      <c r="K884" s="2"/>
    </row>
    <row r="885" spans="1:11" x14ac:dyDescent="0.2">
      <c r="A885">
        <v>861</v>
      </c>
      <c r="B885">
        <v>2401945.040332641</v>
      </c>
      <c r="D885" s="2"/>
      <c r="E885" s="2"/>
      <c r="F885" s="2"/>
      <c r="G885" s="2"/>
      <c r="H885" s="2"/>
      <c r="I885" s="2"/>
      <c r="J885" s="2"/>
      <c r="K885" s="2"/>
    </row>
    <row r="886" spans="1:11" x14ac:dyDescent="0.2">
      <c r="A886">
        <v>862</v>
      </c>
      <c r="B886">
        <v>4686565.2510257922</v>
      </c>
      <c r="D886" s="2"/>
      <c r="E886" s="2"/>
      <c r="F886" s="2"/>
      <c r="G886" s="2"/>
      <c r="H886" s="2"/>
      <c r="I886" s="2"/>
      <c r="J886" s="2"/>
      <c r="K886" s="2"/>
    </row>
    <row r="887" spans="1:11" x14ac:dyDescent="0.2">
      <c r="A887">
        <v>863</v>
      </c>
      <c r="B887">
        <v>646635.93494794448</v>
      </c>
      <c r="D887" s="2"/>
      <c r="E887" s="2"/>
      <c r="F887" s="2"/>
      <c r="G887" s="2"/>
      <c r="H887" s="2"/>
      <c r="I887" s="2"/>
      <c r="J887" s="2"/>
      <c r="K887" s="2"/>
    </row>
    <row r="888" spans="1:11" x14ac:dyDescent="0.2">
      <c r="A888">
        <v>864</v>
      </c>
      <c r="B888">
        <v>2034097.6860267068</v>
      </c>
      <c r="D888" s="2"/>
      <c r="E888" s="2"/>
      <c r="F888" s="2"/>
      <c r="G888" s="2"/>
      <c r="H888" s="2"/>
      <c r="I888" s="2"/>
      <c r="J888" s="2"/>
      <c r="K888" s="2"/>
    </row>
    <row r="889" spans="1:11" x14ac:dyDescent="0.2">
      <c r="A889">
        <v>865</v>
      </c>
      <c r="B889">
        <v>4956006.9583211904</v>
      </c>
      <c r="D889" s="2"/>
      <c r="E889" s="2"/>
      <c r="F889" s="2"/>
      <c r="G889" s="2"/>
      <c r="H889" s="2"/>
      <c r="I889" s="2"/>
      <c r="J889" s="2"/>
      <c r="K889" s="2"/>
    </row>
    <row r="890" spans="1:11" x14ac:dyDescent="0.2">
      <c r="A890">
        <v>866</v>
      </c>
      <c r="B890">
        <v>5647377.1202902989</v>
      </c>
      <c r="D890" s="2"/>
      <c r="E890" s="2"/>
      <c r="F890" s="2"/>
      <c r="G890" s="2"/>
      <c r="H890" s="2"/>
      <c r="I890" s="2"/>
      <c r="J890" s="2"/>
      <c r="K890" s="2"/>
    </row>
    <row r="891" spans="1:11" x14ac:dyDescent="0.2">
      <c r="A891">
        <v>867</v>
      </c>
      <c r="B891">
        <v>2676638.970771167</v>
      </c>
      <c r="D891" s="2"/>
      <c r="E891" s="2"/>
      <c r="F891" s="2"/>
      <c r="G891" s="2"/>
      <c r="H891" s="2"/>
      <c r="I891" s="2"/>
      <c r="J891" s="2"/>
      <c r="K891" s="2"/>
    </row>
    <row r="892" spans="1:11" x14ac:dyDescent="0.2">
      <c r="A892">
        <v>868</v>
      </c>
      <c r="B892">
        <v>416097.73467941862</v>
      </c>
      <c r="D892" s="2"/>
      <c r="E892" s="2"/>
      <c r="F892" s="2"/>
      <c r="G892" s="2"/>
      <c r="H892" s="2"/>
      <c r="I892" s="2"/>
      <c r="J892" s="2"/>
      <c r="K892" s="2"/>
    </row>
    <row r="893" spans="1:11" x14ac:dyDescent="0.2">
      <c r="A893">
        <v>869</v>
      </c>
      <c r="B893">
        <v>2950811.7727963268</v>
      </c>
      <c r="D893" s="2"/>
      <c r="E893" s="2"/>
      <c r="F893" s="2"/>
      <c r="G893" s="2"/>
      <c r="H893" s="2"/>
      <c r="I893" s="2"/>
      <c r="J893" s="2"/>
      <c r="K893" s="2"/>
    </row>
    <row r="894" spans="1:11" x14ac:dyDescent="0.2">
      <c r="A894">
        <v>870</v>
      </c>
      <c r="B894">
        <v>2735809.7707913076</v>
      </c>
      <c r="D894" s="2"/>
      <c r="E894" s="2"/>
      <c r="F894" s="2"/>
      <c r="G894" s="2"/>
      <c r="H894" s="2"/>
      <c r="I894" s="2"/>
      <c r="J894" s="2"/>
      <c r="K894" s="2"/>
    </row>
    <row r="895" spans="1:11" x14ac:dyDescent="0.2">
      <c r="A895">
        <v>871</v>
      </c>
      <c r="B895">
        <v>1512273.9671495073</v>
      </c>
      <c r="D895" s="2"/>
      <c r="E895" s="2"/>
      <c r="F895" s="2"/>
      <c r="G895" s="2"/>
      <c r="H895" s="2"/>
      <c r="I895" s="2"/>
      <c r="J895" s="2"/>
      <c r="K895" s="2"/>
    </row>
    <row r="896" spans="1:11" x14ac:dyDescent="0.2">
      <c r="A896">
        <v>872</v>
      </c>
      <c r="B896">
        <v>7745855.903712309</v>
      </c>
      <c r="D896" s="2"/>
      <c r="E896" s="2"/>
      <c r="F896" s="2"/>
      <c r="G896" s="2"/>
      <c r="H896" s="2"/>
      <c r="I896" s="2"/>
      <c r="J896" s="2"/>
      <c r="K896" s="2"/>
    </row>
    <row r="897" spans="1:11" x14ac:dyDescent="0.2">
      <c r="A897">
        <v>873</v>
      </c>
      <c r="B897">
        <v>2435998.6704019853</v>
      </c>
      <c r="D897" s="2"/>
      <c r="E897" s="2"/>
      <c r="F897" s="2"/>
      <c r="G897" s="2"/>
      <c r="H897" s="2"/>
      <c r="I897" s="2"/>
      <c r="J897" s="2"/>
      <c r="K897" s="2"/>
    </row>
    <row r="898" spans="1:11" x14ac:dyDescent="0.2">
      <c r="A898">
        <v>874</v>
      </c>
      <c r="B898">
        <v>2471295.3307522801</v>
      </c>
      <c r="D898" s="2"/>
      <c r="E898" s="2"/>
      <c r="F898" s="2"/>
      <c r="G898" s="2"/>
      <c r="H898" s="2"/>
      <c r="I898" s="2"/>
      <c r="J898" s="2"/>
      <c r="K898" s="2"/>
    </row>
    <row r="899" spans="1:11" x14ac:dyDescent="0.2">
      <c r="A899">
        <v>875</v>
      </c>
      <c r="B899">
        <v>9080280.7388987727</v>
      </c>
      <c r="D899" s="2"/>
      <c r="E899" s="2"/>
      <c r="F899" s="2"/>
      <c r="G899" s="2"/>
      <c r="H899" s="2"/>
      <c r="I899" s="2"/>
      <c r="J899" s="2"/>
      <c r="K899" s="2"/>
    </row>
    <row r="900" spans="1:11" x14ac:dyDescent="0.2">
      <c r="A900">
        <v>876</v>
      </c>
      <c r="B900">
        <v>52412.610034792335</v>
      </c>
      <c r="D900" s="2"/>
      <c r="E900" s="2"/>
      <c r="F900" s="2"/>
      <c r="G900" s="2"/>
      <c r="H900" s="2"/>
      <c r="I900" s="2"/>
      <c r="J900" s="2"/>
      <c r="K900" s="2"/>
    </row>
    <row r="901" spans="1:11" x14ac:dyDescent="0.2">
      <c r="A901">
        <v>877</v>
      </c>
      <c r="B901">
        <v>1594985.5862590536</v>
      </c>
      <c r="D901" s="2"/>
      <c r="E901" s="2"/>
      <c r="F901" s="2"/>
      <c r="G901" s="2"/>
      <c r="H901" s="2"/>
      <c r="I901" s="2"/>
      <c r="J901" s="2"/>
      <c r="K901" s="2"/>
    </row>
    <row r="902" spans="1:11" x14ac:dyDescent="0.2">
      <c r="A902">
        <v>878</v>
      </c>
      <c r="B902">
        <v>2050444.2789552307</v>
      </c>
      <c r="D902" s="2"/>
      <c r="E902" s="2"/>
      <c r="F902" s="2"/>
      <c r="G902" s="2"/>
      <c r="H902" s="2"/>
      <c r="I902" s="2"/>
      <c r="J902" s="2"/>
      <c r="K902" s="2"/>
    </row>
    <row r="903" spans="1:11" x14ac:dyDescent="0.2">
      <c r="A903">
        <v>879</v>
      </c>
      <c r="B903">
        <v>2674373.3782171099</v>
      </c>
      <c r="D903" s="2"/>
      <c r="E903" s="2"/>
      <c r="F903" s="2"/>
      <c r="G903" s="2"/>
      <c r="H903" s="2"/>
      <c r="I903" s="2"/>
      <c r="J903" s="2"/>
      <c r="K903" s="2"/>
    </row>
    <row r="904" spans="1:11" x14ac:dyDescent="0.2">
      <c r="A904">
        <v>880</v>
      </c>
      <c r="B904">
        <v>5515517.5053019747</v>
      </c>
      <c r="D904" s="2"/>
      <c r="E904" s="2"/>
      <c r="F904" s="2"/>
      <c r="G904" s="2"/>
      <c r="H904" s="2"/>
      <c r="I904" s="2"/>
      <c r="J904" s="2"/>
      <c r="K904" s="2"/>
    </row>
    <row r="905" spans="1:11" x14ac:dyDescent="0.2">
      <c r="A905">
        <v>881</v>
      </c>
      <c r="B905">
        <v>2099575.1645259373</v>
      </c>
      <c r="D905" s="2"/>
      <c r="E905" s="2"/>
      <c r="F905" s="2"/>
      <c r="G905" s="2"/>
      <c r="H905" s="2"/>
      <c r="I905" s="2"/>
      <c r="J905" s="2"/>
      <c r="K905" s="2"/>
    </row>
    <row r="906" spans="1:11" x14ac:dyDescent="0.2">
      <c r="A906">
        <v>882</v>
      </c>
      <c r="B906">
        <v>3218507.9939687382</v>
      </c>
      <c r="D906" s="2"/>
      <c r="E906" s="2"/>
      <c r="F906" s="2"/>
      <c r="G906" s="2"/>
      <c r="H906" s="2"/>
      <c r="I906" s="2"/>
      <c r="J906" s="2"/>
      <c r="K906" s="2"/>
    </row>
    <row r="907" spans="1:11" x14ac:dyDescent="0.2">
      <c r="A907">
        <v>883</v>
      </c>
      <c r="B907">
        <v>1699019.4438026359</v>
      </c>
      <c r="D907" s="2"/>
      <c r="E907" s="2"/>
      <c r="F907" s="2"/>
      <c r="G907" s="2"/>
      <c r="H907" s="2"/>
      <c r="I907" s="2"/>
      <c r="J907" s="2"/>
      <c r="K907" s="2"/>
    </row>
    <row r="908" spans="1:11" x14ac:dyDescent="0.2">
      <c r="A908">
        <v>884</v>
      </c>
      <c r="B908">
        <v>18879255.009490199</v>
      </c>
      <c r="D908" s="2"/>
      <c r="E908" s="2"/>
      <c r="F908" s="2"/>
      <c r="G908" s="2"/>
      <c r="H908" s="2"/>
      <c r="I908" s="2"/>
      <c r="J908" s="2"/>
      <c r="K908" s="2"/>
    </row>
    <row r="909" spans="1:11" x14ac:dyDescent="0.2">
      <c r="A909">
        <v>885</v>
      </c>
      <c r="B909">
        <v>2606380.7656476866</v>
      </c>
      <c r="D909" s="2"/>
      <c r="E909" s="2"/>
      <c r="F909" s="2"/>
      <c r="G909" s="2"/>
      <c r="H909" s="2"/>
      <c r="I909" s="2"/>
      <c r="J909" s="2"/>
      <c r="K909" s="2"/>
    </row>
    <row r="910" spans="1:11" x14ac:dyDescent="0.2">
      <c r="A910">
        <v>886</v>
      </c>
      <c r="B910">
        <v>1779811.6603623517</v>
      </c>
      <c r="D910" s="2"/>
      <c r="E910" s="2"/>
      <c r="F910" s="2"/>
      <c r="G910" s="2"/>
      <c r="H910" s="2"/>
      <c r="I910" s="2"/>
      <c r="J910" s="2"/>
      <c r="K910" s="2"/>
    </row>
    <row r="911" spans="1:11" x14ac:dyDescent="0.2">
      <c r="A911">
        <v>887</v>
      </c>
      <c r="B911">
        <v>4138524.812839543</v>
      </c>
      <c r="D911" s="2"/>
      <c r="E911" s="2"/>
      <c r="F911" s="2"/>
      <c r="G911" s="2"/>
      <c r="H911" s="2"/>
      <c r="I911" s="2"/>
      <c r="J911" s="2"/>
      <c r="K911" s="2"/>
    </row>
    <row r="912" spans="1:11" x14ac:dyDescent="0.2">
      <c r="A912">
        <v>888</v>
      </c>
      <c r="B912">
        <v>3941785.4475008892</v>
      </c>
      <c r="D912" s="2"/>
      <c r="E912" s="2"/>
      <c r="F912" s="2"/>
      <c r="G912" s="2"/>
      <c r="H912" s="2"/>
      <c r="I912" s="2"/>
      <c r="J912" s="2"/>
      <c r="K912" s="2"/>
    </row>
    <row r="913" spans="1:11" x14ac:dyDescent="0.2">
      <c r="A913">
        <v>889</v>
      </c>
      <c r="B913">
        <v>5712757.9894777499</v>
      </c>
      <c r="D913" s="2"/>
      <c r="E913" s="2"/>
      <c r="F913" s="2"/>
      <c r="G913" s="2"/>
      <c r="H913" s="2"/>
      <c r="I913" s="2"/>
      <c r="J913" s="2"/>
      <c r="K913" s="2"/>
    </row>
    <row r="914" spans="1:11" x14ac:dyDescent="0.2">
      <c r="A914">
        <v>890</v>
      </c>
      <c r="B914">
        <v>8576752.9537995644</v>
      </c>
      <c r="D914" s="2"/>
      <c r="E914" s="2"/>
      <c r="F914" s="2"/>
      <c r="G914" s="2"/>
      <c r="H914" s="2"/>
      <c r="I914" s="2"/>
      <c r="J914" s="2"/>
      <c r="K914" s="2"/>
    </row>
    <row r="915" spans="1:11" x14ac:dyDescent="0.2">
      <c r="A915">
        <v>891</v>
      </c>
      <c r="B915">
        <v>1235699.8942373083</v>
      </c>
      <c r="D915" s="2"/>
      <c r="E915" s="2"/>
      <c r="F915" s="2"/>
      <c r="G915" s="2"/>
      <c r="H915" s="2"/>
      <c r="I915" s="2"/>
      <c r="J915" s="2"/>
      <c r="K915" s="2"/>
    </row>
    <row r="916" spans="1:11" x14ac:dyDescent="0.2">
      <c r="A916">
        <v>892</v>
      </c>
      <c r="B916">
        <v>367450.70782751712</v>
      </c>
      <c r="D916" s="2"/>
      <c r="E916" s="2"/>
      <c r="F916" s="2"/>
      <c r="G916" s="2"/>
      <c r="H916" s="2"/>
      <c r="I916" s="2"/>
      <c r="J916" s="2"/>
      <c r="K916" s="2"/>
    </row>
    <row r="917" spans="1:11" x14ac:dyDescent="0.2">
      <c r="A917">
        <v>893</v>
      </c>
      <c r="B917">
        <v>3607415.2003072379</v>
      </c>
      <c r="D917" s="2"/>
      <c r="E917" s="2"/>
      <c r="F917" s="2"/>
      <c r="G917" s="2"/>
      <c r="H917" s="2"/>
      <c r="I917" s="2"/>
      <c r="J917" s="2"/>
      <c r="K917" s="2"/>
    </row>
    <row r="918" spans="1:11" x14ac:dyDescent="0.2">
      <c r="A918">
        <v>894</v>
      </c>
      <c r="B918">
        <v>3054756.5792740439</v>
      </c>
      <c r="D918" s="2"/>
      <c r="E918" s="2"/>
      <c r="F918" s="2"/>
      <c r="G918" s="2"/>
      <c r="H918" s="2"/>
      <c r="I918" s="2"/>
      <c r="J918" s="2"/>
      <c r="K918" s="2"/>
    </row>
    <row r="919" spans="1:11" x14ac:dyDescent="0.2">
      <c r="A919">
        <v>895</v>
      </c>
      <c r="B919">
        <v>2042821.0380183188</v>
      </c>
      <c r="D919" s="2"/>
      <c r="E919" s="2"/>
      <c r="F919" s="2"/>
      <c r="G919" s="2"/>
      <c r="H919" s="2"/>
      <c r="I919" s="2"/>
      <c r="J919" s="2"/>
      <c r="K919" s="2"/>
    </row>
    <row r="920" spans="1:11" x14ac:dyDescent="0.2">
      <c r="A920">
        <v>896</v>
      </c>
      <c r="B920">
        <v>1256081.6045044225</v>
      </c>
      <c r="D920" s="2"/>
      <c r="E920" s="2"/>
      <c r="F920" s="2"/>
      <c r="G920" s="2"/>
      <c r="H920" s="2"/>
      <c r="I920" s="2"/>
      <c r="J920" s="2"/>
      <c r="K920" s="2"/>
    </row>
    <row r="921" spans="1:11" x14ac:dyDescent="0.2">
      <c r="A921">
        <v>897</v>
      </c>
      <c r="B921">
        <v>7221058.0530651575</v>
      </c>
      <c r="D921" s="2"/>
      <c r="E921" s="2"/>
      <c r="F921" s="2"/>
      <c r="G921" s="2"/>
      <c r="H921" s="2"/>
      <c r="I921" s="2"/>
      <c r="J921" s="2"/>
      <c r="K921" s="2"/>
    </row>
    <row r="922" spans="1:11" x14ac:dyDescent="0.2">
      <c r="A922">
        <v>898</v>
      </c>
      <c r="B922">
        <v>2408476.6519943448</v>
      </c>
      <c r="D922" s="2"/>
      <c r="E922" s="2"/>
      <c r="F922" s="2"/>
      <c r="G922" s="2"/>
      <c r="H922" s="2"/>
      <c r="I922" s="2"/>
      <c r="J922" s="2"/>
      <c r="K922" s="2"/>
    </row>
    <row r="923" spans="1:11" x14ac:dyDescent="0.2">
      <c r="A923">
        <v>899</v>
      </c>
      <c r="B923">
        <v>4662311.3712763572</v>
      </c>
      <c r="D923" s="2"/>
      <c r="E923" s="2"/>
      <c r="F923" s="2"/>
      <c r="G923" s="2"/>
      <c r="H923" s="2"/>
      <c r="I923" s="2"/>
      <c r="J923" s="2"/>
      <c r="K923" s="2"/>
    </row>
    <row r="924" spans="1:11" x14ac:dyDescent="0.2">
      <c r="A924">
        <v>900</v>
      </c>
      <c r="B924">
        <v>3857029.5244347416</v>
      </c>
      <c r="D924" s="2"/>
      <c r="E924" s="2"/>
      <c r="F924" s="2"/>
      <c r="G924" s="2"/>
      <c r="H924" s="2"/>
      <c r="I924" s="2"/>
      <c r="J924" s="2"/>
      <c r="K924" s="2"/>
    </row>
    <row r="925" spans="1:11" x14ac:dyDescent="0.2">
      <c r="A925">
        <v>901</v>
      </c>
      <c r="B925">
        <v>6694209.5569480974</v>
      </c>
      <c r="D925" s="2"/>
      <c r="E925" s="2"/>
      <c r="F925" s="2"/>
      <c r="G925" s="2"/>
      <c r="H925" s="2"/>
      <c r="I925" s="2"/>
      <c r="J925" s="2"/>
      <c r="K925" s="2"/>
    </row>
    <row r="926" spans="1:11" x14ac:dyDescent="0.2">
      <c r="A926">
        <v>902</v>
      </c>
      <c r="B926">
        <v>180341.96993626381</v>
      </c>
      <c r="D926" s="2"/>
      <c r="E926" s="2"/>
      <c r="F926" s="2"/>
      <c r="G926" s="2"/>
      <c r="H926" s="2"/>
      <c r="I926" s="2"/>
      <c r="J926" s="2"/>
      <c r="K926" s="2"/>
    </row>
    <row r="927" spans="1:11" x14ac:dyDescent="0.2">
      <c r="A927">
        <v>903</v>
      </c>
      <c r="B927">
        <v>1145719.3693530767</v>
      </c>
      <c r="D927" s="2"/>
      <c r="E927" s="2"/>
      <c r="F927" s="2"/>
      <c r="G927" s="2"/>
      <c r="H927" s="2"/>
      <c r="I927" s="2"/>
      <c r="J927" s="2"/>
      <c r="K927" s="2"/>
    </row>
    <row r="928" spans="1:11" x14ac:dyDescent="0.2">
      <c r="A928">
        <v>904</v>
      </c>
      <c r="B928">
        <v>9019374.0348321162</v>
      </c>
      <c r="D928" s="2"/>
      <c r="E928" s="2"/>
      <c r="F928" s="2"/>
      <c r="G928" s="2"/>
      <c r="H928" s="2"/>
      <c r="I928" s="2"/>
      <c r="J928" s="2"/>
      <c r="K928" s="2"/>
    </row>
    <row r="929" spans="1:11" x14ac:dyDescent="0.2">
      <c r="A929">
        <v>905</v>
      </c>
      <c r="B929">
        <v>-668646.65539754054</v>
      </c>
      <c r="D929" s="2"/>
      <c r="E929" s="2"/>
      <c r="F929" s="2"/>
      <c r="G929" s="2"/>
      <c r="H929" s="2"/>
      <c r="I929" s="2"/>
      <c r="J929" s="2"/>
      <c r="K929" s="2"/>
    </row>
    <row r="930" spans="1:11" x14ac:dyDescent="0.2">
      <c r="A930">
        <v>906</v>
      </c>
      <c r="B930">
        <v>26148214.023015723</v>
      </c>
      <c r="D930" s="2"/>
      <c r="E930" s="2"/>
      <c r="F930" s="2"/>
      <c r="G930" s="2"/>
      <c r="H930" s="2"/>
      <c r="I930" s="2"/>
      <c r="J930" s="2"/>
      <c r="K930" s="2"/>
    </row>
    <row r="931" spans="1:11" x14ac:dyDescent="0.2">
      <c r="A931">
        <v>907</v>
      </c>
      <c r="B931">
        <v>8149715.1047892207</v>
      </c>
      <c r="D931" s="2"/>
      <c r="E931" s="2"/>
      <c r="F931" s="2"/>
      <c r="G931" s="2"/>
      <c r="H931" s="2"/>
      <c r="I931" s="2"/>
      <c r="J931" s="2"/>
      <c r="K931" s="2"/>
    </row>
    <row r="932" spans="1:11" x14ac:dyDescent="0.2">
      <c r="A932">
        <v>908</v>
      </c>
      <c r="B932">
        <v>1617897.1450277898</v>
      </c>
      <c r="D932" s="2"/>
      <c r="E932" s="2"/>
      <c r="F932" s="2"/>
      <c r="G932" s="2"/>
      <c r="H932" s="2"/>
      <c r="I932" s="2"/>
      <c r="J932" s="2"/>
      <c r="K932" s="2"/>
    </row>
    <row r="933" spans="1:11" x14ac:dyDescent="0.2">
      <c r="A933">
        <v>909</v>
      </c>
      <c r="B933">
        <v>13711845.465992158</v>
      </c>
      <c r="D933" s="2"/>
      <c r="E933" s="2"/>
      <c r="F933" s="2"/>
      <c r="G933" s="2"/>
      <c r="H933" s="2"/>
      <c r="I933" s="2"/>
      <c r="J933" s="2"/>
      <c r="K933" s="2"/>
    </row>
    <row r="934" spans="1:11" x14ac:dyDescent="0.2">
      <c r="A934">
        <v>910</v>
      </c>
      <c r="B934">
        <v>3005435.3674585638</v>
      </c>
      <c r="D934" s="2"/>
      <c r="E934" s="2"/>
      <c r="F934" s="2"/>
      <c r="G934" s="2"/>
      <c r="H934" s="2"/>
      <c r="I934" s="2"/>
      <c r="J934" s="2"/>
      <c r="K934" s="2"/>
    </row>
    <row r="935" spans="1:11" x14ac:dyDescent="0.2">
      <c r="A935">
        <v>911</v>
      </c>
      <c r="B935">
        <v>5083650.423345522</v>
      </c>
      <c r="D935" s="2"/>
      <c r="E935" s="2"/>
      <c r="F935" s="2"/>
      <c r="G935" s="2"/>
      <c r="H935" s="2"/>
      <c r="I935" s="2"/>
      <c r="J935" s="2"/>
      <c r="K935" s="2"/>
    </row>
    <row r="936" spans="1:11" x14ac:dyDescent="0.2">
      <c r="A936">
        <v>912</v>
      </c>
      <c r="B936">
        <v>2552789.1361876293</v>
      </c>
      <c r="D936" s="2"/>
      <c r="E936" s="2"/>
      <c r="F936" s="2"/>
      <c r="G936" s="2"/>
      <c r="H936" s="2"/>
      <c r="I936" s="2"/>
      <c r="J936" s="2"/>
      <c r="K936" s="2"/>
    </row>
    <row r="937" spans="1:11" x14ac:dyDescent="0.2">
      <c r="A937">
        <v>913</v>
      </c>
      <c r="B937">
        <v>1777035.7282910261</v>
      </c>
      <c r="D937" s="2"/>
      <c r="E937" s="2"/>
      <c r="F937" s="2"/>
      <c r="G937" s="2"/>
      <c r="H937" s="2"/>
      <c r="I937" s="2"/>
      <c r="J937" s="2"/>
      <c r="K937" s="2"/>
    </row>
    <row r="938" spans="1:11" x14ac:dyDescent="0.2">
      <c r="A938">
        <v>914</v>
      </c>
      <c r="B938">
        <v>8485300.1006785035</v>
      </c>
      <c r="D938" s="2"/>
      <c r="E938" s="2"/>
      <c r="F938" s="2"/>
      <c r="G938" s="2"/>
      <c r="H938" s="2"/>
      <c r="I938" s="2"/>
      <c r="J938" s="2"/>
      <c r="K938" s="2"/>
    </row>
    <row r="939" spans="1:11" x14ac:dyDescent="0.2">
      <c r="A939">
        <v>915</v>
      </c>
      <c r="B939">
        <v>7171340.8934682719</v>
      </c>
      <c r="D939" s="2"/>
      <c r="E939" s="2"/>
      <c r="F939" s="2"/>
      <c r="G939" s="2"/>
      <c r="H939" s="2"/>
      <c r="I939" s="2"/>
      <c r="J939" s="2"/>
      <c r="K939" s="2"/>
    </row>
    <row r="940" spans="1:11" x14ac:dyDescent="0.2">
      <c r="A940">
        <v>916</v>
      </c>
      <c r="B940">
        <v>9105546.9819501676</v>
      </c>
      <c r="D940" s="2"/>
      <c r="E940" s="2"/>
      <c r="F940" s="2"/>
      <c r="G940" s="2"/>
      <c r="H940" s="2"/>
      <c r="I940" s="2"/>
      <c r="J940" s="2"/>
      <c r="K940" s="2"/>
    </row>
    <row r="941" spans="1:11" x14ac:dyDescent="0.2">
      <c r="A941">
        <v>917</v>
      </c>
      <c r="B941">
        <v>2217671.9356183838</v>
      </c>
      <c r="D941" s="2"/>
      <c r="E941" s="2"/>
      <c r="F941" s="2"/>
      <c r="G941" s="2"/>
      <c r="H941" s="2"/>
      <c r="I941" s="2"/>
      <c r="J941" s="2"/>
      <c r="K941" s="2"/>
    </row>
    <row r="942" spans="1:11" x14ac:dyDescent="0.2">
      <c r="A942">
        <v>918</v>
      </c>
      <c r="B942">
        <v>4367603.7261770871</v>
      </c>
      <c r="D942" s="2"/>
      <c r="E942" s="2"/>
      <c r="F942" s="2"/>
      <c r="G942" s="2"/>
      <c r="H942" s="2"/>
      <c r="I942" s="2"/>
      <c r="J942" s="2"/>
      <c r="K942" s="2"/>
    </row>
    <row r="943" spans="1:11" x14ac:dyDescent="0.2">
      <c r="A943">
        <v>919</v>
      </c>
      <c r="B943">
        <v>6543685.439207321</v>
      </c>
      <c r="D943" s="2"/>
      <c r="E943" s="2"/>
      <c r="F943" s="2"/>
      <c r="G943" s="2"/>
      <c r="H943" s="2"/>
      <c r="I943" s="2"/>
      <c r="J943" s="2"/>
      <c r="K943" s="2"/>
    </row>
    <row r="944" spans="1:11" x14ac:dyDescent="0.2">
      <c r="A944">
        <v>920</v>
      </c>
      <c r="B944">
        <v>2505635.2469918579</v>
      </c>
      <c r="D944" s="2"/>
      <c r="E944" s="2"/>
      <c r="F944" s="2"/>
      <c r="G944" s="2"/>
      <c r="H944" s="2"/>
      <c r="I944" s="2"/>
      <c r="J944" s="2"/>
      <c r="K944" s="2"/>
    </row>
    <row r="945" spans="1:11" x14ac:dyDescent="0.2">
      <c r="A945">
        <v>921</v>
      </c>
      <c r="B945">
        <v>5550101.3902427778</v>
      </c>
      <c r="D945" s="2"/>
      <c r="E945" s="2"/>
      <c r="F945" s="2"/>
      <c r="G945" s="2"/>
      <c r="H945" s="2"/>
      <c r="I945" s="2"/>
      <c r="J945" s="2"/>
      <c r="K945" s="2"/>
    </row>
    <row r="946" spans="1:11" x14ac:dyDescent="0.2">
      <c r="A946">
        <v>922</v>
      </c>
      <c r="B946">
        <v>3662515.8829972721</v>
      </c>
      <c r="D946" s="2"/>
      <c r="E946" s="2"/>
      <c r="F946" s="2"/>
      <c r="G946" s="2"/>
      <c r="H946" s="2"/>
      <c r="I946" s="2"/>
      <c r="J946" s="2"/>
      <c r="K946" s="2"/>
    </row>
    <row r="947" spans="1:11" x14ac:dyDescent="0.2">
      <c r="A947">
        <v>923</v>
      </c>
      <c r="B947">
        <v>6518059.0815877039</v>
      </c>
      <c r="D947" s="2"/>
      <c r="E947" s="2"/>
      <c r="F947" s="2"/>
      <c r="G947" s="2"/>
      <c r="H947" s="2"/>
      <c r="I947" s="2"/>
      <c r="J947" s="2"/>
      <c r="K947" s="2"/>
    </row>
    <row r="948" spans="1:11" x14ac:dyDescent="0.2">
      <c r="A948">
        <v>924</v>
      </c>
      <c r="B948">
        <v>2238935.1509490502</v>
      </c>
      <c r="D948" s="2"/>
      <c r="E948" s="2"/>
      <c r="F948" s="2"/>
      <c r="G948" s="2"/>
      <c r="H948" s="2"/>
      <c r="I948" s="2"/>
      <c r="J948" s="2"/>
      <c r="K948" s="2"/>
    </row>
    <row r="949" spans="1:11" x14ac:dyDescent="0.2">
      <c r="A949">
        <v>925</v>
      </c>
      <c r="B949">
        <v>5408653.428053203</v>
      </c>
      <c r="D949" s="2"/>
      <c r="E949" s="2"/>
      <c r="F949" s="2"/>
      <c r="G949" s="2"/>
      <c r="H949" s="2"/>
      <c r="I949" s="2"/>
      <c r="J949" s="2"/>
      <c r="K949" s="2"/>
    </row>
    <row r="950" spans="1:11" x14ac:dyDescent="0.2">
      <c r="A950">
        <v>926</v>
      </c>
      <c r="B950">
        <v>1355190.5486463641</v>
      </c>
      <c r="D950" s="2"/>
      <c r="E950" s="2"/>
      <c r="F950" s="2"/>
      <c r="G950" s="2"/>
      <c r="H950" s="2"/>
      <c r="I950" s="2"/>
      <c r="J950" s="2"/>
      <c r="K950" s="2"/>
    </row>
    <row r="951" spans="1:11" x14ac:dyDescent="0.2">
      <c r="A951">
        <v>927</v>
      </c>
      <c r="B951">
        <v>4968239.4723743834</v>
      </c>
      <c r="D951" s="2"/>
      <c r="E951" s="2"/>
      <c r="F951" s="2"/>
      <c r="G951" s="2"/>
      <c r="H951" s="2"/>
      <c r="I951" s="2"/>
      <c r="J951" s="2"/>
      <c r="K951" s="2"/>
    </row>
    <row r="952" spans="1:11" x14ac:dyDescent="0.2">
      <c r="A952">
        <v>928</v>
      </c>
      <c r="B952">
        <v>203010.77124385809</v>
      </c>
      <c r="D952" s="2"/>
      <c r="E952" s="2"/>
      <c r="F952" s="2"/>
      <c r="G952" s="2"/>
      <c r="H952" s="2"/>
      <c r="I952" s="2"/>
      <c r="J952" s="2"/>
      <c r="K952" s="2"/>
    </row>
    <row r="953" spans="1:11" x14ac:dyDescent="0.2">
      <c r="A953">
        <v>929</v>
      </c>
      <c r="B953">
        <v>11777465.410754524</v>
      </c>
      <c r="D953" s="2"/>
      <c r="E953" s="2"/>
      <c r="F953" s="2"/>
      <c r="G953" s="2"/>
      <c r="H953" s="2"/>
      <c r="I953" s="2"/>
      <c r="J953" s="2"/>
      <c r="K953" s="2"/>
    </row>
    <row r="954" spans="1:11" x14ac:dyDescent="0.2">
      <c r="A954">
        <v>930</v>
      </c>
      <c r="B954">
        <v>14145987.841271689</v>
      </c>
      <c r="D954" s="2"/>
      <c r="E954" s="2"/>
      <c r="F954" s="2"/>
      <c r="G954" s="2"/>
      <c r="H954" s="2"/>
      <c r="I954" s="2"/>
      <c r="J954" s="2"/>
      <c r="K954" s="2"/>
    </row>
    <row r="955" spans="1:11" x14ac:dyDescent="0.2">
      <c r="A955">
        <v>931</v>
      </c>
      <c r="B955">
        <v>1125855.0369698727</v>
      </c>
      <c r="D955" s="2"/>
      <c r="E955" s="2"/>
      <c r="F955" s="2"/>
      <c r="G955" s="2"/>
      <c r="H955" s="2"/>
      <c r="I955" s="2"/>
      <c r="J955" s="2"/>
      <c r="K955" s="2"/>
    </row>
    <row r="956" spans="1:11" x14ac:dyDescent="0.2">
      <c r="A956">
        <v>932</v>
      </c>
      <c r="B956">
        <v>6448065.3045245875</v>
      </c>
      <c r="D956" s="2"/>
      <c r="E956" s="2"/>
      <c r="F956" s="2"/>
      <c r="G956" s="2"/>
      <c r="H956" s="2"/>
      <c r="I956" s="2"/>
      <c r="J956" s="2"/>
      <c r="K956" s="2"/>
    </row>
    <row r="957" spans="1:11" x14ac:dyDescent="0.2">
      <c r="A957">
        <v>933</v>
      </c>
      <c r="B957">
        <v>3581551.1751395455</v>
      </c>
      <c r="D957" s="2"/>
      <c r="E957" s="2"/>
      <c r="F957" s="2"/>
      <c r="G957" s="2"/>
      <c r="H957" s="2"/>
      <c r="I957" s="2"/>
      <c r="J957" s="2"/>
      <c r="K957" s="2"/>
    </row>
    <row r="958" spans="1:11" x14ac:dyDescent="0.2">
      <c r="A958">
        <v>934</v>
      </c>
      <c r="B958">
        <v>2457754.3058612193</v>
      </c>
      <c r="D958" s="2"/>
      <c r="E958" s="2"/>
      <c r="F958" s="2"/>
      <c r="G958" s="2"/>
      <c r="H958" s="2"/>
      <c r="I958" s="2"/>
      <c r="J958" s="2"/>
      <c r="K958" s="2"/>
    </row>
    <row r="959" spans="1:11" x14ac:dyDescent="0.2">
      <c r="A959">
        <v>935</v>
      </c>
      <c r="B959">
        <v>4644619.4894875847</v>
      </c>
      <c r="D959" s="2"/>
      <c r="E959" s="2"/>
      <c r="F959" s="2"/>
      <c r="G959" s="2"/>
      <c r="H959" s="2"/>
      <c r="I959" s="2"/>
      <c r="J959" s="2"/>
      <c r="K959" s="2"/>
    </row>
    <row r="960" spans="1:11" x14ac:dyDescent="0.2">
      <c r="A960">
        <v>936</v>
      </c>
      <c r="B960">
        <v>4653192.5591938645</v>
      </c>
      <c r="D960" s="2"/>
      <c r="E960" s="2"/>
      <c r="F960" s="2"/>
      <c r="G960" s="2"/>
      <c r="H960" s="2"/>
      <c r="I960" s="2"/>
      <c r="J960" s="2"/>
      <c r="K960" s="2"/>
    </row>
    <row r="961" spans="1:11" x14ac:dyDescent="0.2">
      <c r="A961">
        <v>937</v>
      </c>
      <c r="B961">
        <v>6465915.522037602</v>
      </c>
      <c r="D961" s="2"/>
      <c r="E961" s="2"/>
      <c r="F961" s="2"/>
      <c r="G961" s="2"/>
      <c r="H961" s="2"/>
      <c r="I961" s="2"/>
      <c r="J961" s="2"/>
      <c r="K961" s="2"/>
    </row>
    <row r="962" spans="1:11" x14ac:dyDescent="0.2">
      <c r="A962">
        <v>938</v>
      </c>
      <c r="B962">
        <v>-201946.21948923008</v>
      </c>
      <c r="D962" s="2"/>
      <c r="E962" s="2"/>
      <c r="F962" s="2"/>
      <c r="G962" s="2"/>
      <c r="H962" s="2"/>
      <c r="I962" s="2"/>
      <c r="J962" s="2"/>
      <c r="K962" s="2"/>
    </row>
    <row r="963" spans="1:11" x14ac:dyDescent="0.2">
      <c r="A963">
        <v>939</v>
      </c>
      <c r="B963">
        <v>5149925.765512133</v>
      </c>
      <c r="D963" s="2"/>
      <c r="E963" s="2"/>
      <c r="F963" s="2"/>
      <c r="G963" s="2"/>
      <c r="H963" s="2"/>
      <c r="I963" s="2"/>
      <c r="J963" s="2"/>
      <c r="K963" s="2"/>
    </row>
    <row r="964" spans="1:11" x14ac:dyDescent="0.2">
      <c r="A964">
        <v>940</v>
      </c>
      <c r="B964">
        <v>5411426.9657662427</v>
      </c>
      <c r="D964" s="2"/>
      <c r="E964" s="2"/>
      <c r="F964" s="2"/>
      <c r="G964" s="2"/>
      <c r="H964" s="2"/>
      <c r="I964" s="2"/>
      <c r="J964" s="2"/>
      <c r="K964" s="2"/>
    </row>
    <row r="965" spans="1:11" x14ac:dyDescent="0.2">
      <c r="A965">
        <v>941</v>
      </c>
      <c r="B965">
        <v>1883191.6898750009</v>
      </c>
      <c r="D965" s="2"/>
      <c r="E965" s="2"/>
      <c r="F965" s="2"/>
      <c r="G965" s="2"/>
      <c r="H965" s="2"/>
      <c r="I965" s="2"/>
      <c r="J965" s="2"/>
      <c r="K965" s="2"/>
    </row>
    <row r="966" spans="1:11" x14ac:dyDescent="0.2">
      <c r="A966">
        <v>942</v>
      </c>
      <c r="B966">
        <v>-2967889.9438053146</v>
      </c>
      <c r="D966" s="2"/>
      <c r="E966" s="2"/>
      <c r="F966" s="2"/>
      <c r="G966" s="2"/>
      <c r="H966" s="2"/>
      <c r="I966" s="2"/>
      <c r="J966" s="2"/>
      <c r="K966" s="2"/>
    </row>
    <row r="967" spans="1:11" x14ac:dyDescent="0.2">
      <c r="A967">
        <v>943</v>
      </c>
      <c r="B967">
        <v>1783760.8434925857</v>
      </c>
      <c r="D967" s="2"/>
      <c r="E967" s="2"/>
      <c r="F967" s="2"/>
      <c r="G967" s="2"/>
      <c r="H967" s="2"/>
      <c r="I967" s="2"/>
      <c r="J967" s="2"/>
      <c r="K967" s="2"/>
    </row>
    <row r="968" spans="1:11" x14ac:dyDescent="0.2">
      <c r="A968">
        <v>944</v>
      </c>
      <c r="B968">
        <v>1494836.3086495579</v>
      </c>
      <c r="D968" s="2"/>
      <c r="E968" s="2"/>
      <c r="F968" s="2"/>
      <c r="G968" s="2"/>
      <c r="H968" s="2"/>
      <c r="I968" s="2"/>
      <c r="J968" s="2"/>
      <c r="K968" s="2"/>
    </row>
    <row r="969" spans="1:11" x14ac:dyDescent="0.2">
      <c r="A969">
        <v>945</v>
      </c>
      <c r="B969">
        <v>-188717.64077799569</v>
      </c>
      <c r="D969" s="2"/>
      <c r="E969" s="2"/>
      <c r="F969" s="2"/>
      <c r="G969" s="2"/>
      <c r="H969" s="2"/>
      <c r="I969" s="2"/>
      <c r="J969" s="2"/>
      <c r="K969" s="2"/>
    </row>
    <row r="970" spans="1:11" x14ac:dyDescent="0.2">
      <c r="A970">
        <v>946</v>
      </c>
      <c r="B970">
        <v>7128046.2014556713</v>
      </c>
      <c r="D970" s="2"/>
      <c r="E970" s="2"/>
      <c r="F970" s="2"/>
      <c r="G970" s="2"/>
      <c r="H970" s="2"/>
      <c r="I970" s="2"/>
      <c r="J970" s="2"/>
      <c r="K970" s="2"/>
    </row>
    <row r="971" spans="1:11" x14ac:dyDescent="0.2">
      <c r="A971">
        <v>947</v>
      </c>
      <c r="B971">
        <v>3954578.7819492971</v>
      </c>
      <c r="D971" s="2"/>
      <c r="E971" s="2"/>
      <c r="F971" s="2"/>
      <c r="G971" s="2"/>
      <c r="H971" s="2"/>
      <c r="I971" s="2"/>
      <c r="J971" s="2"/>
      <c r="K971" s="2"/>
    </row>
    <row r="972" spans="1:11" x14ac:dyDescent="0.2">
      <c r="A972">
        <v>948</v>
      </c>
      <c r="B972">
        <v>1398438.5621834684</v>
      </c>
      <c r="D972" s="2"/>
      <c r="E972" s="2"/>
      <c r="F972" s="2"/>
      <c r="G972" s="2"/>
      <c r="H972" s="2"/>
      <c r="I972" s="2"/>
      <c r="J972" s="2"/>
      <c r="K972" s="2"/>
    </row>
    <row r="973" spans="1:11" x14ac:dyDescent="0.2">
      <c r="A973">
        <v>949</v>
      </c>
      <c r="B973">
        <v>8999181.0132851843</v>
      </c>
      <c r="D973" s="2"/>
      <c r="E973" s="2"/>
      <c r="F973" s="2"/>
      <c r="G973" s="2"/>
      <c r="H973" s="2"/>
      <c r="I973" s="2"/>
      <c r="J973" s="2"/>
      <c r="K973" s="2"/>
    </row>
    <row r="974" spans="1:11" x14ac:dyDescent="0.2">
      <c r="A974">
        <v>950</v>
      </c>
      <c r="B974">
        <v>11014941.722851263</v>
      </c>
      <c r="D974" s="2"/>
      <c r="E974" s="2"/>
      <c r="F974" s="2"/>
      <c r="G974" s="2"/>
      <c r="H974" s="2"/>
      <c r="I974" s="2"/>
      <c r="J974" s="2"/>
      <c r="K974" s="2"/>
    </row>
    <row r="975" spans="1:11" x14ac:dyDescent="0.2">
      <c r="A975">
        <v>951</v>
      </c>
      <c r="B975">
        <v>-280278.98852405266</v>
      </c>
      <c r="D975" s="2"/>
      <c r="E975" s="2"/>
      <c r="F975" s="2"/>
      <c r="G975" s="2"/>
      <c r="H975" s="2"/>
      <c r="I975" s="2"/>
      <c r="J975" s="2"/>
      <c r="K975" s="2"/>
    </row>
    <row r="976" spans="1:11" x14ac:dyDescent="0.2">
      <c r="A976">
        <v>952</v>
      </c>
      <c r="B976">
        <v>7231652.6729433192</v>
      </c>
      <c r="D976" s="2"/>
      <c r="E976" s="2"/>
      <c r="F976" s="2"/>
      <c r="G976" s="2"/>
      <c r="H976" s="2"/>
      <c r="I976" s="2"/>
      <c r="J976" s="2"/>
      <c r="K976" s="2"/>
    </row>
    <row r="977" spans="1:11" x14ac:dyDescent="0.2">
      <c r="A977">
        <v>953</v>
      </c>
      <c r="B977">
        <v>2441554.9688489456</v>
      </c>
      <c r="D977" s="2"/>
      <c r="E977" s="2"/>
      <c r="F977" s="2"/>
      <c r="G977" s="2"/>
      <c r="H977" s="2"/>
      <c r="I977" s="2"/>
      <c r="J977" s="2"/>
      <c r="K977" s="2"/>
    </row>
    <row r="978" spans="1:11" x14ac:dyDescent="0.2">
      <c r="A978">
        <v>954</v>
      </c>
      <c r="B978">
        <v>3201624.8619987732</v>
      </c>
      <c r="D978" s="2"/>
      <c r="E978" s="2"/>
      <c r="F978" s="2"/>
      <c r="G978" s="2"/>
      <c r="H978" s="2"/>
      <c r="I978" s="2"/>
      <c r="J978" s="2"/>
      <c r="K978" s="2"/>
    </row>
    <row r="979" spans="1:11" x14ac:dyDescent="0.2">
      <c r="A979">
        <v>955</v>
      </c>
      <c r="B979">
        <v>4845345.7976739537</v>
      </c>
      <c r="D979" s="2"/>
      <c r="E979" s="2"/>
      <c r="F979" s="2"/>
      <c r="G979" s="2"/>
      <c r="H979" s="2"/>
      <c r="I979" s="2"/>
      <c r="J979" s="2"/>
      <c r="K979" s="2"/>
    </row>
    <row r="980" spans="1:11" x14ac:dyDescent="0.2">
      <c r="A980">
        <v>956</v>
      </c>
      <c r="B980">
        <v>5196332.684942225</v>
      </c>
      <c r="D980" s="2"/>
      <c r="E980" s="2"/>
      <c r="F980" s="2"/>
      <c r="G980" s="2"/>
      <c r="H980" s="2"/>
      <c r="I980" s="2"/>
      <c r="J980" s="2"/>
      <c r="K980" s="2"/>
    </row>
    <row r="981" spans="1:11" x14ac:dyDescent="0.2">
      <c r="A981">
        <v>957</v>
      </c>
      <c r="B981">
        <v>985988.47378326138</v>
      </c>
      <c r="D981" s="2"/>
      <c r="E981" s="2"/>
      <c r="F981" s="2"/>
      <c r="G981" s="2"/>
      <c r="H981" s="2"/>
      <c r="I981" s="2"/>
      <c r="J981" s="2"/>
      <c r="K981" s="2"/>
    </row>
    <row r="982" spans="1:11" x14ac:dyDescent="0.2">
      <c r="A982">
        <v>958</v>
      </c>
      <c r="B982">
        <v>3274308.8700460815</v>
      </c>
      <c r="D982" s="2"/>
      <c r="E982" s="2"/>
      <c r="F982" s="2"/>
      <c r="G982" s="2"/>
      <c r="H982" s="2"/>
      <c r="I982" s="2"/>
      <c r="J982" s="2"/>
      <c r="K982" s="2"/>
    </row>
    <row r="983" spans="1:11" x14ac:dyDescent="0.2">
      <c r="A983">
        <v>959</v>
      </c>
      <c r="B983">
        <v>1995875.6826621941</v>
      </c>
      <c r="D983" s="2"/>
      <c r="E983" s="2"/>
      <c r="F983" s="2"/>
      <c r="G983" s="2"/>
      <c r="H983" s="2"/>
      <c r="I983" s="2"/>
      <c r="J983" s="2"/>
      <c r="K983" s="2"/>
    </row>
    <row r="984" spans="1:11" x14ac:dyDescent="0.2">
      <c r="A984">
        <v>960</v>
      </c>
      <c r="B984">
        <v>2066851.2220983168</v>
      </c>
      <c r="D984" s="2"/>
      <c r="E984" s="2"/>
      <c r="F984" s="2"/>
      <c r="G984" s="2"/>
      <c r="H984" s="2"/>
      <c r="I984" s="2"/>
      <c r="J984" s="2"/>
      <c r="K984" s="2"/>
    </row>
    <row r="985" spans="1:11" x14ac:dyDescent="0.2">
      <c r="A985">
        <v>961</v>
      </c>
      <c r="B985">
        <v>30667.06187381997</v>
      </c>
      <c r="D985" s="2"/>
      <c r="E985" s="2"/>
      <c r="F985" s="2"/>
      <c r="G985" s="2"/>
      <c r="H985" s="2"/>
      <c r="I985" s="2"/>
      <c r="J985" s="2"/>
      <c r="K985" s="2"/>
    </row>
    <row r="986" spans="1:11" x14ac:dyDescent="0.2">
      <c r="A986">
        <v>962</v>
      </c>
      <c r="B986">
        <v>9241158.4677392002</v>
      </c>
      <c r="D986" s="2"/>
      <c r="E986" s="2"/>
      <c r="F986" s="2"/>
      <c r="G986" s="2"/>
      <c r="H986" s="2"/>
      <c r="I986" s="2"/>
      <c r="J986" s="2"/>
      <c r="K986" s="2"/>
    </row>
    <row r="987" spans="1:11" x14ac:dyDescent="0.2">
      <c r="A987">
        <v>963</v>
      </c>
      <c r="B987">
        <v>-2332132.4902588562</v>
      </c>
      <c r="D987" s="2"/>
      <c r="E987" s="2"/>
      <c r="F987" s="2"/>
      <c r="G987" s="2"/>
      <c r="H987" s="2"/>
      <c r="I987" s="2"/>
      <c r="J987" s="2"/>
      <c r="K987" s="2"/>
    </row>
    <row r="988" spans="1:11" x14ac:dyDescent="0.2">
      <c r="A988">
        <v>964</v>
      </c>
      <c r="B988">
        <v>2021092.8329118753</v>
      </c>
      <c r="D988" s="2"/>
      <c r="E988" s="2"/>
      <c r="F988" s="2"/>
      <c r="G988" s="2"/>
      <c r="H988" s="2"/>
      <c r="I988" s="2"/>
      <c r="J988" s="2"/>
      <c r="K988" s="2"/>
    </row>
    <row r="989" spans="1:11" x14ac:dyDescent="0.2">
      <c r="A989">
        <v>965</v>
      </c>
      <c r="B989">
        <v>5923530.1994441124</v>
      </c>
      <c r="D989" s="2"/>
      <c r="E989" s="2"/>
      <c r="F989" s="2"/>
      <c r="G989" s="2"/>
      <c r="H989" s="2"/>
      <c r="I989" s="2"/>
      <c r="J989" s="2"/>
      <c r="K989" s="2"/>
    </row>
    <row r="990" spans="1:11" x14ac:dyDescent="0.2">
      <c r="A990">
        <v>966</v>
      </c>
      <c r="B990">
        <v>1550858.7536605373</v>
      </c>
      <c r="D990" s="2"/>
      <c r="E990" s="2"/>
      <c r="F990" s="2"/>
      <c r="G990" s="2"/>
      <c r="H990" s="2"/>
      <c r="I990" s="2"/>
      <c r="J990" s="2"/>
      <c r="K990" s="2"/>
    </row>
    <row r="991" spans="1:11" x14ac:dyDescent="0.2">
      <c r="A991">
        <v>967</v>
      </c>
      <c r="B991">
        <v>2962204.7791347024</v>
      </c>
      <c r="D991" s="2"/>
      <c r="E991" s="2"/>
      <c r="F991" s="2"/>
      <c r="G991" s="2"/>
      <c r="H991" s="2"/>
      <c r="I991" s="2"/>
      <c r="J991" s="2"/>
      <c r="K991" s="2"/>
    </row>
    <row r="992" spans="1:11" x14ac:dyDescent="0.2">
      <c r="A992">
        <v>968</v>
      </c>
      <c r="B992">
        <v>7602805.5281813862</v>
      </c>
      <c r="D992" s="2"/>
      <c r="E992" s="2"/>
      <c r="F992" s="2"/>
      <c r="G992" s="2"/>
      <c r="H992" s="2"/>
      <c r="I992" s="2"/>
      <c r="J992" s="2"/>
      <c r="K992" s="2"/>
    </row>
    <row r="993" spans="1:11" x14ac:dyDescent="0.2">
      <c r="A993">
        <v>969</v>
      </c>
      <c r="B993">
        <v>3046342.0512137543</v>
      </c>
      <c r="D993" s="2"/>
      <c r="E993" s="2"/>
      <c r="F993" s="2"/>
      <c r="G993" s="2"/>
      <c r="H993" s="2"/>
      <c r="I993" s="2"/>
      <c r="J993" s="2"/>
      <c r="K993" s="2"/>
    </row>
    <row r="994" spans="1:11" x14ac:dyDescent="0.2">
      <c r="A994">
        <v>970</v>
      </c>
      <c r="B994">
        <v>5449387.0450786883</v>
      </c>
      <c r="D994" s="2"/>
      <c r="E994" s="2"/>
      <c r="F994" s="2"/>
      <c r="G994" s="2"/>
      <c r="H994" s="2"/>
      <c r="I994" s="2"/>
      <c r="J994" s="2"/>
      <c r="K994" s="2"/>
    </row>
    <row r="995" spans="1:11" x14ac:dyDescent="0.2">
      <c r="A995">
        <v>971</v>
      </c>
      <c r="B995">
        <v>4930493.3082109727</v>
      </c>
      <c r="D995" s="2"/>
      <c r="E995" s="2"/>
      <c r="F995" s="2"/>
      <c r="G995" s="2"/>
      <c r="H995" s="2"/>
      <c r="I995" s="2"/>
      <c r="J995" s="2"/>
      <c r="K995" s="2"/>
    </row>
    <row r="996" spans="1:11" x14ac:dyDescent="0.2">
      <c r="A996">
        <v>972</v>
      </c>
      <c r="B996">
        <v>906842.07932415116</v>
      </c>
      <c r="D996" s="2"/>
      <c r="E996" s="2"/>
      <c r="F996" s="2"/>
      <c r="G996" s="2"/>
      <c r="H996" s="2"/>
      <c r="I996" s="2"/>
      <c r="J996" s="2"/>
      <c r="K996" s="2"/>
    </row>
    <row r="997" spans="1:11" x14ac:dyDescent="0.2">
      <c r="A997">
        <v>973</v>
      </c>
      <c r="B997">
        <v>-1638629.4638197457</v>
      </c>
      <c r="D997" s="2"/>
      <c r="E997" s="2"/>
      <c r="F997" s="2"/>
      <c r="G997" s="2"/>
      <c r="H997" s="2"/>
      <c r="I997" s="2"/>
      <c r="J997" s="2"/>
      <c r="K997" s="2"/>
    </row>
    <row r="998" spans="1:11" x14ac:dyDescent="0.2">
      <c r="A998">
        <v>974</v>
      </c>
      <c r="B998">
        <v>437272.65671609272</v>
      </c>
      <c r="D998" s="2"/>
      <c r="E998" s="2"/>
      <c r="F998" s="2"/>
      <c r="G998" s="2"/>
      <c r="H998" s="2"/>
      <c r="I998" s="2"/>
      <c r="J998" s="2"/>
      <c r="K998" s="2"/>
    </row>
    <row r="999" spans="1:11" x14ac:dyDescent="0.2">
      <c r="A999">
        <v>975</v>
      </c>
      <c r="B999">
        <v>11892149.152140727</v>
      </c>
      <c r="D999" s="2"/>
      <c r="E999" s="2"/>
      <c r="F999" s="2"/>
      <c r="G999" s="2"/>
      <c r="H999" s="2"/>
      <c r="I999" s="2"/>
      <c r="J999" s="2"/>
      <c r="K999" s="2"/>
    </row>
    <row r="1000" spans="1:11" x14ac:dyDescent="0.2">
      <c r="A1000">
        <v>976</v>
      </c>
      <c r="B1000">
        <v>1505009.888822732</v>
      </c>
      <c r="D1000" s="2"/>
      <c r="E1000" s="2"/>
      <c r="F1000" s="2"/>
      <c r="G1000" s="2"/>
      <c r="H1000" s="2"/>
      <c r="I1000" s="2"/>
      <c r="J1000" s="2"/>
      <c r="K1000" s="2"/>
    </row>
    <row r="1001" spans="1:11" x14ac:dyDescent="0.2">
      <c r="A1001">
        <v>977</v>
      </c>
      <c r="B1001">
        <v>17314199.199556213</v>
      </c>
      <c r="D1001" s="2"/>
      <c r="E1001" s="2"/>
      <c r="F1001" s="2"/>
      <c r="G1001" s="2"/>
      <c r="H1001" s="2"/>
      <c r="I1001" s="2"/>
      <c r="J1001" s="2"/>
      <c r="K1001" s="2"/>
    </row>
    <row r="1002" spans="1:11" x14ac:dyDescent="0.2">
      <c r="A1002">
        <v>978</v>
      </c>
      <c r="B1002">
        <v>8782881.2791963741</v>
      </c>
      <c r="D1002" s="2"/>
      <c r="E1002" s="2"/>
      <c r="F1002" s="2"/>
      <c r="G1002" s="2"/>
      <c r="H1002" s="2"/>
      <c r="I1002" s="2"/>
      <c r="J1002" s="2"/>
      <c r="K1002" s="2"/>
    </row>
    <row r="1003" spans="1:11" x14ac:dyDescent="0.2">
      <c r="A1003">
        <v>979</v>
      </c>
      <c r="B1003">
        <v>-1855764.002320274</v>
      </c>
      <c r="D1003" s="2"/>
      <c r="E1003" s="2"/>
      <c r="F1003" s="2"/>
      <c r="G1003" s="2"/>
      <c r="H1003" s="2"/>
      <c r="I1003" s="2"/>
      <c r="J1003" s="2"/>
      <c r="K1003" s="2"/>
    </row>
    <row r="1004" spans="1:11" x14ac:dyDescent="0.2">
      <c r="A1004">
        <v>980</v>
      </c>
      <c r="B1004">
        <v>278352.90192432958</v>
      </c>
      <c r="D1004" s="2"/>
      <c r="E1004" s="2"/>
      <c r="F1004" s="2"/>
      <c r="G1004" s="2"/>
      <c r="H1004" s="2"/>
      <c r="I1004" s="2"/>
      <c r="J1004" s="2"/>
      <c r="K1004" s="2"/>
    </row>
    <row r="1005" spans="1:11" x14ac:dyDescent="0.2">
      <c r="A1005">
        <v>981</v>
      </c>
      <c r="B1005">
        <v>695067.86007727357</v>
      </c>
      <c r="D1005" s="2"/>
      <c r="E1005" s="2"/>
      <c r="F1005" s="2"/>
      <c r="G1005" s="2"/>
      <c r="H1005" s="2"/>
      <c r="I1005" s="2"/>
      <c r="J1005" s="2"/>
      <c r="K1005" s="2"/>
    </row>
    <row r="1006" spans="1:11" x14ac:dyDescent="0.2">
      <c r="A1006">
        <v>982</v>
      </c>
      <c r="B1006">
        <v>-364549.39773173351</v>
      </c>
      <c r="D1006" s="2"/>
      <c r="E1006" s="2"/>
      <c r="F1006" s="2"/>
      <c r="G1006" s="2"/>
      <c r="H1006" s="2"/>
      <c r="I1006" s="2"/>
      <c r="J1006" s="2"/>
      <c r="K1006" s="2"/>
    </row>
    <row r="1007" spans="1:11" x14ac:dyDescent="0.2">
      <c r="A1007">
        <v>983</v>
      </c>
      <c r="B1007">
        <v>-2238419.6737151993</v>
      </c>
      <c r="D1007" s="2"/>
      <c r="E1007" s="2"/>
      <c r="F1007" s="2"/>
      <c r="G1007" s="2"/>
      <c r="H1007" s="2"/>
      <c r="I1007" s="2"/>
      <c r="J1007" s="2"/>
      <c r="K1007" s="2"/>
    </row>
    <row r="1008" spans="1:11" x14ac:dyDescent="0.2">
      <c r="A1008">
        <v>984</v>
      </c>
      <c r="B1008">
        <v>7905356.8285851665</v>
      </c>
      <c r="D1008" s="2"/>
      <c r="E1008" s="2"/>
      <c r="F1008" s="2"/>
      <c r="G1008" s="2"/>
      <c r="H1008" s="2"/>
      <c r="I1008" s="2"/>
      <c r="J1008" s="2"/>
      <c r="K1008" s="2"/>
    </row>
    <row r="1009" spans="1:11" x14ac:dyDescent="0.2">
      <c r="A1009">
        <v>985</v>
      </c>
      <c r="B1009">
        <v>8122940.2939184969</v>
      </c>
      <c r="D1009" s="2"/>
      <c r="E1009" s="2"/>
      <c r="F1009" s="2"/>
      <c r="G1009" s="2"/>
      <c r="H1009" s="2"/>
      <c r="I1009" s="2"/>
      <c r="J1009" s="2"/>
      <c r="K1009" s="2"/>
    </row>
    <row r="1010" spans="1:11" x14ac:dyDescent="0.2">
      <c r="A1010">
        <v>986</v>
      </c>
      <c r="B1010">
        <v>3047295.562978508</v>
      </c>
      <c r="D1010" s="2"/>
      <c r="E1010" s="2"/>
      <c r="F1010" s="2"/>
      <c r="G1010" s="2"/>
      <c r="H1010" s="2"/>
      <c r="I1010" s="2"/>
      <c r="J1010" s="2"/>
      <c r="K1010" s="2"/>
    </row>
    <row r="1011" spans="1:11" x14ac:dyDescent="0.2">
      <c r="A1011">
        <v>987</v>
      </c>
      <c r="B1011">
        <v>7959727.6639955919</v>
      </c>
      <c r="D1011" s="2"/>
      <c r="E1011" s="2"/>
      <c r="F1011" s="2"/>
      <c r="G1011" s="2"/>
      <c r="H1011" s="2"/>
      <c r="I1011" s="2"/>
      <c r="J1011" s="2"/>
      <c r="K1011" s="2"/>
    </row>
    <row r="1012" spans="1:11" x14ac:dyDescent="0.2">
      <c r="A1012">
        <v>988</v>
      </c>
      <c r="B1012">
        <v>2032723.5633351186</v>
      </c>
      <c r="D1012" s="2"/>
      <c r="E1012" s="2"/>
      <c r="F1012" s="2"/>
      <c r="G1012" s="2"/>
      <c r="H1012" s="2"/>
      <c r="I1012" s="2"/>
      <c r="J1012" s="2"/>
      <c r="K1012" s="2"/>
    </row>
    <row r="1013" spans="1:11" x14ac:dyDescent="0.2">
      <c r="A1013">
        <v>989</v>
      </c>
      <c r="B1013">
        <v>7129707.6620842218</v>
      </c>
      <c r="D1013" s="2"/>
      <c r="E1013" s="2"/>
      <c r="F1013" s="2"/>
      <c r="G1013" s="2"/>
      <c r="H1013" s="2"/>
      <c r="I1013" s="2"/>
      <c r="J1013" s="2"/>
      <c r="K1013" s="2"/>
    </row>
    <row r="1014" spans="1:11" x14ac:dyDescent="0.2">
      <c r="A1014">
        <v>990</v>
      </c>
      <c r="B1014">
        <v>2058798.7570511717</v>
      </c>
      <c r="D1014" s="2"/>
      <c r="E1014" s="2"/>
      <c r="F1014" s="2"/>
      <c r="G1014" s="2"/>
      <c r="H1014" s="2"/>
      <c r="I1014" s="2"/>
      <c r="J1014" s="2"/>
      <c r="K1014" s="2"/>
    </row>
    <row r="1015" spans="1:11" x14ac:dyDescent="0.2">
      <c r="A1015">
        <v>991</v>
      </c>
      <c r="B1015">
        <v>3965713.7138195094</v>
      </c>
      <c r="D1015" s="2"/>
      <c r="E1015" s="2"/>
      <c r="F1015" s="2"/>
      <c r="G1015" s="2"/>
      <c r="H1015" s="2"/>
      <c r="I1015" s="2"/>
      <c r="J1015" s="2"/>
      <c r="K1015" s="2"/>
    </row>
    <row r="1016" spans="1:11" x14ac:dyDescent="0.2">
      <c r="A1016">
        <v>992</v>
      </c>
      <c r="B1016">
        <v>4437001.7102659745</v>
      </c>
      <c r="D1016" s="2"/>
      <c r="E1016" s="2"/>
      <c r="F1016" s="2"/>
      <c r="G1016" s="2"/>
      <c r="H1016" s="2"/>
      <c r="I1016" s="2"/>
      <c r="J1016" s="2"/>
      <c r="K1016" s="2"/>
    </row>
    <row r="1017" spans="1:11" x14ac:dyDescent="0.2">
      <c r="A1017">
        <v>993</v>
      </c>
      <c r="B1017">
        <v>-2359274.7007368635</v>
      </c>
      <c r="D1017" s="2"/>
      <c r="E1017" s="2"/>
      <c r="F1017" s="2"/>
      <c r="G1017" s="2"/>
      <c r="H1017" s="2"/>
      <c r="I1017" s="2"/>
      <c r="J1017" s="2"/>
      <c r="K1017" s="2"/>
    </row>
    <row r="1018" spans="1:11" x14ac:dyDescent="0.2">
      <c r="A1018">
        <v>994</v>
      </c>
      <c r="B1018">
        <v>11627507.886245748</v>
      </c>
      <c r="D1018" s="2"/>
      <c r="E1018" s="2"/>
      <c r="F1018" s="2"/>
      <c r="G1018" s="2"/>
      <c r="H1018" s="2"/>
      <c r="I1018" s="2"/>
      <c r="J1018" s="2"/>
      <c r="K1018" s="2"/>
    </row>
    <row r="1019" spans="1:11" x14ac:dyDescent="0.2">
      <c r="A1019">
        <v>995</v>
      </c>
      <c r="B1019">
        <v>196153.16718564407</v>
      </c>
      <c r="D1019" s="2"/>
      <c r="E1019" s="2"/>
      <c r="F1019" s="2"/>
      <c r="G1019" s="2"/>
      <c r="H1019" s="2"/>
      <c r="I1019" s="2"/>
      <c r="J1019" s="2"/>
      <c r="K1019" s="2"/>
    </row>
    <row r="1020" spans="1:11" x14ac:dyDescent="0.2">
      <c r="A1020">
        <v>996</v>
      </c>
      <c r="B1020">
        <v>352835.9400863453</v>
      </c>
      <c r="D1020" s="2"/>
      <c r="E1020" s="2"/>
      <c r="F1020" s="2"/>
      <c r="G1020" s="2"/>
      <c r="H1020" s="2"/>
      <c r="I1020" s="2"/>
      <c r="J1020" s="2"/>
      <c r="K1020" s="2"/>
    </row>
    <row r="1021" spans="1:11" x14ac:dyDescent="0.2">
      <c r="A1021">
        <v>997</v>
      </c>
      <c r="B1021">
        <v>609568.78687278507</v>
      </c>
      <c r="D1021" s="2"/>
      <c r="E1021" s="2"/>
      <c r="F1021" s="2"/>
      <c r="G1021" s="2"/>
      <c r="H1021" s="2"/>
      <c r="I1021" s="2"/>
      <c r="J1021" s="2"/>
      <c r="K1021" s="2"/>
    </row>
    <row r="1022" spans="1:11" x14ac:dyDescent="0.2">
      <c r="A1022">
        <v>998</v>
      </c>
      <c r="B1022">
        <v>7560173.7572381832</v>
      </c>
      <c r="D1022" s="2"/>
      <c r="E1022" s="2"/>
      <c r="F1022" s="2"/>
      <c r="G1022" s="2"/>
      <c r="H1022" s="2"/>
      <c r="I1022" s="2"/>
      <c r="J1022" s="2"/>
      <c r="K1022" s="2"/>
    </row>
    <row r="1023" spans="1:11" x14ac:dyDescent="0.2">
      <c r="A1023">
        <v>999</v>
      </c>
      <c r="B1023">
        <v>7680575.926513697</v>
      </c>
      <c r="D1023" s="2"/>
      <c r="E1023" s="2"/>
      <c r="F1023" s="2"/>
      <c r="G1023" s="2"/>
      <c r="H1023" s="2"/>
      <c r="I1023" s="2"/>
      <c r="J1023" s="2"/>
      <c r="K1023" s="2"/>
    </row>
    <row r="1024" spans="1:11" x14ac:dyDescent="0.2">
      <c r="A1024">
        <v>1000</v>
      </c>
      <c r="B1024">
        <v>5576318.8625532435</v>
      </c>
      <c r="D1024" s="2"/>
      <c r="E1024" s="2"/>
      <c r="F1024" s="2"/>
      <c r="G1024" s="2"/>
      <c r="H1024" s="2"/>
      <c r="I1024" s="2"/>
      <c r="J1024" s="2"/>
      <c r="K1024" s="2"/>
    </row>
    <row r="1025" spans="4:11" x14ac:dyDescent="0.2">
      <c r="D1025" s="2"/>
      <c r="E1025" s="2"/>
      <c r="F1025" s="2"/>
      <c r="G1025" s="2"/>
      <c r="H1025" s="2"/>
      <c r="I1025" s="2"/>
      <c r="J1025" s="2"/>
      <c r="K1025" s="2"/>
    </row>
    <row r="1026" spans="4:11" x14ac:dyDescent="0.2">
      <c r="D1026" s="2"/>
      <c r="E1026" s="2"/>
      <c r="F1026" s="2"/>
      <c r="G1026" s="2"/>
      <c r="H1026" s="2"/>
      <c r="I1026" s="2"/>
      <c r="J1026" s="2"/>
      <c r="K1026" s="2"/>
    </row>
    <row r="1027" spans="4:11" x14ac:dyDescent="0.2">
      <c r="D1027" s="2"/>
      <c r="E1027" s="2"/>
      <c r="F1027" s="2"/>
      <c r="G1027" s="2"/>
      <c r="H1027" s="2"/>
      <c r="I1027" s="2"/>
      <c r="J1027" s="2"/>
      <c r="K1027" s="2"/>
    </row>
    <row r="1028" spans="4:11" x14ac:dyDescent="0.2">
      <c r="D1028" s="2"/>
      <c r="E1028" s="2"/>
      <c r="F1028" s="2"/>
      <c r="G1028" s="2"/>
      <c r="H1028" s="2"/>
      <c r="I1028" s="2"/>
      <c r="J1028" s="2"/>
      <c r="K1028" s="2"/>
    </row>
    <row r="1029" spans="4:11" x14ac:dyDescent="0.2">
      <c r="D1029" s="2"/>
      <c r="E1029" s="2"/>
      <c r="F1029" s="2"/>
      <c r="G1029" s="2"/>
      <c r="H1029" s="2"/>
      <c r="I1029" s="2"/>
      <c r="J1029" s="2"/>
      <c r="K1029" s="2"/>
    </row>
    <row r="1030" spans="4:11" x14ac:dyDescent="0.2">
      <c r="D1030" s="2"/>
      <c r="E1030" s="2"/>
      <c r="F1030" s="2"/>
      <c r="G1030" s="2"/>
      <c r="H1030" s="2"/>
      <c r="I1030" s="2"/>
      <c r="J1030" s="2"/>
      <c r="K1030" s="2"/>
    </row>
    <row r="1031" spans="4:11" x14ac:dyDescent="0.2">
      <c r="D1031" s="2"/>
      <c r="E1031" s="2"/>
      <c r="F1031" s="2"/>
      <c r="G1031" s="2"/>
      <c r="H1031" s="2"/>
      <c r="I1031" s="2"/>
      <c r="J1031" s="2"/>
      <c r="K1031" s="2"/>
    </row>
    <row r="1032" spans="4:11" x14ac:dyDescent="0.2">
      <c r="D1032" s="2"/>
      <c r="E1032" s="2"/>
      <c r="F1032" s="2"/>
      <c r="G1032" s="2"/>
      <c r="H1032" s="2"/>
      <c r="I1032" s="2"/>
      <c r="J1032" s="2"/>
      <c r="K1032" s="2"/>
    </row>
    <row r="1033" spans="4:11" x14ac:dyDescent="0.2">
      <c r="D1033" s="2"/>
      <c r="E1033" s="2"/>
      <c r="F1033" s="2"/>
      <c r="G1033" s="2"/>
      <c r="H1033" s="2"/>
      <c r="I1033" s="2"/>
      <c r="J1033" s="2"/>
      <c r="K1033" s="2"/>
    </row>
    <row r="1034" spans="4:11" x14ac:dyDescent="0.2">
      <c r="D1034" s="2"/>
      <c r="E1034" s="2"/>
      <c r="F1034" s="2"/>
      <c r="G1034" s="2"/>
      <c r="H1034" s="2"/>
      <c r="I1034" s="2"/>
      <c r="J1034" s="2"/>
      <c r="K1034" s="2"/>
    </row>
    <row r="1035" spans="4:11" x14ac:dyDescent="0.2">
      <c r="D1035" s="2"/>
      <c r="E1035" s="2"/>
      <c r="F1035" s="2"/>
      <c r="G1035" s="2"/>
      <c r="H1035" s="2"/>
      <c r="I1035" s="2"/>
      <c r="J1035" s="2"/>
      <c r="K1035" s="2"/>
    </row>
    <row r="1036" spans="4:11" x14ac:dyDescent="0.2">
      <c r="D1036" s="2"/>
      <c r="E1036" s="2"/>
      <c r="F1036" s="2"/>
      <c r="G1036" s="2"/>
      <c r="H1036" s="2"/>
      <c r="I1036" s="2"/>
      <c r="J1036" s="2"/>
      <c r="K1036" s="2"/>
    </row>
    <row r="1037" spans="4:11" x14ac:dyDescent="0.2">
      <c r="D1037" s="2"/>
      <c r="E1037" s="2"/>
      <c r="F1037" s="2"/>
      <c r="G1037" s="2"/>
      <c r="H1037" s="2"/>
      <c r="I1037" s="2"/>
      <c r="J1037" s="2"/>
      <c r="K1037" s="2"/>
    </row>
    <row r="1038" spans="4:11" x14ac:dyDescent="0.2">
      <c r="D1038" s="2"/>
      <c r="E1038" s="2"/>
      <c r="F1038" s="2"/>
      <c r="G1038" s="2"/>
      <c r="H1038" s="2"/>
      <c r="I1038" s="2"/>
      <c r="J1038" s="2"/>
      <c r="K1038" s="2"/>
    </row>
    <row r="1039" spans="4:11" x14ac:dyDescent="0.2">
      <c r="D1039" s="2"/>
      <c r="E1039" s="2"/>
      <c r="F1039" s="2"/>
      <c r="G1039" s="2"/>
      <c r="H1039" s="2"/>
      <c r="I1039" s="2"/>
      <c r="J1039" s="2"/>
      <c r="K1039" s="2"/>
    </row>
    <row r="1040" spans="4:11" x14ac:dyDescent="0.2">
      <c r="D1040" s="2"/>
      <c r="E1040" s="2"/>
      <c r="F1040" s="2"/>
      <c r="G1040" s="2"/>
      <c r="H1040" s="2"/>
      <c r="I1040" s="2"/>
      <c r="J1040" s="2"/>
      <c r="K1040" s="2"/>
    </row>
    <row r="1041" spans="4:11" x14ac:dyDescent="0.2">
      <c r="D1041" s="2"/>
      <c r="E1041" s="2"/>
      <c r="F1041" s="2"/>
      <c r="G1041" s="2"/>
      <c r="H1041" s="2"/>
      <c r="I1041" s="2"/>
      <c r="J1041" s="2"/>
      <c r="K1041" s="2"/>
    </row>
    <row r="1042" spans="4:11" x14ac:dyDescent="0.2">
      <c r="D1042" s="2"/>
      <c r="E1042" s="2"/>
      <c r="F1042" s="2"/>
      <c r="G1042" s="2"/>
      <c r="H1042" s="2"/>
      <c r="I1042" s="2"/>
      <c r="J1042" s="2"/>
      <c r="K1042" s="2"/>
    </row>
    <row r="1043" spans="4:11" x14ac:dyDescent="0.2">
      <c r="D1043" s="2"/>
      <c r="E1043" s="2"/>
      <c r="F1043" s="2"/>
      <c r="G1043" s="2"/>
      <c r="H1043" s="2"/>
      <c r="I1043" s="2"/>
      <c r="J1043" s="2"/>
      <c r="K1043" s="2"/>
    </row>
    <row r="1044" spans="4:11" x14ac:dyDescent="0.2">
      <c r="D1044" s="2"/>
      <c r="E1044" s="2"/>
      <c r="F1044" s="2"/>
      <c r="G1044" s="2"/>
      <c r="H1044" s="2"/>
      <c r="I1044" s="2"/>
      <c r="J1044" s="2"/>
      <c r="K1044" s="2"/>
    </row>
    <row r="1045" spans="4:11" x14ac:dyDescent="0.2">
      <c r="D1045" s="2"/>
      <c r="E1045" s="2"/>
      <c r="F1045" s="2"/>
      <c r="G1045" s="2"/>
      <c r="H1045" s="2"/>
      <c r="I1045" s="2"/>
      <c r="J1045" s="2"/>
      <c r="K1045" s="2"/>
    </row>
    <row r="1046" spans="4:11" x14ac:dyDescent="0.2">
      <c r="D1046" s="2"/>
      <c r="E1046" s="2"/>
      <c r="F1046" s="2"/>
      <c r="G1046" s="2"/>
      <c r="H1046" s="2"/>
      <c r="I1046" s="2"/>
      <c r="J1046" s="2"/>
      <c r="K1046" s="2"/>
    </row>
    <row r="1047" spans="4:11" x14ac:dyDescent="0.2">
      <c r="D1047" s="2"/>
      <c r="E1047" s="2"/>
      <c r="F1047" s="2"/>
      <c r="G1047" s="2"/>
      <c r="H1047" s="2"/>
      <c r="I1047" s="2"/>
      <c r="J1047" s="2"/>
      <c r="K1047" s="2"/>
    </row>
    <row r="1048" spans="4:11" x14ac:dyDescent="0.2">
      <c r="D1048" s="2"/>
      <c r="E1048" s="2"/>
      <c r="F1048" s="2"/>
      <c r="G1048" s="2"/>
      <c r="H1048" s="2"/>
      <c r="I1048" s="2"/>
      <c r="J1048" s="2"/>
      <c r="K1048" s="2"/>
    </row>
    <row r="1049" spans="4:11" x14ac:dyDescent="0.2">
      <c r="D1049" s="2"/>
      <c r="E1049" s="2"/>
      <c r="F1049" s="2"/>
      <c r="G1049" s="2"/>
      <c r="H1049" s="2"/>
      <c r="I1049" s="2"/>
      <c r="J1049" s="2"/>
      <c r="K1049" s="2"/>
    </row>
    <row r="1050" spans="4:11" x14ac:dyDescent="0.2">
      <c r="D1050" s="2"/>
      <c r="E1050" s="2"/>
      <c r="F1050" s="2"/>
      <c r="G1050" s="2"/>
      <c r="H1050" s="2"/>
      <c r="I1050" s="2"/>
      <c r="J1050" s="2"/>
      <c r="K1050" s="2"/>
    </row>
    <row r="1051" spans="4:11" x14ac:dyDescent="0.2">
      <c r="D1051" s="2"/>
      <c r="E1051" s="2"/>
      <c r="F1051" s="2"/>
      <c r="G1051" s="2"/>
      <c r="H1051" s="2"/>
      <c r="I1051" s="2"/>
      <c r="J1051" s="2"/>
      <c r="K1051" s="2"/>
    </row>
    <row r="1052" spans="4:11" x14ac:dyDescent="0.2">
      <c r="D1052" s="2"/>
      <c r="E1052" s="2"/>
      <c r="F1052" s="2"/>
      <c r="G1052" s="2"/>
      <c r="H1052" s="2"/>
      <c r="I1052" s="2"/>
      <c r="J1052" s="2"/>
      <c r="K1052" s="2"/>
    </row>
    <row r="1053" spans="4:11" x14ac:dyDescent="0.2">
      <c r="D1053" s="2"/>
      <c r="E1053" s="2"/>
      <c r="F1053" s="2"/>
      <c r="G1053" s="2"/>
      <c r="H1053" s="2"/>
      <c r="I1053" s="2"/>
      <c r="J1053" s="2"/>
      <c r="K1053" s="2"/>
    </row>
    <row r="1054" spans="4:11" x14ac:dyDescent="0.2">
      <c r="D1054" s="2"/>
      <c r="E1054" s="2"/>
      <c r="F1054" s="2"/>
      <c r="G1054" s="2"/>
      <c r="H1054" s="2"/>
      <c r="I1054" s="2"/>
      <c r="J1054" s="2"/>
      <c r="K1054" s="2"/>
    </row>
    <row r="1055" spans="4:11" x14ac:dyDescent="0.2">
      <c r="D1055" s="2"/>
      <c r="E1055" s="2"/>
      <c r="F1055" s="2"/>
      <c r="G1055" s="2"/>
      <c r="H1055" s="2"/>
      <c r="I1055" s="2"/>
      <c r="J1055" s="2"/>
      <c r="K1055" s="2"/>
    </row>
    <row r="1056" spans="4:11" x14ac:dyDescent="0.2">
      <c r="D1056" s="2"/>
      <c r="E1056" s="2"/>
      <c r="F1056" s="2"/>
      <c r="G1056" s="2"/>
      <c r="H1056" s="2"/>
      <c r="I1056" s="2"/>
      <c r="J1056" s="2"/>
      <c r="K1056" s="2"/>
    </row>
    <row r="1057" spans="4:11" x14ac:dyDescent="0.2">
      <c r="D1057" s="2"/>
      <c r="E1057" s="2"/>
      <c r="F1057" s="2"/>
      <c r="G1057" s="2"/>
      <c r="H1057" s="2"/>
      <c r="I1057" s="2"/>
      <c r="J1057" s="2"/>
      <c r="K1057" s="2"/>
    </row>
    <row r="1058" spans="4:11" x14ac:dyDescent="0.2">
      <c r="D1058" s="2"/>
      <c r="E1058" s="2"/>
      <c r="F1058" s="2"/>
      <c r="G1058" s="2"/>
      <c r="H1058" s="2"/>
      <c r="I1058" s="2"/>
      <c r="J1058" s="2"/>
      <c r="K1058" s="2"/>
    </row>
    <row r="1059" spans="4:11" x14ac:dyDescent="0.2">
      <c r="D1059" s="2"/>
      <c r="E1059" s="2"/>
      <c r="F1059" s="2"/>
      <c r="G1059" s="2"/>
      <c r="H1059" s="2"/>
      <c r="I1059" s="2"/>
      <c r="J1059" s="2"/>
      <c r="K1059" s="2"/>
    </row>
    <row r="1060" spans="4:11" x14ac:dyDescent="0.2">
      <c r="D1060" s="2"/>
      <c r="E1060" s="2"/>
      <c r="F1060" s="2"/>
      <c r="G1060" s="2"/>
      <c r="H1060" s="2"/>
      <c r="I1060" s="2"/>
      <c r="J1060" s="2"/>
      <c r="K1060" s="2"/>
    </row>
    <row r="1061" spans="4:11" x14ac:dyDescent="0.2">
      <c r="D1061" s="2"/>
      <c r="E1061" s="2"/>
      <c r="F1061" s="2"/>
      <c r="G1061" s="2"/>
      <c r="H1061" s="2"/>
      <c r="I1061" s="2"/>
      <c r="J1061" s="2"/>
      <c r="K1061" s="2"/>
    </row>
    <row r="1062" spans="4:11" x14ac:dyDescent="0.2">
      <c r="D1062" s="2"/>
      <c r="E1062" s="2"/>
      <c r="F1062" s="2"/>
      <c r="G1062" s="2"/>
      <c r="H1062" s="2"/>
      <c r="I1062" s="2"/>
      <c r="J1062" s="2"/>
      <c r="K1062" s="2"/>
    </row>
    <row r="1063" spans="4:11" x14ac:dyDescent="0.2">
      <c r="D1063" s="2"/>
      <c r="E1063" s="2"/>
      <c r="F1063" s="2"/>
      <c r="G1063" s="2"/>
      <c r="H1063" s="2"/>
      <c r="I1063" s="2"/>
      <c r="J1063" s="2"/>
      <c r="K1063" s="2"/>
    </row>
    <row r="1064" spans="4:11" x14ac:dyDescent="0.2">
      <c r="D1064" s="2"/>
      <c r="E1064" s="2"/>
      <c r="F1064" s="2"/>
      <c r="G1064" s="2"/>
      <c r="H1064" s="2"/>
      <c r="I1064" s="2"/>
      <c r="J1064" s="2"/>
      <c r="K1064" s="2"/>
    </row>
    <row r="1065" spans="4:11" x14ac:dyDescent="0.2">
      <c r="D1065" s="2"/>
      <c r="E1065" s="2"/>
      <c r="F1065" s="2"/>
      <c r="G1065" s="2"/>
      <c r="H1065" s="2"/>
      <c r="I1065" s="2"/>
      <c r="J1065" s="2"/>
      <c r="K1065" s="2"/>
    </row>
    <row r="1066" spans="4:11" x14ac:dyDescent="0.2">
      <c r="D1066" s="2"/>
      <c r="E1066" s="2"/>
      <c r="F1066" s="2"/>
      <c r="G1066" s="2"/>
      <c r="H1066" s="2"/>
      <c r="I1066" s="2"/>
      <c r="J1066" s="2"/>
      <c r="K1066" s="2"/>
    </row>
    <row r="1067" spans="4:11" x14ac:dyDescent="0.2">
      <c r="D1067" s="2"/>
      <c r="E1067" s="2"/>
      <c r="F1067" s="2"/>
      <c r="G1067" s="2"/>
      <c r="H1067" s="2"/>
      <c r="I1067" s="2"/>
      <c r="J1067" s="2"/>
      <c r="K1067" s="2"/>
    </row>
    <row r="1068" spans="4:11" x14ac:dyDescent="0.2">
      <c r="D1068" s="2"/>
      <c r="E1068" s="2"/>
      <c r="F1068" s="2"/>
      <c r="G1068" s="2"/>
      <c r="H1068" s="2"/>
      <c r="I1068" s="2"/>
      <c r="J1068" s="2"/>
      <c r="K1068" s="2"/>
    </row>
    <row r="1069" spans="4:11" x14ac:dyDescent="0.2">
      <c r="D1069" s="2"/>
      <c r="E1069" s="2"/>
      <c r="F1069" s="2"/>
      <c r="G1069" s="2"/>
      <c r="H1069" s="2"/>
      <c r="I1069" s="2"/>
      <c r="J1069" s="2"/>
      <c r="K1069" s="2"/>
    </row>
    <row r="1070" spans="4:11" x14ac:dyDescent="0.2">
      <c r="D1070" s="2"/>
      <c r="E1070" s="2"/>
      <c r="F1070" s="2"/>
      <c r="G1070" s="2"/>
      <c r="H1070" s="2"/>
      <c r="I1070" s="2"/>
      <c r="J1070" s="2"/>
      <c r="K1070" s="2"/>
    </row>
    <row r="1071" spans="4:11" x14ac:dyDescent="0.2">
      <c r="D1071" s="2"/>
      <c r="E1071" s="2"/>
      <c r="F1071" s="2"/>
      <c r="G1071" s="2"/>
      <c r="H1071" s="2"/>
      <c r="I1071" s="2"/>
      <c r="J1071" s="2"/>
      <c r="K1071" s="2"/>
    </row>
    <row r="1072" spans="4:11" x14ac:dyDescent="0.2">
      <c r="D1072" s="2"/>
      <c r="E1072" s="2"/>
      <c r="F1072" s="2"/>
      <c r="G1072" s="2"/>
      <c r="H1072" s="2"/>
      <c r="I1072" s="2"/>
      <c r="J1072" s="2"/>
      <c r="K1072" s="2"/>
    </row>
    <row r="1073" spans="4:11" x14ac:dyDescent="0.2">
      <c r="D1073" s="2"/>
      <c r="E1073" s="2"/>
      <c r="F1073" s="2"/>
      <c r="G1073" s="2"/>
      <c r="H1073" s="2"/>
      <c r="I1073" s="2"/>
      <c r="J1073" s="2"/>
      <c r="K1073" s="2"/>
    </row>
    <row r="1074" spans="4:11" x14ac:dyDescent="0.2">
      <c r="D1074" s="2"/>
      <c r="E1074" s="2"/>
      <c r="F1074" s="2"/>
      <c r="G1074" s="2"/>
      <c r="H1074" s="2"/>
      <c r="I1074" s="2"/>
      <c r="J1074" s="2"/>
      <c r="K1074" s="2"/>
    </row>
    <row r="1075" spans="4:11" x14ac:dyDescent="0.2">
      <c r="D1075" s="2"/>
      <c r="E1075" s="2"/>
      <c r="F1075" s="2"/>
      <c r="G1075" s="2"/>
      <c r="H1075" s="2"/>
      <c r="I1075" s="2"/>
      <c r="J1075" s="2"/>
      <c r="K1075" s="2"/>
    </row>
    <row r="1076" spans="4:11" x14ac:dyDescent="0.2">
      <c r="D1076" s="2"/>
      <c r="E1076" s="2"/>
      <c r="F1076" s="2"/>
      <c r="G1076" s="2"/>
      <c r="H1076" s="2"/>
      <c r="I1076" s="2"/>
      <c r="J1076" s="2"/>
      <c r="K1076" s="2"/>
    </row>
    <row r="1077" spans="4:11" x14ac:dyDescent="0.2">
      <c r="D1077" s="2"/>
      <c r="E1077" s="2"/>
      <c r="F1077" s="2"/>
      <c r="G1077" s="2"/>
      <c r="H1077" s="2"/>
      <c r="I1077" s="2"/>
      <c r="J1077" s="2"/>
      <c r="K1077" s="2"/>
    </row>
    <row r="1078" spans="4:11" x14ac:dyDescent="0.2">
      <c r="D1078" s="2"/>
      <c r="E1078" s="2"/>
      <c r="F1078" s="2"/>
      <c r="G1078" s="2"/>
      <c r="H1078" s="2"/>
      <c r="I1078" s="2"/>
      <c r="J1078" s="2"/>
      <c r="K1078" s="2"/>
    </row>
    <row r="1079" spans="4:11" x14ac:dyDescent="0.2">
      <c r="D1079" s="2"/>
      <c r="E1079" s="2"/>
      <c r="F1079" s="2"/>
      <c r="G1079" s="2"/>
      <c r="H1079" s="2"/>
      <c r="I1079" s="2"/>
      <c r="J1079" s="2"/>
      <c r="K1079" s="2"/>
    </row>
    <row r="1080" spans="4:11" x14ac:dyDescent="0.2">
      <c r="D1080" s="2"/>
      <c r="E1080" s="2"/>
      <c r="F1080" s="2"/>
      <c r="G1080" s="2"/>
      <c r="H1080" s="2"/>
      <c r="I1080" s="2"/>
      <c r="J1080" s="2"/>
      <c r="K1080" s="2"/>
    </row>
    <row r="1081" spans="4:11" x14ac:dyDescent="0.2">
      <c r="D1081" s="2"/>
      <c r="E1081" s="2"/>
      <c r="F1081" s="2"/>
      <c r="G1081" s="2"/>
      <c r="H1081" s="2"/>
      <c r="I1081" s="2"/>
      <c r="J1081" s="2"/>
      <c r="K1081" s="2"/>
    </row>
    <row r="1082" spans="4:11" x14ac:dyDescent="0.2">
      <c r="D1082" s="2"/>
      <c r="E1082" s="2"/>
      <c r="F1082" s="2"/>
      <c r="G1082" s="2"/>
      <c r="H1082" s="2"/>
      <c r="I1082" s="2"/>
      <c r="J1082" s="2"/>
      <c r="K1082" s="2"/>
    </row>
    <row r="1083" spans="4:11" x14ac:dyDescent="0.2">
      <c r="D1083" s="2"/>
      <c r="E1083" s="2"/>
      <c r="F1083" s="2"/>
      <c r="G1083" s="2"/>
      <c r="H1083" s="2"/>
      <c r="I1083" s="2"/>
      <c r="J1083" s="2"/>
      <c r="K1083" s="2"/>
    </row>
    <row r="1084" spans="4:11" x14ac:dyDescent="0.2">
      <c r="D1084" s="2"/>
      <c r="E1084" s="2"/>
      <c r="F1084" s="2"/>
      <c r="G1084" s="2"/>
      <c r="H1084" s="2"/>
      <c r="I1084" s="2"/>
      <c r="J1084" s="2"/>
      <c r="K1084" s="2"/>
    </row>
    <row r="1085" spans="4:11" x14ac:dyDescent="0.2">
      <c r="D1085" s="2"/>
      <c r="E1085" s="2"/>
      <c r="F1085" s="2"/>
      <c r="G1085" s="2"/>
      <c r="H1085" s="2"/>
      <c r="I1085" s="2"/>
      <c r="J1085" s="2"/>
      <c r="K1085" s="2"/>
    </row>
    <row r="1086" spans="4:11" x14ac:dyDescent="0.2">
      <c r="D1086" s="2"/>
      <c r="E1086" s="2"/>
      <c r="F1086" s="2"/>
      <c r="G1086" s="2"/>
      <c r="H1086" s="2"/>
      <c r="I1086" s="2"/>
      <c r="J1086" s="2"/>
      <c r="K1086" s="2"/>
    </row>
    <row r="1087" spans="4:11" x14ac:dyDescent="0.2">
      <c r="D1087" s="2"/>
      <c r="E1087" s="2"/>
      <c r="F1087" s="2"/>
      <c r="G1087" s="2"/>
      <c r="H1087" s="2"/>
      <c r="I1087" s="2"/>
      <c r="J1087" s="2"/>
      <c r="K1087" s="2"/>
    </row>
    <row r="1088" spans="4:11" x14ac:dyDescent="0.2">
      <c r="D1088" s="2"/>
      <c r="E1088" s="2"/>
      <c r="F1088" s="2"/>
      <c r="G1088" s="2"/>
      <c r="H1088" s="2"/>
      <c r="I1088" s="2"/>
      <c r="J1088" s="2"/>
      <c r="K1088" s="2"/>
    </row>
    <row r="1089" spans="4:11" x14ac:dyDescent="0.2">
      <c r="D1089" s="2"/>
      <c r="E1089" s="2"/>
      <c r="F1089" s="2"/>
      <c r="G1089" s="2"/>
      <c r="H1089" s="2"/>
      <c r="I1089" s="2"/>
      <c r="J1089" s="2"/>
      <c r="K1089" s="2"/>
    </row>
    <row r="1090" spans="4:11" x14ac:dyDescent="0.2">
      <c r="D1090" s="2"/>
      <c r="E1090" s="2"/>
      <c r="F1090" s="2"/>
      <c r="G1090" s="2"/>
      <c r="H1090" s="2"/>
      <c r="I1090" s="2"/>
      <c r="J1090" s="2"/>
      <c r="K1090" s="2"/>
    </row>
    <row r="1091" spans="4:11" x14ac:dyDescent="0.2">
      <c r="D1091" s="2"/>
      <c r="E1091" s="2"/>
      <c r="F1091" s="2"/>
      <c r="G1091" s="2"/>
      <c r="H1091" s="2"/>
      <c r="I1091" s="2"/>
      <c r="J1091" s="2"/>
      <c r="K1091" s="2"/>
    </row>
    <row r="1092" spans="4:11" x14ac:dyDescent="0.2">
      <c r="D1092" s="2"/>
      <c r="E1092" s="2"/>
      <c r="F1092" s="2"/>
      <c r="G1092" s="2"/>
      <c r="H1092" s="2"/>
      <c r="I1092" s="2"/>
      <c r="J1092" s="2"/>
      <c r="K1092" s="2"/>
    </row>
    <row r="1093" spans="4:11" x14ac:dyDescent="0.2">
      <c r="D1093" s="2"/>
      <c r="E1093" s="2"/>
      <c r="F1093" s="2"/>
      <c r="G1093" s="2"/>
      <c r="H1093" s="2"/>
      <c r="I1093" s="2"/>
      <c r="J1093" s="2"/>
      <c r="K1093" s="2"/>
    </row>
    <row r="1094" spans="4:11" x14ac:dyDescent="0.2">
      <c r="D1094" s="2"/>
      <c r="E1094" s="2"/>
      <c r="F1094" s="2"/>
      <c r="G1094" s="2"/>
      <c r="H1094" s="2"/>
      <c r="I1094" s="2"/>
      <c r="J1094" s="2"/>
      <c r="K1094" s="2"/>
    </row>
    <row r="1095" spans="4:11" x14ac:dyDescent="0.2">
      <c r="D1095" s="2"/>
      <c r="E1095" s="2"/>
      <c r="F1095" s="2"/>
      <c r="G1095" s="2"/>
      <c r="H1095" s="2"/>
      <c r="I1095" s="2"/>
      <c r="J1095" s="2"/>
      <c r="K1095" s="2"/>
    </row>
    <row r="1096" spans="4:11" x14ac:dyDescent="0.2">
      <c r="D1096" s="2"/>
      <c r="E1096" s="2"/>
      <c r="F1096" s="2"/>
      <c r="G1096" s="2"/>
      <c r="H1096" s="2"/>
      <c r="I1096" s="2"/>
      <c r="J1096" s="2"/>
      <c r="K1096" s="2"/>
    </row>
    <row r="1097" spans="4:11" x14ac:dyDescent="0.2">
      <c r="D1097" s="2"/>
      <c r="E1097" s="2"/>
      <c r="F1097" s="2"/>
      <c r="G1097" s="2"/>
      <c r="H1097" s="2"/>
      <c r="I1097" s="2"/>
      <c r="J1097" s="2"/>
      <c r="K1097" s="2"/>
    </row>
    <row r="1098" spans="4:11" x14ac:dyDescent="0.2">
      <c r="D1098" s="2"/>
      <c r="E1098" s="2"/>
      <c r="F1098" s="2"/>
      <c r="G1098" s="2"/>
      <c r="H1098" s="2"/>
      <c r="I1098" s="2"/>
      <c r="J1098" s="2"/>
      <c r="K1098" s="2"/>
    </row>
    <row r="1099" spans="4:11" x14ac:dyDescent="0.2">
      <c r="D1099" s="2"/>
      <c r="E1099" s="2"/>
      <c r="F1099" s="2"/>
      <c r="G1099" s="2"/>
      <c r="H1099" s="2"/>
      <c r="I1099" s="2"/>
      <c r="J1099" s="2"/>
      <c r="K1099" s="2"/>
    </row>
    <row r="1100" spans="4:11" x14ac:dyDescent="0.2">
      <c r="D1100" s="2"/>
      <c r="E1100" s="2"/>
      <c r="F1100" s="2"/>
      <c r="G1100" s="2"/>
      <c r="H1100" s="2"/>
      <c r="I1100" s="2"/>
      <c r="J1100" s="2"/>
      <c r="K1100" s="2"/>
    </row>
    <row r="1101" spans="4:11" x14ac:dyDescent="0.2">
      <c r="D1101" s="2"/>
      <c r="E1101" s="2"/>
      <c r="F1101" s="2"/>
      <c r="G1101" s="2"/>
      <c r="H1101" s="2"/>
      <c r="I1101" s="2"/>
      <c r="J1101" s="2"/>
      <c r="K1101" s="2"/>
    </row>
    <row r="1102" spans="4:11" x14ac:dyDescent="0.2">
      <c r="D1102" s="2"/>
      <c r="E1102" s="2"/>
      <c r="F1102" s="2"/>
      <c r="G1102" s="2"/>
      <c r="H1102" s="2"/>
      <c r="I1102" s="2"/>
      <c r="J1102" s="2"/>
      <c r="K1102" s="2"/>
    </row>
    <row r="1103" spans="4:11" x14ac:dyDescent="0.2">
      <c r="D1103" s="2"/>
      <c r="E1103" s="2"/>
      <c r="F1103" s="2"/>
      <c r="G1103" s="2"/>
      <c r="H1103" s="2"/>
      <c r="I1103" s="2"/>
      <c r="J1103" s="2"/>
      <c r="K1103" s="2"/>
    </row>
    <row r="1104" spans="4:11" x14ac:dyDescent="0.2">
      <c r="D1104" s="2"/>
      <c r="E1104" s="2"/>
      <c r="F1104" s="2"/>
      <c r="G1104" s="2"/>
      <c r="H1104" s="2"/>
      <c r="I1104" s="2"/>
      <c r="J1104" s="2"/>
      <c r="K1104" s="2"/>
    </row>
    <row r="1105" spans="4:11" x14ac:dyDescent="0.2">
      <c r="D1105" s="2"/>
      <c r="E1105" s="2"/>
      <c r="F1105" s="2"/>
      <c r="G1105" s="2"/>
      <c r="H1105" s="2"/>
      <c r="I1105" s="2"/>
      <c r="J1105" s="2"/>
      <c r="K1105" s="2"/>
    </row>
    <row r="1106" spans="4:11" x14ac:dyDescent="0.2">
      <c r="D1106" s="2"/>
      <c r="E1106" s="2"/>
      <c r="F1106" s="2"/>
      <c r="G1106" s="2"/>
      <c r="H1106" s="2"/>
      <c r="I1106" s="2"/>
      <c r="J1106" s="2"/>
      <c r="K1106" s="2"/>
    </row>
    <row r="1107" spans="4:11" x14ac:dyDescent="0.2">
      <c r="D1107" s="2"/>
      <c r="E1107" s="2"/>
      <c r="F1107" s="2"/>
      <c r="G1107" s="2"/>
      <c r="H1107" s="2"/>
      <c r="I1107" s="2"/>
      <c r="J1107" s="2"/>
      <c r="K1107" s="2"/>
    </row>
    <row r="1108" spans="4:11" x14ac:dyDescent="0.2">
      <c r="D1108" s="2"/>
      <c r="E1108" s="2"/>
      <c r="F1108" s="2"/>
      <c r="G1108" s="2"/>
      <c r="H1108" s="2"/>
      <c r="I1108" s="2"/>
      <c r="J1108" s="2"/>
      <c r="K1108" s="2"/>
    </row>
    <row r="1109" spans="4:11" x14ac:dyDescent="0.2">
      <c r="D1109" s="2"/>
      <c r="E1109" s="2"/>
      <c r="F1109" s="2"/>
      <c r="G1109" s="2"/>
      <c r="H1109" s="2"/>
      <c r="I1109" s="2"/>
      <c r="J1109" s="2"/>
      <c r="K1109" s="2"/>
    </row>
    <row r="1110" spans="4:11" x14ac:dyDescent="0.2">
      <c r="D1110" s="2"/>
      <c r="E1110" s="2"/>
      <c r="F1110" s="2"/>
      <c r="G1110" s="2"/>
      <c r="H1110" s="2"/>
      <c r="I1110" s="2"/>
      <c r="J1110" s="2"/>
      <c r="K1110" s="2"/>
    </row>
    <row r="1111" spans="4:11" x14ac:dyDescent="0.2">
      <c r="D1111" s="2"/>
      <c r="E1111" s="2"/>
      <c r="F1111" s="2"/>
      <c r="G1111" s="2"/>
      <c r="H1111" s="2"/>
      <c r="I1111" s="2"/>
      <c r="J1111" s="2"/>
      <c r="K1111" s="2"/>
    </row>
    <row r="1112" spans="4:11" x14ac:dyDescent="0.2">
      <c r="D1112" s="2"/>
      <c r="E1112" s="2"/>
      <c r="F1112" s="2"/>
      <c r="G1112" s="2"/>
      <c r="H1112" s="2"/>
      <c r="I1112" s="2"/>
      <c r="J1112" s="2"/>
      <c r="K1112" s="2"/>
    </row>
    <row r="1113" spans="4:11" x14ac:dyDescent="0.2">
      <c r="D1113" s="2"/>
      <c r="E1113" s="2"/>
      <c r="F1113" s="2"/>
      <c r="G1113" s="2"/>
      <c r="H1113" s="2"/>
      <c r="I1113" s="2"/>
      <c r="J1113" s="2"/>
      <c r="K1113" s="2"/>
    </row>
    <row r="1114" spans="4:11" x14ac:dyDescent="0.2">
      <c r="D1114" s="2"/>
      <c r="E1114" s="2"/>
      <c r="F1114" s="2"/>
      <c r="G1114" s="2"/>
      <c r="H1114" s="2"/>
      <c r="I1114" s="2"/>
      <c r="J1114" s="2"/>
      <c r="K1114" s="2"/>
    </row>
    <row r="1115" spans="4:11" x14ac:dyDescent="0.2">
      <c r="D1115" s="2"/>
      <c r="E1115" s="2"/>
      <c r="F1115" s="2"/>
      <c r="G1115" s="2"/>
      <c r="H1115" s="2"/>
      <c r="I1115" s="2"/>
      <c r="J1115" s="2"/>
      <c r="K1115" s="2"/>
    </row>
    <row r="1116" spans="4:11" x14ac:dyDescent="0.2">
      <c r="D1116" s="2"/>
      <c r="E1116" s="2"/>
      <c r="F1116" s="2"/>
      <c r="G1116" s="2"/>
      <c r="H1116" s="2"/>
      <c r="I1116" s="2"/>
      <c r="J1116" s="2"/>
      <c r="K1116" s="2"/>
    </row>
    <row r="1117" spans="4:11" x14ac:dyDescent="0.2">
      <c r="D1117" s="2"/>
      <c r="E1117" s="2"/>
      <c r="F1117" s="2"/>
      <c r="G1117" s="2"/>
      <c r="H1117" s="2"/>
      <c r="I1117" s="2"/>
      <c r="J1117" s="2"/>
      <c r="K1117" s="2"/>
    </row>
    <row r="1118" spans="4:11" x14ac:dyDescent="0.2">
      <c r="D1118" s="2"/>
      <c r="E1118" s="2"/>
      <c r="F1118" s="2"/>
      <c r="G1118" s="2"/>
      <c r="H1118" s="2"/>
      <c r="I1118" s="2"/>
      <c r="J1118" s="2"/>
      <c r="K1118" s="2"/>
    </row>
    <row r="1119" spans="4:11" x14ac:dyDescent="0.2">
      <c r="D1119" s="2"/>
      <c r="E1119" s="2"/>
      <c r="F1119" s="2"/>
      <c r="G1119" s="2"/>
      <c r="H1119" s="2"/>
      <c r="I1119" s="2"/>
      <c r="J1119" s="2"/>
      <c r="K1119" s="2"/>
    </row>
    <row r="1120" spans="4:11" x14ac:dyDescent="0.2">
      <c r="D1120" s="2"/>
      <c r="E1120" s="2"/>
      <c r="F1120" s="2"/>
      <c r="G1120" s="2"/>
      <c r="H1120" s="2"/>
      <c r="I1120" s="2"/>
      <c r="J1120" s="2"/>
      <c r="K1120" s="2"/>
    </row>
    <row r="1121" spans="4:11" x14ac:dyDescent="0.2">
      <c r="D1121" s="2"/>
      <c r="E1121" s="2"/>
      <c r="F1121" s="2"/>
      <c r="G1121" s="2"/>
      <c r="H1121" s="2"/>
      <c r="I1121" s="2"/>
      <c r="J1121" s="2"/>
      <c r="K1121" s="2"/>
    </row>
    <row r="1122" spans="4:11" x14ac:dyDescent="0.2">
      <c r="D1122" s="2"/>
      <c r="E1122" s="2"/>
      <c r="F1122" s="2"/>
      <c r="G1122" s="2"/>
      <c r="H1122" s="2"/>
      <c r="I1122" s="2"/>
      <c r="J1122" s="2"/>
      <c r="K1122" s="2"/>
    </row>
    <row r="1123" spans="4:11" x14ac:dyDescent="0.2">
      <c r="D1123" s="2"/>
      <c r="E1123" s="2"/>
      <c r="F1123" s="2"/>
      <c r="G1123" s="2"/>
      <c r="H1123" s="2"/>
      <c r="I1123" s="2"/>
      <c r="J1123" s="2"/>
      <c r="K1123" s="2"/>
    </row>
    <row r="1124" spans="4:11" x14ac:dyDescent="0.2">
      <c r="D1124" s="2"/>
      <c r="E1124" s="2"/>
      <c r="F1124" s="2"/>
      <c r="G1124" s="2"/>
      <c r="H1124" s="2"/>
      <c r="I1124" s="2"/>
      <c r="J1124" s="2"/>
      <c r="K1124" s="2"/>
    </row>
    <row r="1125" spans="4:11" x14ac:dyDescent="0.2">
      <c r="D1125" s="2"/>
      <c r="E1125" s="2"/>
      <c r="F1125" s="2"/>
      <c r="G1125" s="2"/>
      <c r="H1125" s="2"/>
      <c r="I1125" s="2"/>
      <c r="J1125" s="2"/>
      <c r="K1125" s="2"/>
    </row>
    <row r="1126" spans="4:11" x14ac:dyDescent="0.2">
      <c r="D1126" s="2"/>
      <c r="E1126" s="2"/>
      <c r="F1126" s="2"/>
      <c r="G1126" s="2"/>
      <c r="H1126" s="2"/>
      <c r="I1126" s="2"/>
      <c r="J1126" s="2"/>
      <c r="K1126" s="2"/>
    </row>
    <row r="1127" spans="4:11" x14ac:dyDescent="0.2">
      <c r="D1127" s="2"/>
      <c r="E1127" s="2"/>
      <c r="F1127" s="2"/>
      <c r="G1127" s="2"/>
      <c r="H1127" s="2"/>
      <c r="I1127" s="2"/>
      <c r="J1127" s="2"/>
      <c r="K1127" s="2"/>
    </row>
    <row r="1128" spans="4:11" x14ac:dyDescent="0.2">
      <c r="D1128" s="2"/>
      <c r="E1128" s="2"/>
      <c r="F1128" s="2"/>
      <c r="G1128" s="2"/>
      <c r="H1128" s="2"/>
      <c r="I1128" s="2"/>
      <c r="J1128" s="2"/>
      <c r="K1128" s="2"/>
    </row>
    <row r="1129" spans="4:11" x14ac:dyDescent="0.2">
      <c r="D1129" s="2"/>
      <c r="E1129" s="2"/>
      <c r="F1129" s="2"/>
      <c r="G1129" s="2"/>
      <c r="H1129" s="2"/>
      <c r="I1129" s="2"/>
      <c r="J1129" s="2"/>
      <c r="K1129" s="2"/>
    </row>
    <row r="1130" spans="4:11" x14ac:dyDescent="0.2">
      <c r="D1130" s="2"/>
      <c r="E1130" s="2"/>
      <c r="F1130" s="2"/>
      <c r="G1130" s="2"/>
      <c r="H1130" s="2"/>
      <c r="I1130" s="2"/>
      <c r="J1130" s="2"/>
      <c r="K1130" s="2"/>
    </row>
    <row r="1131" spans="4:11" x14ac:dyDescent="0.2">
      <c r="D1131" s="2"/>
      <c r="E1131" s="2"/>
      <c r="F1131" s="2"/>
      <c r="G1131" s="2"/>
      <c r="H1131" s="2"/>
      <c r="I1131" s="2"/>
      <c r="J1131" s="2"/>
      <c r="K1131" s="2"/>
    </row>
    <row r="1132" spans="4:11" x14ac:dyDescent="0.2">
      <c r="D1132" s="2"/>
      <c r="E1132" s="2"/>
      <c r="F1132" s="2"/>
      <c r="G1132" s="2"/>
      <c r="H1132" s="2"/>
      <c r="I1132" s="2"/>
      <c r="J1132" s="2"/>
      <c r="K1132" s="2"/>
    </row>
    <row r="1133" spans="4:11" x14ac:dyDescent="0.2">
      <c r="D1133" s="2"/>
      <c r="E1133" s="2"/>
      <c r="F1133" s="2"/>
      <c r="G1133" s="2"/>
      <c r="H1133" s="2"/>
      <c r="I1133" s="2"/>
      <c r="J1133" s="2"/>
      <c r="K1133" s="2"/>
    </row>
    <row r="1134" spans="4:11" x14ac:dyDescent="0.2">
      <c r="D1134" s="2"/>
      <c r="E1134" s="2"/>
      <c r="F1134" s="2"/>
      <c r="G1134" s="2"/>
      <c r="H1134" s="2"/>
      <c r="I1134" s="2"/>
      <c r="J1134" s="2"/>
      <c r="K1134" s="2"/>
    </row>
    <row r="1135" spans="4:11" x14ac:dyDescent="0.2">
      <c r="D1135" s="2"/>
      <c r="E1135" s="2"/>
      <c r="F1135" s="2"/>
      <c r="G1135" s="2"/>
      <c r="H1135" s="2"/>
      <c r="I1135" s="2"/>
      <c r="J1135" s="2"/>
      <c r="K1135" s="2"/>
    </row>
    <row r="1136" spans="4:11" x14ac:dyDescent="0.2">
      <c r="D1136" s="2"/>
      <c r="E1136" s="2"/>
      <c r="F1136" s="2"/>
      <c r="G1136" s="2"/>
      <c r="H1136" s="2"/>
      <c r="I1136" s="2"/>
      <c r="J1136" s="2"/>
      <c r="K1136" s="2"/>
    </row>
    <row r="1137" spans="4:11" x14ac:dyDescent="0.2">
      <c r="D1137" s="2"/>
      <c r="E1137" s="2"/>
      <c r="F1137" s="2"/>
      <c r="G1137" s="2"/>
      <c r="H1137" s="2"/>
      <c r="I1137" s="2"/>
      <c r="J1137" s="2"/>
      <c r="K1137" s="2"/>
    </row>
    <row r="1138" spans="4:11" x14ac:dyDescent="0.2">
      <c r="D1138" s="2"/>
      <c r="E1138" s="2"/>
      <c r="F1138" s="2"/>
      <c r="G1138" s="2"/>
      <c r="H1138" s="2"/>
      <c r="I1138" s="2"/>
      <c r="J1138" s="2"/>
      <c r="K1138" s="2"/>
    </row>
    <row r="1139" spans="4:11" x14ac:dyDescent="0.2">
      <c r="D1139" s="2"/>
      <c r="E1139" s="2"/>
      <c r="F1139" s="2"/>
      <c r="G1139" s="2"/>
      <c r="H1139" s="2"/>
      <c r="I1139" s="2"/>
      <c r="J1139" s="2"/>
      <c r="K1139" s="2"/>
    </row>
    <row r="1140" spans="4:11" x14ac:dyDescent="0.2">
      <c r="D1140" s="2"/>
      <c r="E1140" s="2"/>
      <c r="F1140" s="2"/>
      <c r="G1140" s="2"/>
      <c r="H1140" s="2"/>
      <c r="I1140" s="2"/>
      <c r="J1140" s="2"/>
      <c r="K1140" s="2"/>
    </row>
    <row r="1141" spans="4:11" x14ac:dyDescent="0.2">
      <c r="D1141" s="2"/>
      <c r="E1141" s="2"/>
      <c r="F1141" s="2"/>
      <c r="G1141" s="2"/>
      <c r="H1141" s="2"/>
      <c r="I1141" s="2"/>
      <c r="J1141" s="2"/>
      <c r="K1141" s="2"/>
    </row>
    <row r="1142" spans="4:11" x14ac:dyDescent="0.2">
      <c r="D1142" s="2"/>
      <c r="E1142" s="2"/>
      <c r="F1142" s="2"/>
      <c r="G1142" s="2"/>
      <c r="H1142" s="2"/>
      <c r="I1142" s="2"/>
      <c r="J1142" s="2"/>
      <c r="K1142" s="2"/>
    </row>
    <row r="1143" spans="4:11" x14ac:dyDescent="0.2">
      <c r="D1143" s="2"/>
      <c r="E1143" s="2"/>
      <c r="F1143" s="2"/>
      <c r="G1143" s="2"/>
      <c r="H1143" s="2"/>
      <c r="I1143" s="2"/>
      <c r="J1143" s="2"/>
      <c r="K1143" s="2"/>
    </row>
    <row r="1144" spans="4:11" x14ac:dyDescent="0.2">
      <c r="D1144" s="2"/>
      <c r="E1144" s="2"/>
      <c r="F1144" s="2"/>
      <c r="G1144" s="2"/>
      <c r="H1144" s="2"/>
      <c r="I1144" s="2"/>
      <c r="J1144" s="2"/>
      <c r="K1144" s="2"/>
    </row>
    <row r="1145" spans="4:11" x14ac:dyDescent="0.2">
      <c r="D1145" s="2"/>
      <c r="E1145" s="2"/>
      <c r="F1145" s="2"/>
      <c r="G1145" s="2"/>
      <c r="H1145" s="2"/>
      <c r="I1145" s="2"/>
      <c r="J1145" s="2"/>
      <c r="K1145" s="2"/>
    </row>
    <row r="1146" spans="4:11" x14ac:dyDescent="0.2">
      <c r="D1146" s="2"/>
      <c r="E1146" s="2"/>
      <c r="F1146" s="2"/>
      <c r="G1146" s="2"/>
      <c r="H1146" s="2"/>
      <c r="I1146" s="2"/>
      <c r="J1146" s="2"/>
      <c r="K1146" s="2"/>
    </row>
    <row r="1147" spans="4:11" x14ac:dyDescent="0.2">
      <c r="D1147" s="2"/>
      <c r="E1147" s="2"/>
      <c r="F1147" s="2"/>
      <c r="G1147" s="2"/>
      <c r="H1147" s="2"/>
      <c r="I1147" s="2"/>
      <c r="J1147" s="2"/>
      <c r="K1147" s="2"/>
    </row>
    <row r="1148" spans="4:11" x14ac:dyDescent="0.2">
      <c r="D1148" s="2"/>
      <c r="E1148" s="2"/>
      <c r="F1148" s="2"/>
      <c r="G1148" s="2"/>
      <c r="H1148" s="2"/>
      <c r="I1148" s="2"/>
      <c r="J1148" s="2"/>
      <c r="K1148" s="2"/>
    </row>
    <row r="1149" spans="4:11" x14ac:dyDescent="0.2">
      <c r="D1149" s="2"/>
      <c r="E1149" s="2"/>
      <c r="F1149" s="2"/>
      <c r="G1149" s="2"/>
      <c r="H1149" s="2"/>
      <c r="I1149" s="2"/>
      <c r="J1149" s="2"/>
      <c r="K1149" s="2"/>
    </row>
    <row r="1150" spans="4:11" x14ac:dyDescent="0.2">
      <c r="D1150" s="2"/>
      <c r="E1150" s="2"/>
      <c r="F1150" s="2"/>
      <c r="G1150" s="2"/>
      <c r="H1150" s="2"/>
      <c r="I1150" s="2"/>
      <c r="J1150" s="2"/>
      <c r="K1150" s="2"/>
    </row>
    <row r="1151" spans="4:11" x14ac:dyDescent="0.2">
      <c r="D1151" s="2"/>
      <c r="E1151" s="2"/>
      <c r="F1151" s="2"/>
      <c r="G1151" s="2"/>
      <c r="H1151" s="2"/>
      <c r="I1151" s="2"/>
      <c r="J1151" s="2"/>
      <c r="K1151" s="2"/>
    </row>
    <row r="1152" spans="4:11" x14ac:dyDescent="0.2">
      <c r="D1152" s="2"/>
      <c r="E1152" s="2"/>
      <c r="F1152" s="2"/>
      <c r="G1152" s="2"/>
      <c r="H1152" s="2"/>
      <c r="I1152" s="2"/>
      <c r="J1152" s="2"/>
      <c r="K1152" s="2"/>
    </row>
    <row r="1153" spans="4:11" x14ac:dyDescent="0.2">
      <c r="D1153" s="2"/>
      <c r="E1153" s="2"/>
      <c r="F1153" s="2"/>
      <c r="G1153" s="2"/>
      <c r="H1153" s="2"/>
      <c r="I1153" s="2"/>
      <c r="J1153" s="2"/>
      <c r="K1153" s="2"/>
    </row>
    <row r="1154" spans="4:11" x14ac:dyDescent="0.2">
      <c r="D1154" s="2"/>
      <c r="E1154" s="2"/>
      <c r="F1154" s="2"/>
      <c r="G1154" s="2"/>
      <c r="H1154" s="2"/>
      <c r="I1154" s="2"/>
      <c r="J1154" s="2"/>
      <c r="K1154" s="2"/>
    </row>
    <row r="1155" spans="4:11" x14ac:dyDescent="0.2">
      <c r="D1155" s="2"/>
      <c r="E1155" s="2"/>
      <c r="F1155" s="2"/>
      <c r="G1155" s="2"/>
      <c r="H1155" s="2"/>
      <c r="I1155" s="2"/>
      <c r="J1155" s="2"/>
      <c r="K1155" s="2"/>
    </row>
    <row r="1156" spans="4:11" x14ac:dyDescent="0.2">
      <c r="D1156" s="2"/>
      <c r="E1156" s="2"/>
      <c r="F1156" s="2"/>
      <c r="G1156" s="2"/>
      <c r="H1156" s="2"/>
      <c r="I1156" s="2"/>
      <c r="J1156" s="2"/>
      <c r="K1156" s="2"/>
    </row>
    <row r="1157" spans="4:11" x14ac:dyDescent="0.2">
      <c r="D1157" s="2"/>
      <c r="E1157" s="2"/>
      <c r="F1157" s="2"/>
      <c r="G1157" s="2"/>
      <c r="H1157" s="2"/>
      <c r="I1157" s="2"/>
      <c r="J1157" s="2"/>
      <c r="K1157" s="2"/>
    </row>
    <row r="1158" spans="4:11" x14ac:dyDescent="0.2">
      <c r="D1158" s="2"/>
      <c r="E1158" s="2"/>
      <c r="F1158" s="2"/>
      <c r="G1158" s="2"/>
      <c r="H1158" s="2"/>
      <c r="I1158" s="2"/>
      <c r="J1158" s="2"/>
      <c r="K1158" s="2"/>
    </row>
    <row r="1159" spans="4:11" x14ac:dyDescent="0.2">
      <c r="D1159" s="2"/>
      <c r="E1159" s="2"/>
      <c r="F1159" s="2"/>
      <c r="G1159" s="2"/>
      <c r="H1159" s="2"/>
      <c r="I1159" s="2"/>
      <c r="J1159" s="2"/>
      <c r="K1159" s="2"/>
    </row>
    <row r="1160" spans="4:11" x14ac:dyDescent="0.2">
      <c r="D1160" s="2"/>
      <c r="E1160" s="2"/>
      <c r="F1160" s="2"/>
      <c r="G1160" s="2"/>
      <c r="H1160" s="2"/>
      <c r="I1160" s="2"/>
      <c r="J1160" s="2"/>
      <c r="K1160" s="2"/>
    </row>
    <row r="1161" spans="4:11" x14ac:dyDescent="0.2">
      <c r="D1161" s="2"/>
      <c r="E1161" s="2"/>
      <c r="F1161" s="2"/>
      <c r="G1161" s="2"/>
      <c r="H1161" s="2"/>
      <c r="I1161" s="2"/>
      <c r="J1161" s="2"/>
      <c r="K1161" s="2"/>
    </row>
    <row r="1162" spans="4:11" x14ac:dyDescent="0.2">
      <c r="D1162" s="2"/>
      <c r="E1162" s="2"/>
      <c r="F1162" s="2"/>
      <c r="G1162" s="2"/>
      <c r="H1162" s="2"/>
      <c r="I1162" s="2"/>
      <c r="J1162" s="2"/>
      <c r="K1162" s="2"/>
    </row>
    <row r="1163" spans="4:11" x14ac:dyDescent="0.2">
      <c r="D1163" s="2"/>
      <c r="E1163" s="2"/>
      <c r="F1163" s="2"/>
      <c r="G1163" s="2"/>
      <c r="H1163" s="2"/>
      <c r="I1163" s="2"/>
      <c r="J1163" s="2"/>
      <c r="K1163" s="2"/>
    </row>
    <row r="1164" spans="4:11" x14ac:dyDescent="0.2">
      <c r="D1164" s="2"/>
      <c r="E1164" s="2"/>
      <c r="F1164" s="2"/>
      <c r="G1164" s="2"/>
      <c r="H1164" s="2"/>
      <c r="I1164" s="2"/>
      <c r="J1164" s="2"/>
      <c r="K1164" s="2"/>
    </row>
    <row r="1165" spans="4:11" x14ac:dyDescent="0.2">
      <c r="D1165" s="2"/>
      <c r="E1165" s="2"/>
      <c r="F1165" s="2"/>
      <c r="G1165" s="2"/>
      <c r="H1165" s="2"/>
      <c r="I1165" s="2"/>
      <c r="J1165" s="2"/>
      <c r="K1165" s="2"/>
    </row>
    <row r="1166" spans="4:11" x14ac:dyDescent="0.2">
      <c r="D1166" s="2"/>
      <c r="E1166" s="2"/>
      <c r="F1166" s="2"/>
      <c r="G1166" s="2"/>
      <c r="H1166" s="2"/>
      <c r="I1166" s="2"/>
      <c r="J1166" s="2"/>
      <c r="K1166" s="2"/>
    </row>
    <row r="1167" spans="4:11" x14ac:dyDescent="0.2">
      <c r="D1167" s="2"/>
      <c r="E1167" s="2"/>
      <c r="F1167" s="2"/>
      <c r="G1167" s="2"/>
      <c r="H1167" s="2"/>
      <c r="I1167" s="2"/>
      <c r="J1167" s="2"/>
      <c r="K1167" s="2"/>
    </row>
    <row r="1168" spans="4:11" x14ac:dyDescent="0.2">
      <c r="D1168" s="2"/>
      <c r="E1168" s="2"/>
      <c r="F1168" s="2"/>
      <c r="G1168" s="2"/>
      <c r="H1168" s="2"/>
      <c r="I1168" s="2"/>
      <c r="J1168" s="2"/>
      <c r="K1168" s="2"/>
    </row>
    <row r="1169" spans="4:11" x14ac:dyDescent="0.2">
      <c r="D1169" s="2"/>
      <c r="E1169" s="2"/>
      <c r="F1169" s="2"/>
      <c r="G1169" s="2"/>
      <c r="H1169" s="2"/>
      <c r="I1169" s="2"/>
      <c r="J1169" s="2"/>
      <c r="K1169" s="2"/>
    </row>
    <row r="1170" spans="4:11" x14ac:dyDescent="0.2">
      <c r="D1170" s="2"/>
      <c r="E1170" s="2"/>
      <c r="F1170" s="2"/>
      <c r="G1170" s="2"/>
      <c r="H1170" s="2"/>
      <c r="I1170" s="2"/>
      <c r="J1170" s="2"/>
      <c r="K1170" s="2"/>
    </row>
    <row r="1171" spans="4:11" x14ac:dyDescent="0.2">
      <c r="D1171" s="2"/>
      <c r="E1171" s="2"/>
      <c r="F1171" s="2"/>
      <c r="G1171" s="2"/>
      <c r="H1171" s="2"/>
      <c r="I1171" s="2"/>
      <c r="J1171" s="2"/>
      <c r="K1171" s="2"/>
    </row>
    <row r="1172" spans="4:11" x14ac:dyDescent="0.2">
      <c r="D1172" s="2"/>
      <c r="E1172" s="2"/>
      <c r="F1172" s="2"/>
      <c r="G1172" s="2"/>
      <c r="H1172" s="2"/>
      <c r="I1172" s="2"/>
      <c r="J1172" s="2"/>
      <c r="K1172" s="2"/>
    </row>
    <row r="1173" spans="4:11" x14ac:dyDescent="0.2">
      <c r="D1173" s="2"/>
      <c r="E1173" s="2"/>
      <c r="F1173" s="2"/>
      <c r="G1173" s="2"/>
      <c r="H1173" s="2"/>
      <c r="I1173" s="2"/>
      <c r="J1173" s="2"/>
      <c r="K1173" s="2"/>
    </row>
    <row r="1174" spans="4:11" x14ac:dyDescent="0.2">
      <c r="D1174" s="2"/>
      <c r="E1174" s="2"/>
      <c r="F1174" s="2"/>
      <c r="G1174" s="2"/>
      <c r="H1174" s="2"/>
      <c r="I1174" s="2"/>
      <c r="J1174" s="2"/>
      <c r="K1174" s="2"/>
    </row>
    <row r="1175" spans="4:11" x14ac:dyDescent="0.2">
      <c r="D1175" s="2"/>
      <c r="E1175" s="2"/>
      <c r="F1175" s="2"/>
      <c r="G1175" s="2"/>
      <c r="H1175" s="2"/>
      <c r="I1175" s="2"/>
      <c r="J1175" s="2"/>
      <c r="K1175" s="2"/>
    </row>
    <row r="1176" spans="4:11" x14ac:dyDescent="0.2">
      <c r="D1176" s="2"/>
      <c r="E1176" s="2"/>
      <c r="F1176" s="2"/>
      <c r="G1176" s="2"/>
      <c r="H1176" s="2"/>
      <c r="I1176" s="2"/>
      <c r="J1176" s="2"/>
      <c r="K1176" s="2"/>
    </row>
    <row r="1177" spans="4:11" x14ac:dyDescent="0.2">
      <c r="D1177" s="2"/>
      <c r="E1177" s="2"/>
      <c r="F1177" s="2"/>
      <c r="G1177" s="2"/>
      <c r="H1177" s="2"/>
      <c r="I1177" s="2"/>
      <c r="J1177" s="2"/>
      <c r="K1177" s="2"/>
    </row>
    <row r="1178" spans="4:11" x14ac:dyDescent="0.2">
      <c r="D1178" s="2"/>
      <c r="E1178" s="2"/>
      <c r="F1178" s="2"/>
      <c r="G1178" s="2"/>
      <c r="H1178" s="2"/>
      <c r="I1178" s="2"/>
      <c r="J1178" s="2"/>
      <c r="K1178" s="2"/>
    </row>
    <row r="1179" spans="4:11" x14ac:dyDescent="0.2">
      <c r="D1179" s="2"/>
      <c r="E1179" s="2"/>
      <c r="F1179" s="2"/>
      <c r="G1179" s="2"/>
      <c r="H1179" s="2"/>
      <c r="I1179" s="2"/>
      <c r="J1179" s="2"/>
      <c r="K1179" s="2"/>
    </row>
    <row r="1180" spans="4:11" x14ac:dyDescent="0.2">
      <c r="D1180" s="2"/>
      <c r="E1180" s="2"/>
      <c r="F1180" s="2"/>
      <c r="G1180" s="2"/>
      <c r="H1180" s="2"/>
      <c r="I1180" s="2"/>
      <c r="J1180" s="2"/>
      <c r="K1180" s="2"/>
    </row>
    <row r="1181" spans="4:11" x14ac:dyDescent="0.2">
      <c r="D1181" s="2"/>
      <c r="E1181" s="2"/>
      <c r="F1181" s="2"/>
      <c r="G1181" s="2"/>
      <c r="H1181" s="2"/>
      <c r="I1181" s="2"/>
      <c r="J1181" s="2"/>
      <c r="K1181" s="2"/>
    </row>
    <row r="1182" spans="4:11" x14ac:dyDescent="0.2">
      <c r="D1182" s="2"/>
      <c r="E1182" s="2"/>
      <c r="F1182" s="2"/>
      <c r="G1182" s="2"/>
      <c r="H1182" s="2"/>
      <c r="I1182" s="2"/>
      <c r="J1182" s="2"/>
      <c r="K1182" s="2"/>
    </row>
    <row r="1183" spans="4:11" x14ac:dyDescent="0.2">
      <c r="D1183" s="2"/>
      <c r="E1183" s="2"/>
      <c r="F1183" s="2"/>
      <c r="G1183" s="2"/>
      <c r="H1183" s="2"/>
      <c r="I1183" s="2"/>
      <c r="J1183" s="2"/>
      <c r="K1183" s="2"/>
    </row>
    <row r="1184" spans="4:11" x14ac:dyDescent="0.2">
      <c r="D1184" s="2"/>
      <c r="E1184" s="2"/>
      <c r="F1184" s="2"/>
      <c r="G1184" s="2"/>
      <c r="H1184" s="2"/>
      <c r="I1184" s="2"/>
      <c r="J1184" s="2"/>
      <c r="K1184" s="2"/>
    </row>
    <row r="1185" spans="4:11" x14ac:dyDescent="0.2">
      <c r="D1185" s="2"/>
      <c r="E1185" s="2"/>
      <c r="F1185" s="2"/>
      <c r="G1185" s="2"/>
      <c r="H1185" s="2"/>
      <c r="I1185" s="2"/>
      <c r="J1185" s="2"/>
      <c r="K1185" s="2"/>
    </row>
    <row r="1186" spans="4:11" x14ac:dyDescent="0.2">
      <c r="D1186" s="2"/>
      <c r="E1186" s="2"/>
      <c r="F1186" s="2"/>
      <c r="G1186" s="2"/>
      <c r="H1186" s="2"/>
      <c r="I1186" s="2"/>
      <c r="J1186" s="2"/>
      <c r="K1186" s="2"/>
    </row>
    <row r="1187" spans="4:11" x14ac:dyDescent="0.2">
      <c r="D1187" s="2"/>
      <c r="E1187" s="2"/>
      <c r="F1187" s="2"/>
      <c r="G1187" s="2"/>
      <c r="H1187" s="2"/>
      <c r="I1187" s="2"/>
      <c r="J1187" s="2"/>
      <c r="K1187" s="2"/>
    </row>
    <row r="1188" spans="4:11" x14ac:dyDescent="0.2">
      <c r="D1188" s="2"/>
      <c r="E1188" s="2"/>
      <c r="F1188" s="2"/>
      <c r="G1188" s="2"/>
      <c r="H1188" s="2"/>
      <c r="I1188" s="2"/>
      <c r="J1188" s="2"/>
      <c r="K1188" s="2"/>
    </row>
    <row r="1189" spans="4:11" x14ac:dyDescent="0.2">
      <c r="D1189" s="2"/>
      <c r="E1189" s="2"/>
      <c r="F1189" s="2"/>
      <c r="G1189" s="2"/>
      <c r="H1189" s="2"/>
      <c r="I1189" s="2"/>
      <c r="J1189" s="2"/>
      <c r="K1189" s="2"/>
    </row>
    <row r="1190" spans="4:11" x14ac:dyDescent="0.2">
      <c r="D1190" s="2"/>
      <c r="E1190" s="2"/>
      <c r="F1190" s="2"/>
      <c r="G1190" s="2"/>
      <c r="H1190" s="2"/>
      <c r="I1190" s="2"/>
      <c r="J1190" s="2"/>
      <c r="K1190" s="2"/>
    </row>
    <row r="1191" spans="4:11" x14ac:dyDescent="0.2">
      <c r="D1191" s="2"/>
      <c r="E1191" s="2"/>
      <c r="F1191" s="2"/>
      <c r="G1191" s="2"/>
      <c r="H1191" s="2"/>
      <c r="I1191" s="2"/>
      <c r="J1191" s="2"/>
      <c r="K1191" s="2"/>
    </row>
    <row r="1192" spans="4:11" x14ac:dyDescent="0.2">
      <c r="D1192" s="2"/>
      <c r="E1192" s="2"/>
      <c r="F1192" s="2"/>
      <c r="G1192" s="2"/>
      <c r="H1192" s="2"/>
      <c r="I1192" s="2"/>
      <c r="J1192" s="2"/>
      <c r="K1192" s="2"/>
    </row>
    <row r="1193" spans="4:11" x14ac:dyDescent="0.2">
      <c r="D1193" s="2"/>
      <c r="E1193" s="2"/>
      <c r="F1193" s="2"/>
      <c r="G1193" s="2"/>
      <c r="H1193" s="2"/>
      <c r="I1193" s="2"/>
      <c r="J1193" s="2"/>
      <c r="K1193" s="2"/>
    </row>
    <row r="1194" spans="4:11" x14ac:dyDescent="0.2">
      <c r="D1194" s="2"/>
      <c r="E1194" s="2"/>
      <c r="F1194" s="2"/>
      <c r="G1194" s="2"/>
      <c r="H1194" s="2"/>
      <c r="I1194" s="2"/>
      <c r="J1194" s="2"/>
      <c r="K1194" s="2"/>
    </row>
    <row r="1195" spans="4:11" x14ac:dyDescent="0.2">
      <c r="D1195" s="2"/>
      <c r="E1195" s="2"/>
      <c r="F1195" s="2"/>
      <c r="G1195" s="2"/>
      <c r="H1195" s="2"/>
      <c r="I1195" s="2"/>
      <c r="J1195" s="2"/>
      <c r="K1195" s="2"/>
    </row>
    <row r="1196" spans="4:11" x14ac:dyDescent="0.2">
      <c r="D1196" s="2"/>
      <c r="E1196" s="2"/>
      <c r="F1196" s="2"/>
      <c r="G1196" s="2"/>
      <c r="H1196" s="2"/>
      <c r="I1196" s="2"/>
      <c r="J1196" s="2"/>
      <c r="K1196" s="2"/>
    </row>
    <row r="1197" spans="4:11" x14ac:dyDescent="0.2">
      <c r="D1197" s="2"/>
      <c r="E1197" s="2"/>
      <c r="F1197" s="2"/>
      <c r="G1197" s="2"/>
      <c r="H1197" s="2"/>
      <c r="I1197" s="2"/>
      <c r="J1197" s="2"/>
      <c r="K1197" s="2"/>
    </row>
    <row r="1198" spans="4:11" x14ac:dyDescent="0.2">
      <c r="D1198" s="2"/>
      <c r="E1198" s="2"/>
      <c r="F1198" s="2"/>
      <c r="G1198" s="2"/>
      <c r="H1198" s="2"/>
      <c r="I1198" s="2"/>
      <c r="J1198" s="2"/>
      <c r="K1198" s="2"/>
    </row>
    <row r="1199" spans="4:11" x14ac:dyDescent="0.2">
      <c r="D1199" s="2"/>
      <c r="E1199" s="2"/>
      <c r="F1199" s="2"/>
      <c r="G1199" s="2"/>
      <c r="H1199" s="2"/>
      <c r="I1199" s="2"/>
      <c r="J1199" s="2"/>
      <c r="K1199" s="2"/>
    </row>
    <row r="1200" spans="4:11" x14ac:dyDescent="0.2">
      <c r="D1200" s="2"/>
      <c r="E1200" s="2"/>
      <c r="F1200" s="2"/>
      <c r="G1200" s="2"/>
      <c r="H1200" s="2"/>
      <c r="I1200" s="2"/>
      <c r="J1200" s="2"/>
      <c r="K1200" s="2"/>
    </row>
    <row r="1201" spans="4:11" x14ac:dyDescent="0.2">
      <c r="D1201" s="2"/>
      <c r="E1201" s="2"/>
      <c r="F1201" s="2"/>
      <c r="G1201" s="2"/>
      <c r="H1201" s="2"/>
      <c r="I1201" s="2"/>
      <c r="J1201" s="2"/>
      <c r="K1201" s="2"/>
    </row>
    <row r="1202" spans="4:11" x14ac:dyDescent="0.2">
      <c r="D1202" s="2"/>
      <c r="E1202" s="2"/>
      <c r="F1202" s="2"/>
      <c r="G1202" s="2"/>
      <c r="H1202" s="2"/>
      <c r="I1202" s="2"/>
      <c r="J1202" s="2"/>
      <c r="K1202" s="2"/>
    </row>
    <row r="1203" spans="4:11" x14ac:dyDescent="0.2">
      <c r="D1203" s="2"/>
      <c r="E1203" s="2"/>
      <c r="F1203" s="2"/>
      <c r="G1203" s="2"/>
      <c r="H1203" s="2"/>
      <c r="I1203" s="2"/>
      <c r="J1203" s="2"/>
      <c r="K1203" s="2"/>
    </row>
    <row r="1204" spans="4:11" x14ac:dyDescent="0.2">
      <c r="D1204" s="2"/>
      <c r="E1204" s="2"/>
      <c r="F1204" s="2"/>
      <c r="G1204" s="2"/>
      <c r="H1204" s="2"/>
      <c r="I1204" s="2"/>
      <c r="J1204" s="2"/>
      <c r="K1204" s="2"/>
    </row>
    <row r="1205" spans="4:11" x14ac:dyDescent="0.2">
      <c r="D1205" s="2"/>
      <c r="E1205" s="2"/>
      <c r="F1205" s="2"/>
      <c r="G1205" s="2"/>
      <c r="H1205" s="2"/>
      <c r="I1205" s="2"/>
      <c r="J1205" s="2"/>
      <c r="K1205" s="2"/>
    </row>
    <row r="1206" spans="4:11" x14ac:dyDescent="0.2">
      <c r="D1206" s="2"/>
      <c r="E1206" s="2"/>
      <c r="F1206" s="2"/>
      <c r="G1206" s="2"/>
      <c r="H1206" s="2"/>
      <c r="I1206" s="2"/>
      <c r="J1206" s="2"/>
      <c r="K1206" s="2"/>
    </row>
    <row r="1207" spans="4:11" x14ac:dyDescent="0.2">
      <c r="D1207" s="2"/>
      <c r="E1207" s="2"/>
      <c r="F1207" s="2"/>
      <c r="G1207" s="2"/>
      <c r="H1207" s="2"/>
      <c r="I1207" s="2"/>
      <c r="J1207" s="2"/>
      <c r="K1207" s="2"/>
    </row>
    <row r="1208" spans="4:11" x14ac:dyDescent="0.2">
      <c r="D1208" s="2"/>
      <c r="E1208" s="2"/>
      <c r="F1208" s="2"/>
      <c r="G1208" s="2"/>
      <c r="H1208" s="2"/>
      <c r="I1208" s="2"/>
      <c r="J1208" s="2"/>
      <c r="K1208" s="2"/>
    </row>
    <row r="1209" spans="4:11" x14ac:dyDescent="0.2">
      <c r="D1209" s="2"/>
      <c r="E1209" s="2"/>
      <c r="F1209" s="2"/>
      <c r="G1209" s="2"/>
      <c r="H1209" s="2"/>
      <c r="I1209" s="2"/>
      <c r="J1209" s="2"/>
      <c r="K1209" s="2"/>
    </row>
    <row r="1210" spans="4:11" x14ac:dyDescent="0.2">
      <c r="D1210" s="2"/>
      <c r="E1210" s="2"/>
      <c r="F1210" s="2"/>
      <c r="G1210" s="2"/>
      <c r="H1210" s="2"/>
      <c r="I1210" s="2"/>
      <c r="J1210" s="2"/>
      <c r="K1210" s="2"/>
    </row>
    <row r="1211" spans="4:11" x14ac:dyDescent="0.2">
      <c r="D1211" s="2"/>
      <c r="E1211" s="2"/>
      <c r="F1211" s="2"/>
      <c r="G1211" s="2"/>
      <c r="H1211" s="2"/>
      <c r="I1211" s="2"/>
      <c r="J1211" s="2"/>
      <c r="K1211" s="2"/>
    </row>
    <row r="1212" spans="4:11" x14ac:dyDescent="0.2">
      <c r="D1212" s="2"/>
      <c r="E1212" s="2"/>
      <c r="F1212" s="2"/>
      <c r="G1212" s="2"/>
      <c r="H1212" s="2"/>
      <c r="I1212" s="2"/>
      <c r="J1212" s="2"/>
      <c r="K1212" s="2"/>
    </row>
    <row r="1213" spans="4:11" x14ac:dyDescent="0.2">
      <c r="D1213" s="2"/>
      <c r="E1213" s="2"/>
      <c r="F1213" s="2"/>
      <c r="G1213" s="2"/>
      <c r="H1213" s="2"/>
      <c r="I1213" s="2"/>
      <c r="J1213" s="2"/>
      <c r="K1213" s="2"/>
    </row>
    <row r="1214" spans="4:11" x14ac:dyDescent="0.2">
      <c r="D1214" s="2"/>
      <c r="E1214" s="2"/>
      <c r="F1214" s="2"/>
      <c r="G1214" s="2"/>
      <c r="H1214" s="2"/>
      <c r="I1214" s="2"/>
      <c r="J1214" s="2"/>
      <c r="K1214" s="2"/>
    </row>
    <row r="1215" spans="4:11" x14ac:dyDescent="0.2">
      <c r="D1215" s="2"/>
      <c r="E1215" s="2"/>
      <c r="F1215" s="2"/>
      <c r="G1215" s="2"/>
      <c r="H1215" s="2"/>
      <c r="I1215" s="2"/>
      <c r="J1215" s="2"/>
      <c r="K1215" s="2"/>
    </row>
    <row r="1216" spans="4:11" x14ac:dyDescent="0.2">
      <c r="D1216" s="2"/>
      <c r="E1216" s="2"/>
      <c r="F1216" s="2"/>
      <c r="G1216" s="2"/>
      <c r="H1216" s="2"/>
      <c r="I1216" s="2"/>
      <c r="J1216" s="2"/>
      <c r="K1216" s="2"/>
    </row>
    <row r="1217" spans="4:11" x14ac:dyDescent="0.2">
      <c r="D1217" s="2"/>
      <c r="E1217" s="2"/>
      <c r="F1217" s="2"/>
      <c r="G1217" s="2"/>
      <c r="H1217" s="2"/>
      <c r="I1217" s="2"/>
      <c r="J1217" s="2"/>
      <c r="K1217" s="2"/>
    </row>
    <row r="1218" spans="4:11" x14ac:dyDescent="0.2">
      <c r="D1218" s="2"/>
      <c r="E1218" s="2"/>
      <c r="F1218" s="2"/>
      <c r="G1218" s="2"/>
      <c r="H1218" s="2"/>
      <c r="I1218" s="2"/>
      <c r="J1218" s="2"/>
      <c r="K1218" s="2"/>
    </row>
    <row r="1219" spans="4:11" x14ac:dyDescent="0.2">
      <c r="D1219" s="2"/>
      <c r="E1219" s="2"/>
      <c r="F1219" s="2"/>
      <c r="G1219" s="2"/>
      <c r="H1219" s="2"/>
      <c r="I1219" s="2"/>
      <c r="J1219" s="2"/>
      <c r="K1219" s="2"/>
    </row>
    <row r="1220" spans="4:11" x14ac:dyDescent="0.2">
      <c r="D1220" s="2"/>
      <c r="E1220" s="2"/>
      <c r="F1220" s="2"/>
      <c r="G1220" s="2"/>
      <c r="H1220" s="2"/>
      <c r="I1220" s="2"/>
      <c r="J1220" s="2"/>
      <c r="K1220" s="2"/>
    </row>
    <row r="1221" spans="4:11" x14ac:dyDescent="0.2">
      <c r="D1221" s="2"/>
      <c r="E1221" s="2"/>
      <c r="F1221" s="2"/>
      <c r="G1221" s="2"/>
      <c r="H1221" s="2"/>
      <c r="I1221" s="2"/>
      <c r="J1221" s="2"/>
      <c r="K1221" s="2"/>
    </row>
    <row r="1222" spans="4:11" x14ac:dyDescent="0.2">
      <c r="D1222" s="2"/>
      <c r="E1222" s="2"/>
      <c r="F1222" s="2"/>
      <c r="G1222" s="2"/>
      <c r="H1222" s="2"/>
      <c r="I1222" s="2"/>
      <c r="J1222" s="2"/>
      <c r="K1222" s="2"/>
    </row>
    <row r="1223" spans="4:11" x14ac:dyDescent="0.2">
      <c r="D1223" s="2"/>
      <c r="E1223" s="2"/>
      <c r="F1223" s="2"/>
      <c r="G1223" s="2"/>
      <c r="H1223" s="2"/>
      <c r="I1223" s="2"/>
      <c r="J1223" s="2"/>
      <c r="K1223" s="2"/>
    </row>
    <row r="1224" spans="4:11" x14ac:dyDescent="0.2">
      <c r="D1224" s="2"/>
      <c r="E1224" s="2"/>
      <c r="F1224" s="2"/>
      <c r="G1224" s="2"/>
      <c r="H1224" s="2"/>
      <c r="I1224" s="2"/>
      <c r="J1224" s="2"/>
      <c r="K1224" s="2"/>
    </row>
    <row r="1225" spans="4:11" x14ac:dyDescent="0.2">
      <c r="D1225" s="2"/>
      <c r="E1225" s="2"/>
      <c r="F1225" s="2"/>
      <c r="G1225" s="2"/>
      <c r="H1225" s="2"/>
      <c r="I1225" s="2"/>
      <c r="J1225" s="2"/>
      <c r="K1225" s="2"/>
    </row>
    <row r="1226" spans="4:11" x14ac:dyDescent="0.2">
      <c r="D1226" s="2"/>
      <c r="E1226" s="2"/>
      <c r="F1226" s="2"/>
      <c r="G1226" s="2"/>
      <c r="H1226" s="2"/>
      <c r="I1226" s="2"/>
      <c r="J1226" s="2"/>
      <c r="K1226" s="2"/>
    </row>
    <row r="1227" spans="4:11" x14ac:dyDescent="0.2">
      <c r="D1227" s="2"/>
      <c r="E1227" s="2"/>
      <c r="F1227" s="2"/>
      <c r="G1227" s="2"/>
      <c r="H1227" s="2"/>
      <c r="I1227" s="2"/>
      <c r="J1227" s="2"/>
      <c r="K1227" s="2"/>
    </row>
    <row r="1228" spans="4:11" x14ac:dyDescent="0.2">
      <c r="D1228" s="2"/>
      <c r="E1228" s="2"/>
      <c r="F1228" s="2"/>
      <c r="G1228" s="2"/>
      <c r="H1228" s="2"/>
      <c r="I1228" s="2"/>
      <c r="J1228" s="2"/>
      <c r="K1228" s="2"/>
    </row>
    <row r="1229" spans="4:11" x14ac:dyDescent="0.2">
      <c r="D1229" s="2"/>
      <c r="E1229" s="2"/>
      <c r="F1229" s="2"/>
      <c r="G1229" s="2"/>
      <c r="H1229" s="2"/>
      <c r="I1229" s="2"/>
      <c r="J1229" s="2"/>
      <c r="K1229" s="2"/>
    </row>
    <row r="1230" spans="4:11" x14ac:dyDescent="0.2">
      <c r="D1230" s="2"/>
      <c r="E1230" s="2"/>
      <c r="F1230" s="2"/>
      <c r="G1230" s="2"/>
      <c r="H1230" s="2"/>
      <c r="I1230" s="2"/>
      <c r="J1230" s="2"/>
      <c r="K1230" s="2"/>
    </row>
    <row r="1231" spans="4:11" x14ac:dyDescent="0.2">
      <c r="D1231" s="2"/>
      <c r="E1231" s="2"/>
      <c r="F1231" s="2"/>
      <c r="G1231" s="2"/>
      <c r="H1231" s="2"/>
      <c r="I1231" s="2"/>
      <c r="J1231" s="2"/>
      <c r="K1231" s="2"/>
    </row>
    <row r="1232" spans="4:11" x14ac:dyDescent="0.2">
      <c r="D1232" s="2"/>
      <c r="E1232" s="2"/>
      <c r="F1232" s="2"/>
      <c r="G1232" s="2"/>
      <c r="H1232" s="2"/>
      <c r="I1232" s="2"/>
      <c r="J1232" s="2"/>
      <c r="K1232" s="2"/>
    </row>
    <row r="1233" spans="4:11" x14ac:dyDescent="0.2">
      <c r="D1233" s="2"/>
      <c r="E1233" s="2"/>
      <c r="F1233" s="2"/>
      <c r="G1233" s="2"/>
      <c r="H1233" s="2"/>
      <c r="I1233" s="2"/>
      <c r="J1233" s="2"/>
      <c r="K1233" s="2"/>
    </row>
    <row r="1234" spans="4:11" x14ac:dyDescent="0.2">
      <c r="D1234" s="2"/>
      <c r="E1234" s="2"/>
      <c r="F1234" s="2"/>
      <c r="G1234" s="2"/>
      <c r="H1234" s="2"/>
      <c r="I1234" s="2"/>
      <c r="J1234" s="2"/>
      <c r="K1234" s="2"/>
    </row>
    <row r="1235" spans="4:11" x14ac:dyDescent="0.2">
      <c r="D1235" s="2"/>
      <c r="E1235" s="2"/>
      <c r="F1235" s="2"/>
      <c r="G1235" s="2"/>
      <c r="H1235" s="2"/>
      <c r="I1235" s="2"/>
      <c r="J1235" s="2"/>
      <c r="K1235" s="2"/>
    </row>
    <row r="1236" spans="4:11" x14ac:dyDescent="0.2">
      <c r="D1236" s="2"/>
      <c r="E1236" s="2"/>
      <c r="F1236" s="2"/>
      <c r="G1236" s="2"/>
      <c r="H1236" s="2"/>
      <c r="I1236" s="2"/>
      <c r="J1236" s="2"/>
      <c r="K1236" s="2"/>
    </row>
    <row r="1237" spans="4:11" x14ac:dyDescent="0.2">
      <c r="D1237" s="2"/>
      <c r="E1237" s="2"/>
      <c r="F1237" s="2"/>
      <c r="G1237" s="2"/>
      <c r="H1237" s="2"/>
      <c r="I1237" s="2"/>
      <c r="J1237" s="2"/>
      <c r="K1237" s="2"/>
    </row>
    <row r="1238" spans="4:11" x14ac:dyDescent="0.2">
      <c r="D1238" s="2"/>
      <c r="E1238" s="2"/>
      <c r="F1238" s="2"/>
      <c r="G1238" s="2"/>
      <c r="H1238" s="2"/>
      <c r="I1238" s="2"/>
      <c r="J1238" s="2"/>
      <c r="K1238" s="2"/>
    </row>
    <row r="1239" spans="4:11" x14ac:dyDescent="0.2">
      <c r="D1239" s="2"/>
      <c r="E1239" s="2"/>
      <c r="F1239" s="2"/>
      <c r="G1239" s="2"/>
      <c r="H1239" s="2"/>
      <c r="I1239" s="2"/>
      <c r="J1239" s="2"/>
      <c r="K1239" s="2"/>
    </row>
    <row r="1240" spans="4:11" x14ac:dyDescent="0.2">
      <c r="D1240" s="2"/>
      <c r="E1240" s="2"/>
      <c r="F1240" s="2"/>
      <c r="G1240" s="2"/>
      <c r="H1240" s="2"/>
      <c r="I1240" s="2"/>
      <c r="J1240" s="2"/>
      <c r="K1240" s="2"/>
    </row>
    <row r="1241" spans="4:11" x14ac:dyDescent="0.2">
      <c r="D1241" s="2"/>
      <c r="E1241" s="2"/>
      <c r="F1241" s="2"/>
      <c r="G1241" s="2"/>
      <c r="H1241" s="2"/>
      <c r="I1241" s="2"/>
      <c r="J1241" s="2"/>
      <c r="K1241" s="2"/>
    </row>
    <row r="1242" spans="4:11" x14ac:dyDescent="0.2">
      <c r="D1242" s="2"/>
      <c r="E1242" s="2"/>
      <c r="F1242" s="2"/>
      <c r="G1242" s="2"/>
      <c r="H1242" s="2"/>
      <c r="I1242" s="2"/>
      <c r="J1242" s="2"/>
      <c r="K1242" s="2"/>
    </row>
    <row r="1243" spans="4:11" x14ac:dyDescent="0.2">
      <c r="D1243" s="2"/>
      <c r="E1243" s="2"/>
      <c r="F1243" s="2"/>
      <c r="G1243" s="2"/>
      <c r="H1243" s="2"/>
      <c r="I1243" s="2"/>
      <c r="J1243" s="2"/>
      <c r="K1243" s="2"/>
    </row>
    <row r="1244" spans="4:11" x14ac:dyDescent="0.2">
      <c r="D1244" s="2"/>
      <c r="E1244" s="2"/>
      <c r="F1244" s="2"/>
      <c r="G1244" s="2"/>
      <c r="H1244" s="2"/>
      <c r="I1244" s="2"/>
      <c r="J1244" s="2"/>
      <c r="K1244" s="2"/>
    </row>
    <row r="1245" spans="4:11" x14ac:dyDescent="0.2">
      <c r="D1245" s="2"/>
      <c r="E1245" s="2"/>
      <c r="F1245" s="2"/>
      <c r="G1245" s="2"/>
      <c r="H1245" s="2"/>
      <c r="I1245" s="2"/>
      <c r="J1245" s="2"/>
      <c r="K1245" s="2"/>
    </row>
    <row r="1246" spans="4:11" x14ac:dyDescent="0.2">
      <c r="D1246" s="2"/>
      <c r="E1246" s="2"/>
      <c r="F1246" s="2"/>
      <c r="G1246" s="2"/>
      <c r="H1246" s="2"/>
      <c r="I1246" s="2"/>
      <c r="J1246" s="2"/>
      <c r="K1246" s="2"/>
    </row>
    <row r="1247" spans="4:11" x14ac:dyDescent="0.2">
      <c r="D1247" s="2"/>
      <c r="E1247" s="2"/>
      <c r="F1247" s="2"/>
      <c r="G1247" s="2"/>
      <c r="H1247" s="2"/>
      <c r="I1247" s="2"/>
      <c r="J1247" s="2"/>
      <c r="K1247" s="2"/>
    </row>
    <row r="1248" spans="4:11" x14ac:dyDescent="0.2">
      <c r="D1248" s="2"/>
      <c r="E1248" s="2"/>
      <c r="F1248" s="2"/>
      <c r="G1248" s="2"/>
      <c r="H1248" s="2"/>
      <c r="I1248" s="2"/>
      <c r="J1248" s="2"/>
      <c r="K1248" s="2"/>
    </row>
    <row r="1249" spans="4:11" x14ac:dyDescent="0.2">
      <c r="D1249" s="2"/>
      <c r="E1249" s="2"/>
      <c r="F1249" s="2"/>
      <c r="G1249" s="2"/>
      <c r="H1249" s="2"/>
      <c r="I1249" s="2"/>
      <c r="J1249" s="2"/>
      <c r="K1249" s="2"/>
    </row>
    <row r="1250" spans="4:11" x14ac:dyDescent="0.2">
      <c r="D1250" s="2"/>
      <c r="E1250" s="2"/>
      <c r="F1250" s="2"/>
      <c r="G1250" s="2"/>
      <c r="H1250" s="2"/>
      <c r="I1250" s="2"/>
      <c r="J1250" s="2"/>
      <c r="K1250" s="2"/>
    </row>
    <row r="1251" spans="4:11" x14ac:dyDescent="0.2">
      <c r="D1251" s="2"/>
      <c r="E1251" s="2"/>
      <c r="F1251" s="2"/>
      <c r="G1251" s="2"/>
      <c r="H1251" s="2"/>
      <c r="I1251" s="2"/>
      <c r="J1251" s="2"/>
      <c r="K1251" s="2"/>
    </row>
    <row r="1252" spans="4:11" x14ac:dyDescent="0.2">
      <c r="D1252" s="2"/>
      <c r="E1252" s="2"/>
      <c r="F1252" s="2"/>
      <c r="G1252" s="2"/>
      <c r="H1252" s="2"/>
      <c r="I1252" s="2"/>
      <c r="J1252" s="2"/>
      <c r="K1252" s="2"/>
    </row>
    <row r="1253" spans="4:11" x14ac:dyDescent="0.2">
      <c r="D1253" s="2"/>
      <c r="E1253" s="2"/>
      <c r="F1253" s="2"/>
      <c r="G1253" s="2"/>
      <c r="H1253" s="2"/>
      <c r="I1253" s="2"/>
      <c r="J1253" s="2"/>
      <c r="K1253" s="2"/>
    </row>
    <row r="1254" spans="4:11" x14ac:dyDescent="0.2">
      <c r="D1254" s="2"/>
      <c r="E1254" s="2"/>
      <c r="F1254" s="2"/>
      <c r="G1254" s="2"/>
      <c r="H1254" s="2"/>
      <c r="I1254" s="2"/>
      <c r="J1254" s="2"/>
      <c r="K1254" s="2"/>
    </row>
    <row r="1255" spans="4:11" x14ac:dyDescent="0.2">
      <c r="D1255" s="2"/>
      <c r="E1255" s="2"/>
      <c r="F1255" s="2"/>
      <c r="G1255" s="2"/>
      <c r="H1255" s="2"/>
      <c r="I1255" s="2"/>
      <c r="J1255" s="2"/>
      <c r="K1255" s="2"/>
    </row>
    <row r="1256" spans="4:11" x14ac:dyDescent="0.2">
      <c r="D1256" s="2"/>
      <c r="E1256" s="2"/>
      <c r="F1256" s="2"/>
      <c r="G1256" s="2"/>
      <c r="H1256" s="2"/>
      <c r="I1256" s="2"/>
      <c r="J1256" s="2"/>
      <c r="K1256" s="2"/>
    </row>
    <row r="1257" spans="4:11" x14ac:dyDescent="0.2">
      <c r="D1257" s="2"/>
      <c r="E1257" s="2"/>
      <c r="F1257" s="2"/>
      <c r="G1257" s="2"/>
      <c r="H1257" s="2"/>
      <c r="I1257" s="2"/>
      <c r="J1257" s="2"/>
      <c r="K1257" s="2"/>
    </row>
    <row r="1258" spans="4:11" x14ac:dyDescent="0.2">
      <c r="D1258" s="2"/>
      <c r="E1258" s="2"/>
      <c r="F1258" s="2"/>
      <c r="G1258" s="2"/>
      <c r="H1258" s="2"/>
      <c r="I1258" s="2"/>
      <c r="J1258" s="2"/>
      <c r="K1258" s="2"/>
    </row>
    <row r="1259" spans="4:11" x14ac:dyDescent="0.2">
      <c r="D1259" s="2"/>
      <c r="E1259" s="2"/>
      <c r="F1259" s="2"/>
      <c r="G1259" s="2"/>
      <c r="H1259" s="2"/>
      <c r="I1259" s="2"/>
      <c r="J1259" s="2"/>
      <c r="K1259" s="2"/>
    </row>
    <row r="1260" spans="4:11" x14ac:dyDescent="0.2">
      <c r="D1260" s="2"/>
      <c r="E1260" s="2"/>
      <c r="F1260" s="2"/>
      <c r="G1260" s="2"/>
      <c r="H1260" s="2"/>
      <c r="I1260" s="2"/>
      <c r="J1260" s="2"/>
      <c r="K1260" s="2"/>
    </row>
    <row r="1261" spans="4:11" x14ac:dyDescent="0.2">
      <c r="D1261" s="2"/>
      <c r="E1261" s="2"/>
      <c r="F1261" s="2"/>
      <c r="G1261" s="2"/>
      <c r="H1261" s="2"/>
      <c r="I1261" s="2"/>
      <c r="J1261" s="2"/>
      <c r="K1261" s="2"/>
    </row>
    <row r="1262" spans="4:11" x14ac:dyDescent="0.2">
      <c r="D1262" s="2"/>
      <c r="E1262" s="2"/>
      <c r="F1262" s="2"/>
      <c r="G1262" s="2"/>
      <c r="H1262" s="2"/>
      <c r="I1262" s="2"/>
      <c r="J1262" s="2"/>
      <c r="K1262" s="2"/>
    </row>
    <row r="1263" spans="4:11" x14ac:dyDescent="0.2">
      <c r="D1263" s="2"/>
      <c r="E1263" s="2"/>
      <c r="F1263" s="2"/>
      <c r="G1263" s="2"/>
      <c r="H1263" s="2"/>
      <c r="I1263" s="2"/>
      <c r="J1263" s="2"/>
      <c r="K1263" s="2"/>
    </row>
    <row r="1264" spans="4:11" x14ac:dyDescent="0.2">
      <c r="D1264" s="2"/>
      <c r="E1264" s="2"/>
      <c r="F1264" s="2"/>
      <c r="G1264" s="2"/>
      <c r="H1264" s="2"/>
      <c r="I1264" s="2"/>
      <c r="J1264" s="2"/>
      <c r="K1264" s="2"/>
    </row>
    <row r="1265" spans="4:11" x14ac:dyDescent="0.2">
      <c r="D1265" s="2"/>
      <c r="E1265" s="2"/>
      <c r="F1265" s="2"/>
      <c r="G1265" s="2"/>
      <c r="H1265" s="2"/>
      <c r="I1265" s="2"/>
      <c r="J1265" s="2"/>
      <c r="K1265" s="2"/>
    </row>
    <row r="1266" spans="4:11" x14ac:dyDescent="0.2">
      <c r="D1266" s="2"/>
      <c r="E1266" s="2"/>
      <c r="F1266" s="2"/>
      <c r="G1266" s="2"/>
      <c r="H1266" s="2"/>
      <c r="I1266" s="2"/>
      <c r="J1266" s="2"/>
      <c r="K1266" s="2"/>
    </row>
    <row r="1267" spans="4:11" x14ac:dyDescent="0.2">
      <c r="D1267" s="2"/>
      <c r="E1267" s="2"/>
      <c r="F1267" s="2"/>
      <c r="G1267" s="2"/>
      <c r="H1267" s="2"/>
      <c r="I1267" s="2"/>
      <c r="J1267" s="2"/>
      <c r="K1267" s="2"/>
    </row>
    <row r="1268" spans="4:11" x14ac:dyDescent="0.2">
      <c r="D1268" s="2"/>
      <c r="E1268" s="2"/>
      <c r="F1268" s="2"/>
      <c r="G1268" s="2"/>
      <c r="H1268" s="2"/>
      <c r="I1268" s="2"/>
      <c r="J1268" s="2"/>
      <c r="K1268" s="2"/>
    </row>
    <row r="1269" spans="4:11" x14ac:dyDescent="0.2">
      <c r="D1269" s="2"/>
      <c r="E1269" s="2"/>
      <c r="F1269" s="2"/>
      <c r="G1269" s="2"/>
      <c r="H1269" s="2"/>
      <c r="I1269" s="2"/>
      <c r="J1269" s="2"/>
      <c r="K1269" s="2"/>
    </row>
    <row r="1270" spans="4:11" x14ac:dyDescent="0.2">
      <c r="D1270" s="2"/>
      <c r="E1270" s="2"/>
      <c r="F1270" s="2"/>
      <c r="G1270" s="2"/>
      <c r="H1270" s="2"/>
      <c r="I1270" s="2"/>
      <c r="J1270" s="2"/>
      <c r="K1270" s="2"/>
    </row>
    <row r="1271" spans="4:11" x14ac:dyDescent="0.2">
      <c r="D1271" s="2"/>
      <c r="E1271" s="2"/>
      <c r="F1271" s="2"/>
      <c r="G1271" s="2"/>
      <c r="H1271" s="2"/>
      <c r="I1271" s="2"/>
      <c r="J1271" s="2"/>
      <c r="K1271" s="2"/>
    </row>
    <row r="1272" spans="4:11" x14ac:dyDescent="0.2">
      <c r="D1272" s="2"/>
      <c r="E1272" s="2"/>
      <c r="F1272" s="2"/>
      <c r="G1272" s="2"/>
      <c r="H1272" s="2"/>
      <c r="I1272" s="2"/>
      <c r="J1272" s="2"/>
      <c r="K1272" s="2"/>
    </row>
    <row r="1273" spans="4:11" x14ac:dyDescent="0.2">
      <c r="D1273" s="2"/>
      <c r="E1273" s="2"/>
      <c r="F1273" s="2"/>
      <c r="G1273" s="2"/>
      <c r="H1273" s="2"/>
      <c r="I1273" s="2"/>
      <c r="J1273" s="2"/>
      <c r="K1273" s="2"/>
    </row>
    <row r="1274" spans="4:11" x14ac:dyDescent="0.2">
      <c r="D1274" s="2"/>
      <c r="E1274" s="2"/>
      <c r="F1274" s="2"/>
      <c r="G1274" s="2"/>
      <c r="H1274" s="2"/>
      <c r="I1274" s="2"/>
      <c r="J1274" s="2"/>
      <c r="K1274" s="2"/>
    </row>
    <row r="1275" spans="4:11" x14ac:dyDescent="0.2">
      <c r="D1275" s="2"/>
      <c r="E1275" s="2"/>
      <c r="F1275" s="2"/>
      <c r="G1275" s="2"/>
      <c r="H1275" s="2"/>
      <c r="I1275" s="2"/>
      <c r="J1275" s="2"/>
      <c r="K1275" s="2"/>
    </row>
    <row r="1276" spans="4:11" x14ac:dyDescent="0.2">
      <c r="D1276" s="2"/>
      <c r="E1276" s="2"/>
      <c r="F1276" s="2"/>
      <c r="G1276" s="2"/>
      <c r="H1276" s="2"/>
      <c r="I1276" s="2"/>
      <c r="J1276" s="2"/>
      <c r="K1276" s="2"/>
    </row>
    <row r="1277" spans="4:11" x14ac:dyDescent="0.2">
      <c r="D1277" s="2"/>
      <c r="E1277" s="2"/>
      <c r="F1277" s="2"/>
      <c r="G1277" s="2"/>
      <c r="H1277" s="2"/>
      <c r="I1277" s="2"/>
      <c r="J1277" s="2"/>
      <c r="K1277" s="2"/>
    </row>
    <row r="1278" spans="4:11" x14ac:dyDescent="0.2">
      <c r="D1278" s="2"/>
      <c r="E1278" s="2"/>
      <c r="F1278" s="2"/>
      <c r="G1278" s="2"/>
      <c r="H1278" s="2"/>
      <c r="I1278" s="2"/>
      <c r="J1278" s="2"/>
      <c r="K1278" s="2"/>
    </row>
    <row r="1279" spans="4:11" x14ac:dyDescent="0.2">
      <c r="D1279" s="2"/>
      <c r="E1279" s="2"/>
      <c r="F1279" s="2"/>
      <c r="G1279" s="2"/>
      <c r="H1279" s="2"/>
      <c r="I1279" s="2"/>
      <c r="J1279" s="2"/>
      <c r="K1279" s="2"/>
    </row>
    <row r="1280" spans="4:11" x14ac:dyDescent="0.2">
      <c r="D1280" s="2"/>
      <c r="E1280" s="2"/>
      <c r="F1280" s="2"/>
      <c r="G1280" s="2"/>
      <c r="H1280" s="2"/>
      <c r="I1280" s="2"/>
      <c r="J1280" s="2"/>
      <c r="K1280" s="2"/>
    </row>
    <row r="1281" spans="4:11" x14ac:dyDescent="0.2">
      <c r="D1281" s="2"/>
      <c r="E1281" s="2"/>
      <c r="F1281" s="2"/>
      <c r="G1281" s="2"/>
      <c r="H1281" s="2"/>
      <c r="I1281" s="2"/>
      <c r="J1281" s="2"/>
      <c r="K1281" s="2"/>
    </row>
    <row r="1282" spans="4:11" x14ac:dyDescent="0.2">
      <c r="D1282" s="2"/>
      <c r="E1282" s="2"/>
      <c r="F1282" s="2"/>
      <c r="G1282" s="2"/>
      <c r="H1282" s="2"/>
      <c r="I1282" s="2"/>
      <c r="J1282" s="2"/>
      <c r="K1282" s="2"/>
    </row>
    <row r="1283" spans="4:11" x14ac:dyDescent="0.2">
      <c r="D1283" s="2"/>
      <c r="E1283" s="2"/>
      <c r="F1283" s="2"/>
      <c r="G1283" s="2"/>
      <c r="H1283" s="2"/>
      <c r="I1283" s="2"/>
      <c r="J1283" s="2"/>
      <c r="K1283" s="2"/>
    </row>
    <row r="1284" spans="4:11" x14ac:dyDescent="0.2">
      <c r="D1284" s="2"/>
      <c r="E1284" s="2"/>
      <c r="F1284" s="2"/>
      <c r="G1284" s="2"/>
      <c r="H1284" s="2"/>
      <c r="I1284" s="2"/>
      <c r="J1284" s="2"/>
      <c r="K1284" s="2"/>
    </row>
    <row r="1285" spans="4:11" x14ac:dyDescent="0.2">
      <c r="D1285" s="2"/>
      <c r="E1285" s="2"/>
      <c r="F1285" s="2"/>
      <c r="G1285" s="2"/>
      <c r="H1285" s="2"/>
      <c r="I1285" s="2"/>
      <c r="J1285" s="2"/>
      <c r="K1285" s="2"/>
    </row>
    <row r="1286" spans="4:11" x14ac:dyDescent="0.2">
      <c r="D1286" s="2"/>
      <c r="E1286" s="2"/>
      <c r="F1286" s="2"/>
      <c r="G1286" s="2"/>
      <c r="H1286" s="2"/>
      <c r="I1286" s="2"/>
      <c r="J1286" s="2"/>
      <c r="K1286" s="2"/>
    </row>
    <row r="1287" spans="4:11" x14ac:dyDescent="0.2">
      <c r="D1287" s="2"/>
      <c r="E1287" s="2"/>
      <c r="F1287" s="2"/>
      <c r="G1287" s="2"/>
      <c r="H1287" s="2"/>
      <c r="I1287" s="2"/>
      <c r="J1287" s="2"/>
      <c r="K1287" s="2"/>
    </row>
    <row r="1288" spans="4:11" x14ac:dyDescent="0.2">
      <c r="D1288" s="2"/>
      <c r="E1288" s="2"/>
      <c r="F1288" s="2"/>
      <c r="G1288" s="2"/>
      <c r="H1288" s="2"/>
      <c r="I1288" s="2"/>
      <c r="J1288" s="2"/>
      <c r="K1288" s="2"/>
    </row>
    <row r="1289" spans="4:11" x14ac:dyDescent="0.2">
      <c r="D1289" s="2"/>
      <c r="E1289" s="2"/>
      <c r="F1289" s="2"/>
      <c r="G1289" s="2"/>
      <c r="H1289" s="2"/>
      <c r="I1289" s="2"/>
      <c r="J1289" s="2"/>
      <c r="K1289" s="2"/>
    </row>
    <row r="1290" spans="4:11" x14ac:dyDescent="0.2">
      <c r="D1290" s="2"/>
      <c r="E1290" s="2"/>
      <c r="F1290" s="2"/>
      <c r="G1290" s="2"/>
      <c r="H1290" s="2"/>
      <c r="I1290" s="2"/>
      <c r="J1290" s="2"/>
      <c r="K1290" s="2"/>
    </row>
    <row r="1291" spans="4:11" x14ac:dyDescent="0.2">
      <c r="D1291" s="2"/>
      <c r="E1291" s="2"/>
      <c r="F1291" s="2"/>
      <c r="G1291" s="2"/>
      <c r="H1291" s="2"/>
      <c r="I1291" s="2"/>
      <c r="J1291" s="2"/>
      <c r="K1291" s="2"/>
    </row>
    <row r="1292" spans="4:11" x14ac:dyDescent="0.2">
      <c r="D1292" s="2"/>
      <c r="E1292" s="2"/>
      <c r="F1292" s="2"/>
      <c r="G1292" s="2"/>
      <c r="H1292" s="2"/>
      <c r="I1292" s="2"/>
      <c r="J1292" s="2"/>
      <c r="K1292" s="2"/>
    </row>
    <row r="1293" spans="4:11" x14ac:dyDescent="0.2">
      <c r="D1293" s="2"/>
      <c r="E1293" s="2"/>
      <c r="F1293" s="2"/>
      <c r="G1293" s="2"/>
      <c r="H1293" s="2"/>
      <c r="I1293" s="2"/>
      <c r="J1293" s="2"/>
      <c r="K1293" s="2"/>
    </row>
    <row r="1294" spans="4:11" x14ac:dyDescent="0.2">
      <c r="D1294" s="2"/>
      <c r="E1294" s="2"/>
      <c r="F1294" s="2"/>
      <c r="G1294" s="2"/>
      <c r="H1294" s="2"/>
      <c r="I1294" s="2"/>
      <c r="J1294" s="2"/>
      <c r="K1294" s="2"/>
    </row>
    <row r="1295" spans="4:11" x14ac:dyDescent="0.2">
      <c r="D1295" s="2"/>
      <c r="E1295" s="2"/>
      <c r="F1295" s="2"/>
      <c r="G1295" s="2"/>
      <c r="H1295" s="2"/>
      <c r="I1295" s="2"/>
      <c r="J1295" s="2"/>
      <c r="K1295" s="2"/>
    </row>
    <row r="1296" spans="4:11" x14ac:dyDescent="0.2">
      <c r="D1296" s="2"/>
      <c r="E1296" s="2"/>
      <c r="F1296" s="2"/>
      <c r="G1296" s="2"/>
      <c r="H1296" s="2"/>
      <c r="I1296" s="2"/>
      <c r="J1296" s="2"/>
      <c r="K1296" s="2"/>
    </row>
    <row r="1297" spans="4:11" x14ac:dyDescent="0.2">
      <c r="D1297" s="2"/>
      <c r="E1297" s="2"/>
      <c r="F1297" s="2"/>
      <c r="G1297" s="2"/>
      <c r="H1297" s="2"/>
      <c r="I1297" s="2"/>
      <c r="J1297" s="2"/>
      <c r="K1297" s="2"/>
    </row>
    <row r="1298" spans="4:11" x14ac:dyDescent="0.2">
      <c r="D1298" s="2"/>
      <c r="E1298" s="2"/>
      <c r="F1298" s="2"/>
      <c r="G1298" s="2"/>
      <c r="H1298" s="2"/>
      <c r="I1298" s="2"/>
      <c r="J1298" s="2"/>
      <c r="K1298" s="2"/>
    </row>
    <row r="1299" spans="4:11" x14ac:dyDescent="0.2">
      <c r="D1299" s="2"/>
      <c r="E1299" s="2"/>
      <c r="F1299" s="2"/>
      <c r="G1299" s="2"/>
      <c r="H1299" s="2"/>
      <c r="I1299" s="2"/>
      <c r="J1299" s="2"/>
      <c r="K1299" s="2"/>
    </row>
    <row r="1300" spans="4:11" x14ac:dyDescent="0.2">
      <c r="D1300" s="2"/>
      <c r="E1300" s="2"/>
      <c r="F1300" s="2"/>
      <c r="G1300" s="2"/>
      <c r="H1300" s="2"/>
      <c r="I1300" s="2"/>
      <c r="J1300" s="2"/>
      <c r="K1300" s="2"/>
    </row>
    <row r="1301" spans="4:11" x14ac:dyDescent="0.2">
      <c r="D1301" s="2"/>
      <c r="E1301" s="2"/>
      <c r="F1301" s="2"/>
      <c r="G1301" s="2"/>
      <c r="H1301" s="2"/>
      <c r="I1301" s="2"/>
      <c r="J1301" s="2"/>
      <c r="K1301" s="2"/>
    </row>
    <row r="1302" spans="4:11" x14ac:dyDescent="0.2">
      <c r="D1302" s="2"/>
      <c r="E1302" s="2"/>
      <c r="F1302" s="2"/>
      <c r="G1302" s="2"/>
      <c r="H1302" s="2"/>
      <c r="I1302" s="2"/>
      <c r="J1302" s="2"/>
      <c r="K1302" s="2"/>
    </row>
    <row r="1303" spans="4:11" x14ac:dyDescent="0.2">
      <c r="D1303" s="2"/>
      <c r="E1303" s="2"/>
      <c r="F1303" s="2"/>
      <c r="G1303" s="2"/>
      <c r="H1303" s="2"/>
      <c r="I1303" s="2"/>
      <c r="J1303" s="2"/>
      <c r="K1303" s="2"/>
    </row>
    <row r="1304" spans="4:11" x14ac:dyDescent="0.2">
      <c r="D1304" s="2"/>
      <c r="E1304" s="2"/>
      <c r="F1304" s="2"/>
      <c r="G1304" s="2"/>
      <c r="H1304" s="2"/>
      <c r="I1304" s="2"/>
      <c r="J1304" s="2"/>
      <c r="K1304" s="2"/>
    </row>
    <row r="1305" spans="4:11" x14ac:dyDescent="0.2">
      <c r="D1305" s="2"/>
      <c r="E1305" s="2"/>
      <c r="F1305" s="2"/>
      <c r="G1305" s="2"/>
      <c r="H1305" s="2"/>
      <c r="I1305" s="2"/>
      <c r="J1305" s="2"/>
      <c r="K1305" s="2"/>
    </row>
    <row r="1306" spans="4:11" x14ac:dyDescent="0.2">
      <c r="D1306" s="2"/>
      <c r="E1306" s="2"/>
      <c r="F1306" s="2"/>
      <c r="G1306" s="2"/>
      <c r="H1306" s="2"/>
      <c r="I1306" s="2"/>
      <c r="J1306" s="2"/>
      <c r="K1306" s="2"/>
    </row>
    <row r="1307" spans="4:11" x14ac:dyDescent="0.2">
      <c r="D1307" s="2"/>
      <c r="E1307" s="2"/>
      <c r="F1307" s="2"/>
      <c r="G1307" s="2"/>
      <c r="H1307" s="2"/>
      <c r="I1307" s="2"/>
      <c r="J1307" s="2"/>
      <c r="K1307" s="2"/>
    </row>
    <row r="1308" spans="4:11" x14ac:dyDescent="0.2">
      <c r="D1308" s="2"/>
      <c r="E1308" s="2"/>
      <c r="F1308" s="2"/>
      <c r="G1308" s="2"/>
      <c r="H1308" s="2"/>
      <c r="I1308" s="2"/>
      <c r="J1308" s="2"/>
      <c r="K1308" s="2"/>
    </row>
    <row r="1309" spans="4:11" x14ac:dyDescent="0.2">
      <c r="D1309" s="2"/>
      <c r="E1309" s="2"/>
      <c r="F1309" s="2"/>
      <c r="G1309" s="2"/>
      <c r="H1309" s="2"/>
      <c r="I1309" s="2"/>
      <c r="J1309" s="2"/>
      <c r="K1309" s="2"/>
    </row>
    <row r="1310" spans="4:11" x14ac:dyDescent="0.2">
      <c r="D1310" s="2"/>
      <c r="E1310" s="2"/>
      <c r="F1310" s="2"/>
      <c r="G1310" s="2"/>
      <c r="H1310" s="2"/>
      <c r="I1310" s="2"/>
      <c r="J1310" s="2"/>
      <c r="K1310" s="2"/>
    </row>
    <row r="1311" spans="4:11" x14ac:dyDescent="0.2">
      <c r="D1311" s="2"/>
      <c r="E1311" s="2"/>
      <c r="F1311" s="2"/>
      <c r="G1311" s="2"/>
      <c r="H1311" s="2"/>
      <c r="I1311" s="2"/>
      <c r="J1311" s="2"/>
      <c r="K1311" s="2"/>
    </row>
    <row r="1312" spans="4:11" x14ac:dyDescent="0.2">
      <c r="D1312" s="2"/>
      <c r="E1312" s="2"/>
      <c r="F1312" s="2"/>
      <c r="G1312" s="2"/>
      <c r="H1312" s="2"/>
      <c r="I1312" s="2"/>
      <c r="J1312" s="2"/>
      <c r="K1312" s="2"/>
    </row>
    <row r="1313" spans="4:11" x14ac:dyDescent="0.2">
      <c r="D1313" s="2"/>
      <c r="E1313" s="2"/>
      <c r="F1313" s="2"/>
      <c r="G1313" s="2"/>
      <c r="H1313" s="2"/>
      <c r="I1313" s="2"/>
      <c r="J1313" s="2"/>
      <c r="K1313" s="2"/>
    </row>
    <row r="1314" spans="4:11" x14ac:dyDescent="0.2">
      <c r="D1314" s="2"/>
      <c r="E1314" s="2"/>
      <c r="F1314" s="2"/>
      <c r="G1314" s="2"/>
      <c r="H1314" s="2"/>
      <c r="I1314" s="2"/>
      <c r="J1314" s="2"/>
      <c r="K1314" s="2"/>
    </row>
    <row r="1315" spans="4:11" x14ac:dyDescent="0.2">
      <c r="D1315" s="2"/>
      <c r="E1315" s="2"/>
      <c r="F1315" s="2"/>
      <c r="G1315" s="2"/>
      <c r="H1315" s="2"/>
      <c r="I1315" s="2"/>
      <c r="J1315" s="2"/>
      <c r="K1315" s="2"/>
    </row>
    <row r="1316" spans="4:11" x14ac:dyDescent="0.2">
      <c r="D1316" s="2"/>
      <c r="E1316" s="2"/>
      <c r="F1316" s="2"/>
      <c r="G1316" s="2"/>
      <c r="H1316" s="2"/>
      <c r="I1316" s="2"/>
      <c r="J1316" s="2"/>
      <c r="K1316" s="2"/>
    </row>
    <row r="1317" spans="4:11" x14ac:dyDescent="0.2">
      <c r="D1317" s="2"/>
      <c r="E1317" s="2"/>
      <c r="F1317" s="2"/>
      <c r="G1317" s="2"/>
      <c r="H1317" s="2"/>
      <c r="I1317" s="2"/>
      <c r="J1317" s="2"/>
      <c r="K1317" s="2"/>
    </row>
    <row r="1318" spans="4:11" x14ac:dyDescent="0.2">
      <c r="D1318" s="2"/>
      <c r="E1318" s="2"/>
      <c r="F1318" s="2"/>
      <c r="G1318" s="2"/>
      <c r="H1318" s="2"/>
      <c r="I1318" s="2"/>
      <c r="J1318" s="2"/>
      <c r="K1318" s="2"/>
    </row>
    <row r="1319" spans="4:11" x14ac:dyDescent="0.2">
      <c r="D1319" s="2"/>
      <c r="E1319" s="2"/>
      <c r="F1319" s="2"/>
      <c r="G1319" s="2"/>
      <c r="H1319" s="2"/>
      <c r="I1319" s="2"/>
      <c r="J1319" s="2"/>
      <c r="K1319" s="2"/>
    </row>
    <row r="1320" spans="4:11" x14ac:dyDescent="0.2">
      <c r="D1320" s="2"/>
      <c r="E1320" s="2"/>
      <c r="F1320" s="2"/>
      <c r="G1320" s="2"/>
      <c r="H1320" s="2"/>
      <c r="I1320" s="2"/>
      <c r="J1320" s="2"/>
      <c r="K1320" s="2"/>
    </row>
    <row r="1321" spans="4:11" x14ac:dyDescent="0.2">
      <c r="D1321" s="2"/>
      <c r="E1321" s="2"/>
      <c r="F1321" s="2"/>
      <c r="G1321" s="2"/>
      <c r="H1321" s="2"/>
      <c r="I1321" s="2"/>
      <c r="J1321" s="2"/>
      <c r="K1321" s="2"/>
    </row>
    <row r="1322" spans="4:11" x14ac:dyDescent="0.2">
      <c r="D1322" s="2"/>
      <c r="E1322" s="2"/>
      <c r="F1322" s="2"/>
      <c r="G1322" s="2"/>
      <c r="H1322" s="2"/>
      <c r="I1322" s="2"/>
      <c r="J1322" s="2"/>
      <c r="K1322" s="2"/>
    </row>
    <row r="1323" spans="4:11" x14ac:dyDescent="0.2">
      <c r="D1323" s="2"/>
      <c r="E1323" s="2"/>
      <c r="F1323" s="2"/>
      <c r="G1323" s="2"/>
      <c r="H1323" s="2"/>
      <c r="I1323" s="2"/>
      <c r="J1323" s="2"/>
      <c r="K1323" s="2"/>
    </row>
    <row r="1324" spans="4:11" x14ac:dyDescent="0.2">
      <c r="D1324" s="2"/>
      <c r="E1324" s="2"/>
      <c r="F1324" s="2"/>
      <c r="G1324" s="2"/>
      <c r="H1324" s="2"/>
      <c r="I1324" s="2"/>
      <c r="J1324" s="2"/>
      <c r="K1324" s="2"/>
    </row>
    <row r="1325" spans="4:11" x14ac:dyDescent="0.2">
      <c r="D1325" s="2"/>
      <c r="E1325" s="2"/>
      <c r="F1325" s="2"/>
      <c r="G1325" s="2"/>
      <c r="H1325" s="2"/>
      <c r="I1325" s="2"/>
      <c r="J1325" s="2"/>
      <c r="K1325" s="2"/>
    </row>
    <row r="1326" spans="4:11" x14ac:dyDescent="0.2">
      <c r="D1326" s="2"/>
      <c r="E1326" s="2"/>
      <c r="F1326" s="2"/>
      <c r="G1326" s="2"/>
      <c r="H1326" s="2"/>
      <c r="I1326" s="2"/>
      <c r="J1326" s="2"/>
      <c r="K1326" s="2"/>
    </row>
    <row r="1327" spans="4:11" x14ac:dyDescent="0.2">
      <c r="D1327" s="2"/>
      <c r="E1327" s="2"/>
      <c r="F1327" s="2"/>
      <c r="G1327" s="2"/>
      <c r="H1327" s="2"/>
      <c r="I1327" s="2"/>
      <c r="J1327" s="2"/>
      <c r="K1327" s="2"/>
    </row>
    <row r="1328" spans="4:11" x14ac:dyDescent="0.2">
      <c r="D1328" s="2"/>
      <c r="E1328" s="2"/>
      <c r="F1328" s="2"/>
      <c r="G1328" s="2"/>
      <c r="H1328" s="2"/>
      <c r="I1328" s="2"/>
      <c r="J1328" s="2"/>
      <c r="K1328" s="2"/>
    </row>
    <row r="1329" spans="4:11" x14ac:dyDescent="0.2">
      <c r="D1329" s="2"/>
      <c r="E1329" s="2"/>
      <c r="F1329" s="2"/>
      <c r="G1329" s="2"/>
      <c r="H1329" s="2"/>
      <c r="I1329" s="2"/>
      <c r="J1329" s="2"/>
      <c r="K1329" s="2"/>
    </row>
    <row r="1330" spans="4:11" x14ac:dyDescent="0.2">
      <c r="D1330" s="2"/>
      <c r="E1330" s="2"/>
      <c r="F1330" s="2"/>
      <c r="G1330" s="2"/>
      <c r="H1330" s="2"/>
      <c r="I1330" s="2"/>
      <c r="J1330" s="2"/>
      <c r="K1330" s="2"/>
    </row>
    <row r="1331" spans="4:11" x14ac:dyDescent="0.2">
      <c r="D1331" s="2"/>
      <c r="E1331" s="2"/>
      <c r="F1331" s="2"/>
      <c r="G1331" s="2"/>
      <c r="H1331" s="2"/>
      <c r="I1331" s="2"/>
      <c r="J1331" s="2"/>
      <c r="K1331" s="2"/>
    </row>
    <row r="1332" spans="4:11" x14ac:dyDescent="0.2">
      <c r="D1332" s="2"/>
      <c r="E1332" s="2"/>
      <c r="F1332" s="2"/>
      <c r="G1332" s="2"/>
      <c r="H1332" s="2"/>
      <c r="I1332" s="2"/>
      <c r="J1332" s="2"/>
      <c r="K1332" s="2"/>
    </row>
    <row r="1333" spans="4:11" x14ac:dyDescent="0.2">
      <c r="D1333" s="2"/>
      <c r="E1333" s="2"/>
      <c r="F1333" s="2"/>
      <c r="G1333" s="2"/>
      <c r="H1333" s="2"/>
      <c r="I1333" s="2"/>
      <c r="J1333" s="2"/>
      <c r="K1333" s="2"/>
    </row>
    <row r="1334" spans="4:11" x14ac:dyDescent="0.2">
      <c r="D1334" s="2"/>
      <c r="E1334" s="2"/>
      <c r="F1334" s="2"/>
      <c r="G1334" s="2"/>
      <c r="H1334" s="2"/>
      <c r="I1334" s="2"/>
      <c r="J1334" s="2"/>
      <c r="K1334" s="2"/>
    </row>
    <row r="1335" spans="4:11" x14ac:dyDescent="0.2">
      <c r="D1335" s="2"/>
      <c r="E1335" s="2"/>
      <c r="F1335" s="2"/>
      <c r="G1335" s="2"/>
      <c r="H1335" s="2"/>
      <c r="I1335" s="2"/>
      <c r="J1335" s="2"/>
      <c r="K1335" s="2"/>
    </row>
    <row r="1336" spans="4:11" x14ac:dyDescent="0.2">
      <c r="D1336" s="2"/>
      <c r="E1336" s="2"/>
      <c r="F1336" s="2"/>
      <c r="G1336" s="2"/>
      <c r="H1336" s="2"/>
      <c r="I1336" s="2"/>
      <c r="J1336" s="2"/>
      <c r="K1336" s="2"/>
    </row>
    <row r="1337" spans="4:11" x14ac:dyDescent="0.2">
      <c r="D1337" s="2"/>
      <c r="E1337" s="2"/>
      <c r="F1337" s="2"/>
      <c r="G1337" s="2"/>
      <c r="H1337" s="2"/>
      <c r="I1337" s="2"/>
      <c r="J1337" s="2"/>
      <c r="K1337" s="2"/>
    </row>
    <row r="1338" spans="4:11" x14ac:dyDescent="0.2">
      <c r="D1338" s="2"/>
      <c r="E1338" s="2"/>
      <c r="F1338" s="2"/>
      <c r="G1338" s="2"/>
      <c r="H1338" s="2"/>
      <c r="I1338" s="2"/>
      <c r="J1338" s="2"/>
      <c r="K1338" s="2"/>
    </row>
    <row r="1339" spans="4:11" x14ac:dyDescent="0.2">
      <c r="D1339" s="2"/>
      <c r="E1339" s="2"/>
      <c r="F1339" s="2"/>
      <c r="G1339" s="2"/>
      <c r="H1339" s="2"/>
      <c r="I1339" s="2"/>
      <c r="J1339" s="2"/>
      <c r="K1339" s="2"/>
    </row>
    <row r="1340" spans="4:11" x14ac:dyDescent="0.2">
      <c r="D1340" s="2"/>
      <c r="E1340" s="2"/>
      <c r="F1340" s="2"/>
      <c r="G1340" s="2"/>
      <c r="H1340" s="2"/>
      <c r="I1340" s="2"/>
      <c r="J1340" s="2"/>
      <c r="K1340" s="2"/>
    </row>
    <row r="1341" spans="4:11" x14ac:dyDescent="0.2">
      <c r="D1341" s="2"/>
      <c r="E1341" s="2"/>
      <c r="F1341" s="2"/>
      <c r="G1341" s="2"/>
      <c r="H1341" s="2"/>
      <c r="I1341" s="2"/>
      <c r="J1341" s="2"/>
      <c r="K1341" s="2"/>
    </row>
    <row r="1342" spans="4:11" x14ac:dyDescent="0.2">
      <c r="D1342" s="2"/>
      <c r="E1342" s="2"/>
      <c r="F1342" s="2"/>
      <c r="G1342" s="2"/>
      <c r="H1342" s="2"/>
      <c r="I1342" s="2"/>
      <c r="J1342" s="2"/>
      <c r="K1342" s="2"/>
    </row>
    <row r="1343" spans="4:11" x14ac:dyDescent="0.2">
      <c r="D1343" s="2"/>
      <c r="E1343" s="2"/>
      <c r="F1343" s="2"/>
      <c r="G1343" s="2"/>
      <c r="H1343" s="2"/>
      <c r="I1343" s="2"/>
      <c r="J1343" s="2"/>
      <c r="K1343" s="2"/>
    </row>
    <row r="1344" spans="4:11" x14ac:dyDescent="0.2">
      <c r="D1344" s="2"/>
      <c r="E1344" s="2"/>
      <c r="F1344" s="2"/>
      <c r="G1344" s="2"/>
      <c r="H1344" s="2"/>
      <c r="I1344" s="2"/>
      <c r="J1344" s="2"/>
      <c r="K1344" s="2"/>
    </row>
    <row r="1345" spans="4:11" x14ac:dyDescent="0.2">
      <c r="D1345" s="2"/>
      <c r="E1345" s="2"/>
      <c r="F1345" s="2"/>
      <c r="G1345" s="2"/>
      <c r="H1345" s="2"/>
      <c r="I1345" s="2"/>
      <c r="J1345" s="2"/>
      <c r="K1345" s="2"/>
    </row>
    <row r="1346" spans="4:11" x14ac:dyDescent="0.2">
      <c r="D1346" s="2"/>
      <c r="E1346" s="2"/>
      <c r="F1346" s="2"/>
      <c r="G1346" s="2"/>
      <c r="H1346" s="2"/>
      <c r="I1346" s="2"/>
      <c r="J1346" s="2"/>
      <c r="K1346" s="2"/>
    </row>
    <row r="1347" spans="4:11" x14ac:dyDescent="0.2">
      <c r="D1347" s="2"/>
      <c r="E1347" s="2"/>
      <c r="F1347" s="2"/>
      <c r="G1347" s="2"/>
      <c r="H1347" s="2"/>
      <c r="I1347" s="2"/>
      <c r="J1347" s="2"/>
      <c r="K1347" s="2"/>
    </row>
    <row r="1348" spans="4:11" x14ac:dyDescent="0.2">
      <c r="D1348" s="2"/>
      <c r="E1348" s="2"/>
      <c r="F1348" s="2"/>
      <c r="G1348" s="2"/>
      <c r="H1348" s="2"/>
      <c r="I1348" s="2"/>
      <c r="J1348" s="2"/>
      <c r="K1348" s="2"/>
    </row>
    <row r="1349" spans="4:11" x14ac:dyDescent="0.2">
      <c r="D1349" s="2"/>
      <c r="E1349" s="2"/>
      <c r="F1349" s="2"/>
      <c r="G1349" s="2"/>
      <c r="H1349" s="2"/>
      <c r="I1349" s="2"/>
      <c r="J1349" s="2"/>
      <c r="K1349" s="2"/>
    </row>
    <row r="1350" spans="4:11" x14ac:dyDescent="0.2">
      <c r="D1350" s="2"/>
      <c r="E1350" s="2"/>
      <c r="F1350" s="2"/>
      <c r="G1350" s="2"/>
      <c r="H1350" s="2"/>
      <c r="I1350" s="2"/>
      <c r="J1350" s="2"/>
      <c r="K1350" s="2"/>
    </row>
    <row r="1351" spans="4:11" x14ac:dyDescent="0.2">
      <c r="D1351" s="2"/>
      <c r="E1351" s="2"/>
      <c r="F1351" s="2"/>
      <c r="G1351" s="2"/>
      <c r="H1351" s="2"/>
      <c r="I1351" s="2"/>
      <c r="J1351" s="2"/>
      <c r="K1351" s="2"/>
    </row>
    <row r="1352" spans="4:11" x14ac:dyDescent="0.2">
      <c r="D1352" s="2"/>
      <c r="E1352" s="2"/>
      <c r="F1352" s="2"/>
      <c r="G1352" s="2"/>
      <c r="H1352" s="2"/>
      <c r="I1352" s="2"/>
      <c r="J1352" s="2"/>
      <c r="K1352" s="2"/>
    </row>
    <row r="1353" spans="4:11" x14ac:dyDescent="0.2">
      <c r="D1353" s="2"/>
      <c r="E1353" s="2"/>
      <c r="F1353" s="2"/>
      <c r="G1353" s="2"/>
      <c r="H1353" s="2"/>
      <c r="I1353" s="2"/>
      <c r="J1353" s="2"/>
      <c r="K1353" s="2"/>
    </row>
    <row r="1354" spans="4:11" x14ac:dyDescent="0.2">
      <c r="D1354" s="2"/>
      <c r="E1354" s="2"/>
      <c r="F1354" s="2"/>
      <c r="G1354" s="2"/>
      <c r="H1354" s="2"/>
      <c r="I1354" s="2"/>
      <c r="J1354" s="2"/>
      <c r="K1354" s="2"/>
    </row>
    <row r="1355" spans="4:11" x14ac:dyDescent="0.2">
      <c r="D1355" s="2"/>
      <c r="E1355" s="2"/>
      <c r="F1355" s="2"/>
      <c r="G1355" s="2"/>
      <c r="H1355" s="2"/>
      <c r="I1355" s="2"/>
      <c r="J1355" s="2"/>
      <c r="K1355" s="2"/>
    </row>
    <row r="1356" spans="4:11" x14ac:dyDescent="0.2">
      <c r="D1356" s="2"/>
      <c r="E1356" s="2"/>
      <c r="F1356" s="2"/>
      <c r="G1356" s="2"/>
      <c r="H1356" s="2"/>
      <c r="I1356" s="2"/>
      <c r="J1356" s="2"/>
      <c r="K1356" s="2"/>
    </row>
    <row r="1357" spans="4:11" x14ac:dyDescent="0.2">
      <c r="D1357" s="2"/>
      <c r="E1357" s="2"/>
      <c r="F1357" s="2"/>
      <c r="G1357" s="2"/>
      <c r="H1357" s="2"/>
      <c r="I1357" s="2"/>
      <c r="J1357" s="2"/>
      <c r="K1357" s="2"/>
    </row>
    <row r="1358" spans="4:11" x14ac:dyDescent="0.2">
      <c r="D1358" s="2"/>
      <c r="E1358" s="2"/>
      <c r="F1358" s="2"/>
      <c r="G1358" s="2"/>
      <c r="H1358" s="2"/>
      <c r="I1358" s="2"/>
      <c r="J1358" s="2"/>
      <c r="K1358" s="2"/>
    </row>
    <row r="1359" spans="4:11" x14ac:dyDescent="0.2">
      <c r="D1359" s="2"/>
      <c r="E1359" s="2"/>
      <c r="F1359" s="2"/>
      <c r="G1359" s="2"/>
      <c r="H1359" s="2"/>
      <c r="I1359" s="2"/>
      <c r="J1359" s="2"/>
      <c r="K1359" s="2"/>
    </row>
    <row r="1360" spans="4:11" x14ac:dyDescent="0.2">
      <c r="D1360" s="2"/>
      <c r="E1360" s="2"/>
      <c r="F1360" s="2"/>
      <c r="G1360" s="2"/>
      <c r="H1360" s="2"/>
      <c r="I1360" s="2"/>
      <c r="J1360" s="2"/>
      <c r="K1360" s="2"/>
    </row>
    <row r="1361" spans="4:11" x14ac:dyDescent="0.2">
      <c r="D1361" s="2"/>
      <c r="E1361" s="2"/>
      <c r="F1361" s="2"/>
      <c r="G1361" s="2"/>
      <c r="H1361" s="2"/>
      <c r="I1361" s="2"/>
      <c r="J1361" s="2"/>
      <c r="K1361" s="2"/>
    </row>
    <row r="1362" spans="4:11" x14ac:dyDescent="0.2">
      <c r="D1362" s="2"/>
      <c r="E1362" s="2"/>
      <c r="F1362" s="2"/>
      <c r="G1362" s="2"/>
      <c r="H1362" s="2"/>
      <c r="I1362" s="2"/>
      <c r="J1362" s="2"/>
      <c r="K1362" s="2"/>
    </row>
    <row r="1363" spans="4:11" x14ac:dyDescent="0.2">
      <c r="D1363" s="2"/>
      <c r="E1363" s="2"/>
      <c r="F1363" s="2"/>
      <c r="G1363" s="2"/>
      <c r="H1363" s="2"/>
      <c r="I1363" s="2"/>
      <c r="J1363" s="2"/>
      <c r="K1363" s="2"/>
    </row>
    <row r="1364" spans="4:11" x14ac:dyDescent="0.2">
      <c r="D1364" s="2"/>
      <c r="E1364" s="2"/>
      <c r="F1364" s="2"/>
      <c r="G1364" s="2"/>
      <c r="H1364" s="2"/>
      <c r="I1364" s="2"/>
      <c r="J1364" s="2"/>
      <c r="K1364" s="2"/>
    </row>
    <row r="1365" spans="4:11" x14ac:dyDescent="0.2">
      <c r="D1365" s="2"/>
      <c r="E1365" s="2"/>
      <c r="F1365" s="2"/>
      <c r="G1365" s="2"/>
      <c r="H1365" s="2"/>
      <c r="I1365" s="2"/>
      <c r="J1365" s="2"/>
      <c r="K1365" s="2"/>
    </row>
    <row r="1366" spans="4:11" x14ac:dyDescent="0.2">
      <c r="D1366" s="2"/>
      <c r="E1366" s="2"/>
      <c r="F1366" s="2"/>
      <c r="G1366" s="2"/>
      <c r="H1366" s="2"/>
      <c r="I1366" s="2"/>
      <c r="J1366" s="2"/>
      <c r="K1366" s="2"/>
    </row>
    <row r="1367" spans="4:11" x14ac:dyDescent="0.2">
      <c r="D1367" s="2"/>
      <c r="E1367" s="2"/>
      <c r="F1367" s="2"/>
      <c r="G1367" s="2"/>
      <c r="H1367" s="2"/>
      <c r="I1367" s="2"/>
      <c r="J1367" s="2"/>
      <c r="K1367" s="2"/>
    </row>
    <row r="1368" spans="4:11" x14ac:dyDescent="0.2">
      <c r="D1368" s="2"/>
      <c r="E1368" s="2"/>
      <c r="F1368" s="2"/>
      <c r="G1368" s="2"/>
      <c r="H1368" s="2"/>
      <c r="I1368" s="2"/>
      <c r="J1368" s="2"/>
      <c r="K1368" s="2"/>
    </row>
    <row r="1369" spans="4:11" x14ac:dyDescent="0.2">
      <c r="D1369" s="2"/>
      <c r="E1369" s="2"/>
      <c r="F1369" s="2"/>
      <c r="G1369" s="2"/>
      <c r="H1369" s="2"/>
      <c r="I1369" s="2"/>
      <c r="J1369" s="2"/>
      <c r="K1369" s="2"/>
    </row>
    <row r="1370" spans="4:11" x14ac:dyDescent="0.2">
      <c r="D1370" s="2"/>
      <c r="E1370" s="2"/>
      <c r="F1370" s="2"/>
      <c r="G1370" s="2"/>
      <c r="H1370" s="2"/>
      <c r="I1370" s="2"/>
      <c r="J1370" s="2"/>
      <c r="K1370" s="2"/>
    </row>
    <row r="1371" spans="4:11" x14ac:dyDescent="0.2">
      <c r="D1371" s="2"/>
      <c r="E1371" s="2"/>
      <c r="F1371" s="2"/>
      <c r="G1371" s="2"/>
      <c r="H1371" s="2"/>
      <c r="I1371" s="2"/>
      <c r="J1371" s="2"/>
      <c r="K1371" s="2"/>
    </row>
    <row r="1372" spans="4:11" x14ac:dyDescent="0.2">
      <c r="D1372" s="2"/>
      <c r="E1372" s="2"/>
      <c r="F1372" s="2"/>
      <c r="G1372" s="2"/>
      <c r="H1372" s="2"/>
      <c r="I1372" s="2"/>
      <c r="J1372" s="2"/>
      <c r="K1372" s="2"/>
    </row>
    <row r="1373" spans="4:11" x14ac:dyDescent="0.2">
      <c r="D1373" s="2"/>
      <c r="E1373" s="2"/>
      <c r="F1373" s="2"/>
      <c r="G1373" s="2"/>
      <c r="H1373" s="2"/>
      <c r="I1373" s="2"/>
      <c r="J1373" s="2"/>
      <c r="K1373" s="2"/>
    </row>
    <row r="1374" spans="4:11" x14ac:dyDescent="0.2">
      <c r="D1374" s="2"/>
      <c r="E1374" s="2"/>
      <c r="F1374" s="2"/>
      <c r="G1374" s="2"/>
      <c r="H1374" s="2"/>
      <c r="I1374" s="2"/>
      <c r="J1374" s="2"/>
      <c r="K1374" s="2"/>
    </row>
    <row r="1375" spans="4:11" x14ac:dyDescent="0.2">
      <c r="D1375" s="2"/>
      <c r="E1375" s="2"/>
      <c r="F1375" s="2"/>
      <c r="G1375" s="2"/>
      <c r="H1375" s="2"/>
      <c r="I1375" s="2"/>
      <c r="J1375" s="2"/>
      <c r="K1375" s="2"/>
    </row>
    <row r="1376" spans="4:11" x14ac:dyDescent="0.2">
      <c r="D1376" s="2"/>
      <c r="E1376" s="2"/>
      <c r="F1376" s="2"/>
      <c r="G1376" s="2"/>
      <c r="H1376" s="2"/>
      <c r="I1376" s="2"/>
      <c r="J1376" s="2"/>
      <c r="K1376" s="2"/>
    </row>
    <row r="1377" spans="4:11" x14ac:dyDescent="0.2">
      <c r="D1377" s="2"/>
      <c r="E1377" s="2"/>
      <c r="F1377" s="2"/>
      <c r="G1377" s="2"/>
      <c r="H1377" s="2"/>
      <c r="I1377" s="2"/>
      <c r="J1377" s="2"/>
      <c r="K1377" s="2"/>
    </row>
    <row r="1378" spans="4:11" x14ac:dyDescent="0.2">
      <c r="D1378" s="2"/>
      <c r="E1378" s="2"/>
      <c r="F1378" s="2"/>
      <c r="G1378" s="2"/>
      <c r="H1378" s="2"/>
      <c r="I1378" s="2"/>
      <c r="J1378" s="2"/>
      <c r="K1378" s="2"/>
    </row>
    <row r="1379" spans="4:11" x14ac:dyDescent="0.2">
      <c r="D1379" s="2"/>
      <c r="E1379" s="2"/>
      <c r="F1379" s="2"/>
      <c r="G1379" s="2"/>
      <c r="H1379" s="2"/>
      <c r="I1379" s="2"/>
      <c r="J1379" s="2"/>
      <c r="K1379" s="2"/>
    </row>
    <row r="1380" spans="4:11" x14ac:dyDescent="0.2">
      <c r="D1380" s="2"/>
      <c r="E1380" s="2"/>
      <c r="F1380" s="2"/>
      <c r="G1380" s="2"/>
      <c r="H1380" s="2"/>
      <c r="I1380" s="2"/>
      <c r="J1380" s="2"/>
      <c r="K1380" s="2"/>
    </row>
    <row r="1381" spans="4:11" x14ac:dyDescent="0.2">
      <c r="D1381" s="2"/>
      <c r="E1381" s="2"/>
      <c r="F1381" s="2"/>
      <c r="G1381" s="2"/>
      <c r="H1381" s="2"/>
      <c r="I1381" s="2"/>
      <c r="J1381" s="2"/>
      <c r="K1381" s="2"/>
    </row>
    <row r="1382" spans="4:11" x14ac:dyDescent="0.2">
      <c r="D1382" s="2"/>
      <c r="E1382" s="2"/>
      <c r="F1382" s="2"/>
      <c r="G1382" s="2"/>
      <c r="H1382" s="2"/>
      <c r="I1382" s="2"/>
      <c r="J1382" s="2"/>
      <c r="K1382" s="2"/>
    </row>
    <row r="1383" spans="4:11" x14ac:dyDescent="0.2">
      <c r="D1383" s="2"/>
      <c r="E1383" s="2"/>
      <c r="F1383" s="2"/>
      <c r="G1383" s="2"/>
      <c r="H1383" s="2"/>
      <c r="I1383" s="2"/>
      <c r="J1383" s="2"/>
      <c r="K1383" s="2"/>
    </row>
    <row r="1384" spans="4:11" x14ac:dyDescent="0.2">
      <c r="D1384" s="2"/>
      <c r="E1384" s="2"/>
      <c r="F1384" s="2"/>
      <c r="G1384" s="2"/>
      <c r="H1384" s="2"/>
      <c r="I1384" s="2"/>
      <c r="J1384" s="2"/>
      <c r="K1384" s="2"/>
    </row>
    <row r="1385" spans="4:11" x14ac:dyDescent="0.2">
      <c r="D1385" s="2"/>
      <c r="E1385" s="2"/>
      <c r="F1385" s="2"/>
      <c r="G1385" s="2"/>
      <c r="H1385" s="2"/>
      <c r="I1385" s="2"/>
      <c r="J1385" s="2"/>
      <c r="K1385" s="2"/>
    </row>
    <row r="1386" spans="4:11" x14ac:dyDescent="0.2">
      <c r="D1386" s="2"/>
      <c r="E1386" s="2"/>
      <c r="F1386" s="2"/>
      <c r="G1386" s="2"/>
      <c r="H1386" s="2"/>
      <c r="I1386" s="2"/>
      <c r="J1386" s="2"/>
      <c r="K1386" s="2"/>
    </row>
    <row r="1387" spans="4:11" x14ac:dyDescent="0.2">
      <c r="D1387" s="2"/>
      <c r="E1387" s="2"/>
      <c r="F1387" s="2"/>
      <c r="G1387" s="2"/>
      <c r="H1387" s="2"/>
      <c r="I1387" s="2"/>
      <c r="J1387" s="2"/>
      <c r="K1387" s="2"/>
    </row>
    <row r="1388" spans="4:11" x14ac:dyDescent="0.2">
      <c r="D1388" s="2"/>
      <c r="E1388" s="2"/>
      <c r="F1388" s="2"/>
      <c r="G1388" s="2"/>
      <c r="H1388" s="2"/>
      <c r="I1388" s="2"/>
      <c r="J1388" s="2"/>
      <c r="K1388" s="2"/>
    </row>
    <row r="1389" spans="4:11" x14ac:dyDescent="0.2">
      <c r="D1389" s="2"/>
      <c r="E1389" s="2"/>
      <c r="F1389" s="2"/>
      <c r="G1389" s="2"/>
      <c r="H1389" s="2"/>
      <c r="I1389" s="2"/>
      <c r="J1389" s="2"/>
      <c r="K1389" s="2"/>
    </row>
    <row r="1390" spans="4:11" x14ac:dyDescent="0.2">
      <c r="D1390" s="2"/>
      <c r="E1390" s="2"/>
      <c r="F1390" s="2"/>
      <c r="G1390" s="2"/>
      <c r="H1390" s="2"/>
      <c r="I1390" s="2"/>
      <c r="J1390" s="2"/>
      <c r="K1390" s="2"/>
    </row>
    <row r="1391" spans="4:11" x14ac:dyDescent="0.2">
      <c r="D1391" s="2"/>
      <c r="E1391" s="2"/>
      <c r="F1391" s="2"/>
      <c r="G1391" s="2"/>
      <c r="H1391" s="2"/>
      <c r="I1391" s="2"/>
      <c r="J1391" s="2"/>
      <c r="K1391" s="2"/>
    </row>
    <row r="1392" spans="4:11" x14ac:dyDescent="0.2">
      <c r="D1392" s="2"/>
      <c r="E1392" s="2"/>
      <c r="F1392" s="2"/>
      <c r="G1392" s="2"/>
      <c r="H1392" s="2"/>
      <c r="I1392" s="2"/>
      <c r="J1392" s="2"/>
      <c r="K1392" s="2"/>
    </row>
    <row r="1393" spans="4:11" x14ac:dyDescent="0.2">
      <c r="D1393" s="2"/>
      <c r="E1393" s="2"/>
      <c r="F1393" s="2"/>
      <c r="G1393" s="2"/>
      <c r="H1393" s="2"/>
      <c r="I1393" s="2"/>
      <c r="J1393" s="2"/>
      <c r="K1393" s="2"/>
    </row>
    <row r="1394" spans="4:11" x14ac:dyDescent="0.2">
      <c r="D1394" s="2"/>
      <c r="E1394" s="2"/>
      <c r="F1394" s="2"/>
      <c r="G1394" s="2"/>
      <c r="H1394" s="2"/>
      <c r="I1394" s="2"/>
      <c r="J1394" s="2"/>
      <c r="K1394" s="2"/>
    </row>
    <row r="1395" spans="4:11" x14ac:dyDescent="0.2">
      <c r="D1395" s="2"/>
      <c r="E1395" s="2"/>
      <c r="F1395" s="2"/>
      <c r="G1395" s="2"/>
      <c r="H1395" s="2"/>
      <c r="I1395" s="2"/>
      <c r="J1395" s="2"/>
      <c r="K1395" s="2"/>
    </row>
    <row r="1396" spans="4:11" x14ac:dyDescent="0.2">
      <c r="D1396" s="2"/>
      <c r="E1396" s="2"/>
      <c r="F1396" s="2"/>
      <c r="G1396" s="2"/>
      <c r="H1396" s="2"/>
      <c r="I1396" s="2"/>
      <c r="J1396" s="2"/>
      <c r="K1396" s="2"/>
    </row>
    <row r="1397" spans="4:11" x14ac:dyDescent="0.2">
      <c r="D1397" s="2"/>
      <c r="E1397" s="2"/>
      <c r="F1397" s="2"/>
      <c r="G1397" s="2"/>
      <c r="H1397" s="2"/>
      <c r="I1397" s="2"/>
      <c r="J1397" s="2"/>
      <c r="K1397" s="2"/>
    </row>
    <row r="1398" spans="4:11" x14ac:dyDescent="0.2">
      <c r="D1398" s="2"/>
      <c r="E1398" s="2"/>
      <c r="F1398" s="2"/>
      <c r="G1398" s="2"/>
      <c r="H1398" s="2"/>
      <c r="I1398" s="2"/>
      <c r="J1398" s="2"/>
      <c r="K1398" s="2"/>
    </row>
    <row r="1399" spans="4:11" x14ac:dyDescent="0.2">
      <c r="D1399" s="2"/>
      <c r="E1399" s="2"/>
      <c r="F1399" s="2"/>
      <c r="G1399" s="2"/>
      <c r="H1399" s="2"/>
      <c r="I1399" s="2"/>
      <c r="J1399" s="2"/>
      <c r="K1399" s="2"/>
    </row>
    <row r="1400" spans="4:11" x14ac:dyDescent="0.2">
      <c r="D1400" s="2"/>
      <c r="E1400" s="2"/>
      <c r="F1400" s="2"/>
      <c r="G1400" s="2"/>
      <c r="H1400" s="2"/>
      <c r="I1400" s="2"/>
      <c r="J1400" s="2"/>
      <c r="K1400" s="2"/>
    </row>
    <row r="1401" spans="4:11" x14ac:dyDescent="0.2">
      <c r="D1401" s="2"/>
      <c r="E1401" s="2"/>
      <c r="F1401" s="2"/>
      <c r="G1401" s="2"/>
      <c r="H1401" s="2"/>
      <c r="I1401" s="2"/>
      <c r="J1401" s="2"/>
      <c r="K1401" s="2"/>
    </row>
    <row r="1402" spans="4:11" x14ac:dyDescent="0.2">
      <c r="D1402" s="2"/>
      <c r="E1402" s="2"/>
      <c r="F1402" s="2"/>
      <c r="G1402" s="2"/>
      <c r="H1402" s="2"/>
      <c r="I1402" s="2"/>
      <c r="J1402" s="2"/>
      <c r="K1402" s="2"/>
    </row>
    <row r="1403" spans="4:11" x14ac:dyDescent="0.2">
      <c r="D1403" s="2"/>
      <c r="E1403" s="2"/>
      <c r="F1403" s="2"/>
      <c r="G1403" s="2"/>
      <c r="H1403" s="2"/>
      <c r="I1403" s="2"/>
      <c r="J1403" s="2"/>
      <c r="K1403" s="2"/>
    </row>
    <row r="1404" spans="4:11" x14ac:dyDescent="0.2">
      <c r="D1404" s="2"/>
      <c r="E1404" s="2"/>
      <c r="F1404" s="2"/>
      <c r="G1404" s="2"/>
      <c r="H1404" s="2"/>
      <c r="I1404" s="2"/>
      <c r="J1404" s="2"/>
      <c r="K1404" s="2"/>
    </row>
    <row r="1405" spans="4:11" x14ac:dyDescent="0.2">
      <c r="D1405" s="2"/>
      <c r="E1405" s="2"/>
      <c r="F1405" s="2"/>
      <c r="G1405" s="2"/>
      <c r="H1405" s="2"/>
      <c r="I1405" s="2"/>
      <c r="J1405" s="2"/>
      <c r="K1405" s="2"/>
    </row>
    <row r="1406" spans="4:11" x14ac:dyDescent="0.2">
      <c r="D1406" s="2"/>
      <c r="E1406" s="2"/>
      <c r="F1406" s="2"/>
      <c r="G1406" s="2"/>
      <c r="H1406" s="2"/>
      <c r="I1406" s="2"/>
      <c r="J1406" s="2"/>
      <c r="K1406" s="2"/>
    </row>
    <row r="1407" spans="4:11" x14ac:dyDescent="0.2">
      <c r="D1407" s="2"/>
      <c r="E1407" s="2"/>
      <c r="F1407" s="2"/>
      <c r="G1407" s="2"/>
      <c r="H1407" s="2"/>
      <c r="I1407" s="2"/>
      <c r="J1407" s="2"/>
      <c r="K1407" s="2"/>
    </row>
    <row r="1408" spans="4:11" x14ac:dyDescent="0.2">
      <c r="D1408" s="2"/>
      <c r="E1408" s="2"/>
      <c r="F1408" s="2"/>
      <c r="G1408" s="2"/>
      <c r="H1408" s="2"/>
      <c r="I1408" s="2"/>
      <c r="J1408" s="2"/>
      <c r="K1408" s="2"/>
    </row>
    <row r="1409" spans="4:11" x14ac:dyDescent="0.2">
      <c r="D1409" s="2"/>
      <c r="E1409" s="2"/>
      <c r="F1409" s="2"/>
      <c r="G1409" s="2"/>
      <c r="H1409" s="2"/>
      <c r="I1409" s="2"/>
      <c r="J1409" s="2"/>
      <c r="K1409" s="2"/>
    </row>
    <row r="1410" spans="4:11" x14ac:dyDescent="0.2">
      <c r="D1410" s="2"/>
      <c r="E1410" s="2"/>
      <c r="F1410" s="2"/>
      <c r="G1410" s="2"/>
      <c r="H1410" s="2"/>
      <c r="I1410" s="2"/>
      <c r="J1410" s="2"/>
      <c r="K1410" s="2"/>
    </row>
    <row r="1411" spans="4:11" x14ac:dyDescent="0.2">
      <c r="D1411" s="2"/>
      <c r="E1411" s="2"/>
      <c r="F1411" s="2"/>
      <c r="G1411" s="2"/>
      <c r="H1411" s="2"/>
      <c r="I1411" s="2"/>
      <c r="J1411" s="2"/>
      <c r="K1411" s="2"/>
    </row>
    <row r="1412" spans="4:11" x14ac:dyDescent="0.2">
      <c r="D1412" s="2"/>
      <c r="E1412" s="2"/>
      <c r="F1412" s="2"/>
      <c r="G1412" s="2"/>
      <c r="H1412" s="2"/>
      <c r="I1412" s="2"/>
      <c r="J1412" s="2"/>
      <c r="K1412" s="2"/>
    </row>
    <row r="1413" spans="4:11" x14ac:dyDescent="0.2">
      <c r="D1413" s="2"/>
      <c r="E1413" s="2"/>
      <c r="F1413" s="2"/>
      <c r="G1413" s="2"/>
      <c r="H1413" s="2"/>
      <c r="I1413" s="2"/>
      <c r="J1413" s="2"/>
      <c r="K1413" s="2"/>
    </row>
    <row r="1414" spans="4:11" x14ac:dyDescent="0.2">
      <c r="D1414" s="2"/>
      <c r="E1414" s="2"/>
      <c r="F1414" s="2"/>
      <c r="G1414" s="2"/>
      <c r="H1414" s="2"/>
      <c r="I1414" s="2"/>
      <c r="J1414" s="2"/>
      <c r="K1414" s="2"/>
    </row>
    <row r="1415" spans="4:11" x14ac:dyDescent="0.2">
      <c r="D1415" s="2"/>
      <c r="E1415" s="2"/>
      <c r="F1415" s="2"/>
      <c r="G1415" s="2"/>
      <c r="H1415" s="2"/>
      <c r="I1415" s="2"/>
      <c r="J1415" s="2"/>
      <c r="K1415" s="2"/>
    </row>
    <row r="1416" spans="4:11" x14ac:dyDescent="0.2">
      <c r="D1416" s="2"/>
      <c r="E1416" s="2"/>
      <c r="F1416" s="2"/>
      <c r="G1416" s="2"/>
      <c r="H1416" s="2"/>
      <c r="I1416" s="2"/>
      <c r="J1416" s="2"/>
      <c r="K1416" s="2"/>
    </row>
    <row r="1417" spans="4:11" x14ac:dyDescent="0.2">
      <c r="D1417" s="2"/>
      <c r="E1417" s="2"/>
      <c r="F1417" s="2"/>
      <c r="G1417" s="2"/>
      <c r="H1417" s="2"/>
      <c r="I1417" s="2"/>
      <c r="J1417" s="2"/>
      <c r="K1417" s="2"/>
    </row>
    <row r="1418" spans="4:11" x14ac:dyDescent="0.2">
      <c r="D1418" s="2"/>
      <c r="E1418" s="2"/>
      <c r="F1418" s="2"/>
      <c r="G1418" s="2"/>
      <c r="H1418" s="2"/>
      <c r="I1418" s="2"/>
      <c r="J1418" s="2"/>
      <c r="K1418" s="2"/>
    </row>
    <row r="1419" spans="4:11" x14ac:dyDescent="0.2">
      <c r="D1419" s="2"/>
      <c r="E1419" s="2"/>
      <c r="F1419" s="2"/>
      <c r="G1419" s="2"/>
      <c r="H1419" s="2"/>
      <c r="I1419" s="2"/>
      <c r="J1419" s="2"/>
      <c r="K1419" s="2"/>
    </row>
    <row r="1420" spans="4:11" x14ac:dyDescent="0.2">
      <c r="D1420" s="2"/>
      <c r="E1420" s="2"/>
      <c r="F1420" s="2"/>
      <c r="G1420" s="2"/>
      <c r="H1420" s="2"/>
      <c r="I1420" s="2"/>
      <c r="J1420" s="2"/>
      <c r="K1420" s="2"/>
    </row>
    <row r="1421" spans="4:11" x14ac:dyDescent="0.2">
      <c r="D1421" s="2"/>
      <c r="E1421" s="2"/>
      <c r="F1421" s="2"/>
      <c r="G1421" s="2"/>
      <c r="H1421" s="2"/>
      <c r="I1421" s="2"/>
      <c r="J1421" s="2"/>
      <c r="K1421" s="2"/>
    </row>
    <row r="1422" spans="4:11" x14ac:dyDescent="0.2">
      <c r="D1422" s="2"/>
      <c r="E1422" s="2"/>
      <c r="F1422" s="2"/>
      <c r="G1422" s="2"/>
      <c r="H1422" s="2"/>
      <c r="I1422" s="2"/>
      <c r="J1422" s="2"/>
      <c r="K1422" s="2"/>
    </row>
    <row r="1423" spans="4:11" x14ac:dyDescent="0.2">
      <c r="D1423" s="2"/>
      <c r="E1423" s="2"/>
      <c r="F1423" s="2"/>
      <c r="G1423" s="2"/>
      <c r="H1423" s="2"/>
      <c r="I1423" s="2"/>
      <c r="J1423" s="2"/>
      <c r="K1423" s="2"/>
    </row>
    <row r="1424" spans="4:11" x14ac:dyDescent="0.2">
      <c r="D1424" s="2"/>
      <c r="E1424" s="2"/>
      <c r="F1424" s="2"/>
      <c r="G1424" s="2"/>
      <c r="H1424" s="2"/>
      <c r="I1424" s="2"/>
      <c r="J1424" s="2"/>
      <c r="K1424" s="2"/>
    </row>
    <row r="1425" spans="4:11" x14ac:dyDescent="0.2">
      <c r="D1425" s="2"/>
      <c r="E1425" s="2"/>
      <c r="F1425" s="2"/>
      <c r="G1425" s="2"/>
      <c r="H1425" s="2"/>
      <c r="I1425" s="2"/>
      <c r="J1425" s="2"/>
      <c r="K1425" s="2"/>
    </row>
    <row r="1426" spans="4:11" x14ac:dyDescent="0.2">
      <c r="D1426" s="2"/>
      <c r="E1426" s="2"/>
      <c r="F1426" s="2"/>
      <c r="G1426" s="2"/>
      <c r="H1426" s="2"/>
      <c r="I1426" s="2"/>
      <c r="J1426" s="2"/>
      <c r="K1426" s="2"/>
    </row>
    <row r="1427" spans="4:11" x14ac:dyDescent="0.2">
      <c r="D1427" s="2"/>
      <c r="E1427" s="2"/>
      <c r="F1427" s="2"/>
      <c r="G1427" s="2"/>
      <c r="H1427" s="2"/>
      <c r="I1427" s="2"/>
      <c r="J1427" s="2"/>
      <c r="K1427" s="2"/>
    </row>
    <row r="1428" spans="4:11" x14ac:dyDescent="0.2">
      <c r="D1428" s="2"/>
      <c r="E1428" s="2"/>
      <c r="F1428" s="2"/>
      <c r="G1428" s="2"/>
      <c r="H1428" s="2"/>
      <c r="I1428" s="2"/>
      <c r="J1428" s="2"/>
      <c r="K1428" s="2"/>
    </row>
    <row r="1429" spans="4:11" x14ac:dyDescent="0.2">
      <c r="D1429" s="2"/>
      <c r="E1429" s="2"/>
      <c r="F1429" s="2"/>
      <c r="G1429" s="2"/>
      <c r="H1429" s="2"/>
      <c r="I1429" s="2"/>
      <c r="J1429" s="2"/>
      <c r="K1429" s="2"/>
    </row>
    <row r="1430" spans="4:11" x14ac:dyDescent="0.2">
      <c r="D1430" s="2"/>
      <c r="E1430" s="2"/>
      <c r="F1430" s="2"/>
      <c r="G1430" s="2"/>
      <c r="H1430" s="2"/>
      <c r="I1430" s="2"/>
      <c r="J1430" s="2"/>
      <c r="K1430" s="2"/>
    </row>
    <row r="1431" spans="4:11" x14ac:dyDescent="0.2">
      <c r="D1431" s="2"/>
      <c r="E1431" s="2"/>
      <c r="F1431" s="2"/>
      <c r="G1431" s="2"/>
      <c r="H1431" s="2"/>
      <c r="I1431" s="2"/>
      <c r="J1431" s="2"/>
      <c r="K1431" s="2"/>
    </row>
    <row r="1432" spans="4:11" x14ac:dyDescent="0.2">
      <c r="D1432" s="2"/>
      <c r="E1432" s="2"/>
      <c r="F1432" s="2"/>
      <c r="G1432" s="2"/>
      <c r="H1432" s="2"/>
      <c r="I1432" s="2"/>
      <c r="J1432" s="2"/>
      <c r="K1432" s="2"/>
    </row>
    <row r="1433" spans="4:11" x14ac:dyDescent="0.2">
      <c r="D1433" s="2"/>
      <c r="E1433" s="2"/>
      <c r="F1433" s="2"/>
      <c r="G1433" s="2"/>
      <c r="H1433" s="2"/>
      <c r="I1433" s="2"/>
      <c r="J1433" s="2"/>
      <c r="K1433" s="2"/>
    </row>
    <row r="1434" spans="4:11" x14ac:dyDescent="0.2">
      <c r="D1434" s="2"/>
      <c r="E1434" s="2"/>
      <c r="F1434" s="2"/>
      <c r="G1434" s="2"/>
      <c r="H1434" s="2"/>
      <c r="I1434" s="2"/>
      <c r="J1434" s="2"/>
      <c r="K1434" s="2"/>
    </row>
    <row r="1435" spans="4:11" x14ac:dyDescent="0.2">
      <c r="D1435" s="2"/>
      <c r="E1435" s="2"/>
      <c r="F1435" s="2"/>
      <c r="G1435" s="2"/>
      <c r="H1435" s="2"/>
      <c r="I1435" s="2"/>
      <c r="J1435" s="2"/>
      <c r="K1435" s="2"/>
    </row>
    <row r="1436" spans="4:11" x14ac:dyDescent="0.2">
      <c r="D1436" s="2"/>
      <c r="E1436" s="2"/>
      <c r="F1436" s="2"/>
      <c r="G1436" s="2"/>
      <c r="H1436" s="2"/>
      <c r="I1436" s="2"/>
      <c r="J1436" s="2"/>
      <c r="K1436" s="2"/>
    </row>
    <row r="1437" spans="4:11" x14ac:dyDescent="0.2">
      <c r="D1437" s="2"/>
      <c r="E1437" s="2"/>
      <c r="F1437" s="2"/>
      <c r="G1437" s="2"/>
      <c r="H1437" s="2"/>
      <c r="I1437" s="2"/>
      <c r="J1437" s="2"/>
      <c r="K1437" s="2"/>
    </row>
    <row r="1438" spans="4:11" x14ac:dyDescent="0.2">
      <c r="D1438" s="2"/>
      <c r="E1438" s="2"/>
      <c r="F1438" s="2"/>
      <c r="G1438" s="2"/>
      <c r="H1438" s="2"/>
      <c r="I1438" s="2"/>
      <c r="J1438" s="2"/>
      <c r="K1438" s="2"/>
    </row>
    <row r="1439" spans="4:11" x14ac:dyDescent="0.2">
      <c r="D1439" s="2"/>
      <c r="E1439" s="2"/>
      <c r="F1439" s="2"/>
      <c r="G1439" s="2"/>
      <c r="H1439" s="2"/>
      <c r="I1439" s="2"/>
      <c r="J1439" s="2"/>
      <c r="K1439" s="2"/>
    </row>
    <row r="1440" spans="4:11" x14ac:dyDescent="0.2">
      <c r="D1440" s="2"/>
      <c r="E1440" s="2"/>
      <c r="F1440" s="2"/>
      <c r="G1440" s="2"/>
      <c r="H1440" s="2"/>
      <c r="I1440" s="2"/>
      <c r="J1440" s="2"/>
      <c r="K1440" s="2"/>
    </row>
    <row r="1441" spans="4:11" x14ac:dyDescent="0.2">
      <c r="D1441" s="2"/>
      <c r="E1441" s="2"/>
      <c r="F1441" s="2"/>
      <c r="G1441" s="2"/>
      <c r="H1441" s="2"/>
      <c r="I1441" s="2"/>
      <c r="J1441" s="2"/>
      <c r="K1441" s="2"/>
    </row>
    <row r="1442" spans="4:11" x14ac:dyDescent="0.2">
      <c r="D1442" s="2"/>
      <c r="E1442" s="2"/>
      <c r="F1442" s="2"/>
      <c r="G1442" s="2"/>
      <c r="H1442" s="2"/>
      <c r="I1442" s="2"/>
      <c r="J1442" s="2"/>
      <c r="K1442" s="2"/>
    </row>
    <row r="1443" spans="4:11" x14ac:dyDescent="0.2">
      <c r="D1443" s="2"/>
      <c r="E1443" s="2"/>
      <c r="F1443" s="2"/>
      <c r="G1443" s="2"/>
      <c r="H1443" s="2"/>
      <c r="I1443" s="2"/>
      <c r="J1443" s="2"/>
      <c r="K1443" s="2"/>
    </row>
    <row r="1444" spans="4:11" x14ac:dyDescent="0.2">
      <c r="D1444" s="2"/>
      <c r="E1444" s="2"/>
      <c r="F1444" s="2"/>
      <c r="G1444" s="2"/>
      <c r="H1444" s="2"/>
      <c r="I1444" s="2"/>
      <c r="J1444" s="2"/>
      <c r="K1444" s="2"/>
    </row>
    <row r="1445" spans="4:11" x14ac:dyDescent="0.2">
      <c r="D1445" s="2"/>
      <c r="E1445" s="2"/>
      <c r="F1445" s="2"/>
      <c r="G1445" s="2"/>
      <c r="H1445" s="2"/>
      <c r="I1445" s="2"/>
      <c r="J1445" s="2"/>
      <c r="K1445" s="2"/>
    </row>
    <row r="1446" spans="4:11" x14ac:dyDescent="0.2">
      <c r="D1446" s="2"/>
      <c r="E1446" s="2"/>
      <c r="F1446" s="2"/>
      <c r="G1446" s="2"/>
      <c r="H1446" s="2"/>
      <c r="I1446" s="2"/>
      <c r="J1446" s="2"/>
      <c r="K1446" s="2"/>
    </row>
    <row r="1447" spans="4:11" x14ac:dyDescent="0.2">
      <c r="D1447" s="2"/>
      <c r="E1447" s="2"/>
      <c r="F1447" s="2"/>
      <c r="G1447" s="2"/>
      <c r="H1447" s="2"/>
      <c r="I1447" s="2"/>
      <c r="J1447" s="2"/>
      <c r="K1447" s="2"/>
    </row>
    <row r="1448" spans="4:11" x14ac:dyDescent="0.2">
      <c r="D1448" s="2"/>
      <c r="E1448" s="2"/>
      <c r="F1448" s="2"/>
      <c r="G1448" s="2"/>
      <c r="H1448" s="2"/>
      <c r="I1448" s="2"/>
      <c r="J1448" s="2"/>
      <c r="K1448" s="2"/>
    </row>
    <row r="1449" spans="4:11" x14ac:dyDescent="0.2">
      <c r="D1449" s="2"/>
      <c r="E1449" s="2"/>
      <c r="F1449" s="2"/>
      <c r="G1449" s="2"/>
      <c r="H1449" s="2"/>
      <c r="I1449" s="2"/>
      <c r="J1449" s="2"/>
      <c r="K1449" s="2"/>
    </row>
    <row r="1450" spans="4:11" x14ac:dyDescent="0.2">
      <c r="D1450" s="2"/>
      <c r="E1450" s="2"/>
      <c r="F1450" s="2"/>
      <c r="G1450" s="2"/>
      <c r="H1450" s="2"/>
      <c r="I1450" s="2"/>
      <c r="J1450" s="2"/>
      <c r="K1450" s="2"/>
    </row>
    <row r="1451" spans="4:11" x14ac:dyDescent="0.2">
      <c r="D1451" s="2"/>
      <c r="E1451" s="2"/>
      <c r="F1451" s="2"/>
      <c r="G1451" s="2"/>
      <c r="H1451" s="2"/>
      <c r="I1451" s="2"/>
      <c r="J1451" s="2"/>
      <c r="K1451" s="2"/>
    </row>
    <row r="1452" spans="4:11" x14ac:dyDescent="0.2">
      <c r="D1452" s="2"/>
      <c r="E1452" s="2"/>
      <c r="F1452" s="2"/>
      <c r="G1452" s="2"/>
      <c r="H1452" s="2"/>
      <c r="I1452" s="2"/>
      <c r="J1452" s="2"/>
      <c r="K1452" s="2"/>
    </row>
    <row r="1453" spans="4:11" x14ac:dyDescent="0.2">
      <c r="D1453" s="2"/>
      <c r="E1453" s="2"/>
      <c r="F1453" s="2"/>
      <c r="G1453" s="2"/>
      <c r="H1453" s="2"/>
      <c r="I1453" s="2"/>
      <c r="J1453" s="2"/>
      <c r="K1453" s="2"/>
    </row>
    <row r="1454" spans="4:11" x14ac:dyDescent="0.2">
      <c r="D1454" s="2"/>
      <c r="E1454" s="2"/>
      <c r="F1454" s="2"/>
      <c r="G1454" s="2"/>
      <c r="H1454" s="2"/>
      <c r="I1454" s="2"/>
      <c r="J1454" s="2"/>
      <c r="K1454" s="2"/>
    </row>
    <row r="1455" spans="4:11" x14ac:dyDescent="0.2">
      <c r="D1455" s="2"/>
      <c r="E1455" s="2"/>
      <c r="F1455" s="2"/>
      <c r="G1455" s="2"/>
      <c r="H1455" s="2"/>
      <c r="I1455" s="2"/>
      <c r="J1455" s="2"/>
      <c r="K1455" s="2"/>
    </row>
    <row r="1456" spans="4:11" x14ac:dyDescent="0.2">
      <c r="D1456" s="2"/>
      <c r="E1456" s="2"/>
      <c r="F1456" s="2"/>
      <c r="G1456" s="2"/>
      <c r="H1456" s="2"/>
      <c r="I1456" s="2"/>
      <c r="J1456" s="2"/>
      <c r="K1456" s="2"/>
    </row>
    <row r="1457" spans="4:11" x14ac:dyDescent="0.2">
      <c r="D1457" s="2"/>
      <c r="E1457" s="2"/>
      <c r="F1457" s="2"/>
      <c r="G1457" s="2"/>
      <c r="H1457" s="2"/>
      <c r="I1457" s="2"/>
      <c r="J1457" s="2"/>
      <c r="K1457" s="2"/>
    </row>
    <row r="1458" spans="4:11" x14ac:dyDescent="0.2">
      <c r="D1458" s="2"/>
      <c r="E1458" s="2"/>
      <c r="F1458" s="2"/>
      <c r="G1458" s="2"/>
      <c r="H1458" s="2"/>
      <c r="I1458" s="2"/>
      <c r="J1458" s="2"/>
      <c r="K1458" s="2"/>
    </row>
    <row r="1459" spans="4:11" x14ac:dyDescent="0.2">
      <c r="D1459" s="2"/>
      <c r="E1459" s="2"/>
      <c r="F1459" s="2"/>
      <c r="G1459" s="2"/>
      <c r="H1459" s="2"/>
      <c r="I1459" s="2"/>
      <c r="J1459" s="2"/>
      <c r="K1459" s="2"/>
    </row>
    <row r="1460" spans="4:11" x14ac:dyDescent="0.2">
      <c r="D1460" s="2"/>
      <c r="E1460" s="2"/>
      <c r="F1460" s="2"/>
      <c r="G1460" s="2"/>
      <c r="H1460" s="2"/>
      <c r="I1460" s="2"/>
      <c r="J1460" s="2"/>
      <c r="K1460" s="2"/>
    </row>
    <row r="1461" spans="4:11" x14ac:dyDescent="0.2">
      <c r="D1461" s="2"/>
      <c r="E1461" s="2"/>
      <c r="F1461" s="2"/>
      <c r="G1461" s="2"/>
      <c r="H1461" s="2"/>
      <c r="I1461" s="2"/>
      <c r="J1461" s="2"/>
      <c r="K1461" s="2"/>
    </row>
    <row r="1462" spans="4:11" x14ac:dyDescent="0.2">
      <c r="D1462" s="2"/>
      <c r="E1462" s="2"/>
      <c r="F1462" s="2"/>
      <c r="G1462" s="2"/>
      <c r="H1462" s="2"/>
      <c r="I1462" s="2"/>
      <c r="J1462" s="2"/>
      <c r="K1462" s="2"/>
    </row>
    <row r="1463" spans="4:11" x14ac:dyDescent="0.2">
      <c r="D1463" s="2"/>
      <c r="E1463" s="2"/>
      <c r="F1463" s="2"/>
      <c r="G1463" s="2"/>
      <c r="H1463" s="2"/>
      <c r="I1463" s="2"/>
      <c r="J1463" s="2"/>
      <c r="K1463" s="2"/>
    </row>
    <row r="1464" spans="4:11" x14ac:dyDescent="0.2">
      <c r="D1464" s="2"/>
      <c r="E1464" s="2"/>
      <c r="F1464" s="2"/>
      <c r="G1464" s="2"/>
      <c r="H1464" s="2"/>
      <c r="I1464" s="2"/>
      <c r="J1464" s="2"/>
      <c r="K1464" s="2"/>
    </row>
    <row r="1465" spans="4:11" x14ac:dyDescent="0.2">
      <c r="D1465" s="2"/>
      <c r="E1465" s="2"/>
      <c r="F1465" s="2"/>
      <c r="G1465" s="2"/>
      <c r="H1465" s="2"/>
      <c r="I1465" s="2"/>
      <c r="J1465" s="2"/>
      <c r="K1465" s="2"/>
    </row>
    <row r="1466" spans="4:11" x14ac:dyDescent="0.2">
      <c r="D1466" s="2"/>
      <c r="E1466" s="2"/>
      <c r="F1466" s="2"/>
      <c r="G1466" s="2"/>
      <c r="H1466" s="2"/>
      <c r="I1466" s="2"/>
      <c r="J1466" s="2"/>
      <c r="K1466" s="2"/>
    </row>
    <row r="1467" spans="4:11" x14ac:dyDescent="0.2">
      <c r="D1467" s="2"/>
      <c r="E1467" s="2"/>
      <c r="F1467" s="2"/>
      <c r="G1467" s="2"/>
      <c r="H1467" s="2"/>
      <c r="I1467" s="2"/>
      <c r="J1467" s="2"/>
      <c r="K1467" s="2"/>
    </row>
    <row r="1468" spans="4:11" x14ac:dyDescent="0.2">
      <c r="D1468" s="2"/>
      <c r="E1468" s="2"/>
      <c r="F1468" s="2"/>
      <c r="G1468" s="2"/>
      <c r="H1468" s="2"/>
      <c r="I1468" s="2"/>
      <c r="J1468" s="2"/>
      <c r="K1468" s="2"/>
    </row>
    <row r="1469" spans="4:11" x14ac:dyDescent="0.2">
      <c r="D1469" s="2"/>
      <c r="E1469" s="2"/>
      <c r="F1469" s="2"/>
      <c r="G1469" s="2"/>
      <c r="H1469" s="2"/>
      <c r="I1469" s="2"/>
      <c r="J1469" s="2"/>
      <c r="K1469" s="2"/>
    </row>
    <row r="1470" spans="4:11" x14ac:dyDescent="0.2">
      <c r="D1470" s="2"/>
      <c r="E1470" s="2"/>
      <c r="F1470" s="2"/>
      <c r="G1470" s="2"/>
      <c r="H1470" s="2"/>
      <c r="I1470" s="2"/>
      <c r="J1470" s="2"/>
      <c r="K1470" s="2"/>
    </row>
    <row r="1471" spans="4:11" x14ac:dyDescent="0.2">
      <c r="D1471" s="2"/>
      <c r="E1471" s="2"/>
      <c r="F1471" s="2"/>
      <c r="G1471" s="2"/>
      <c r="H1471" s="2"/>
      <c r="I1471" s="2"/>
      <c r="J1471" s="2"/>
      <c r="K1471" s="2"/>
    </row>
    <row r="1472" spans="4:11" x14ac:dyDescent="0.2">
      <c r="D1472" s="2"/>
      <c r="E1472" s="2"/>
      <c r="F1472" s="2"/>
      <c r="G1472" s="2"/>
      <c r="H1472" s="2"/>
      <c r="I1472" s="2"/>
      <c r="J1472" s="2"/>
      <c r="K1472" s="2"/>
    </row>
    <row r="1473" spans="4:11" x14ac:dyDescent="0.2">
      <c r="D1473" s="2"/>
      <c r="E1473" s="2"/>
      <c r="F1473" s="2"/>
      <c r="G1473" s="2"/>
      <c r="H1473" s="2"/>
      <c r="I1473" s="2"/>
      <c r="J1473" s="2"/>
      <c r="K1473" s="2"/>
    </row>
    <row r="1474" spans="4:11" x14ac:dyDescent="0.2">
      <c r="D1474" s="2"/>
      <c r="E1474" s="2"/>
      <c r="F1474" s="2"/>
      <c r="G1474" s="2"/>
      <c r="H1474" s="2"/>
      <c r="I1474" s="2"/>
      <c r="J1474" s="2"/>
      <c r="K1474" s="2"/>
    </row>
    <row r="1475" spans="4:11" x14ac:dyDescent="0.2">
      <c r="D1475" s="2"/>
      <c r="E1475" s="2"/>
      <c r="F1475" s="2"/>
      <c r="G1475" s="2"/>
      <c r="H1475" s="2"/>
      <c r="I1475" s="2"/>
      <c r="J1475" s="2"/>
      <c r="K1475" s="2"/>
    </row>
    <row r="1476" spans="4:11" x14ac:dyDescent="0.2">
      <c r="D1476" s="2"/>
      <c r="E1476" s="2"/>
      <c r="F1476" s="2"/>
      <c r="G1476" s="2"/>
      <c r="H1476" s="2"/>
      <c r="I1476" s="2"/>
      <c r="J1476" s="2"/>
      <c r="K1476" s="2"/>
    </row>
    <row r="1477" spans="4:11" x14ac:dyDescent="0.2">
      <c r="D1477" s="2"/>
      <c r="E1477" s="2"/>
      <c r="F1477" s="2"/>
      <c r="G1477" s="2"/>
      <c r="H1477" s="2"/>
      <c r="I1477" s="2"/>
      <c r="J1477" s="2"/>
      <c r="K1477" s="2"/>
    </row>
    <row r="1478" spans="4:11" x14ac:dyDescent="0.2">
      <c r="D1478" s="2"/>
      <c r="E1478" s="2"/>
      <c r="F1478" s="2"/>
      <c r="G1478" s="2"/>
      <c r="H1478" s="2"/>
      <c r="I1478" s="2"/>
      <c r="J1478" s="2"/>
      <c r="K1478" s="2"/>
    </row>
    <row r="1479" spans="4:11" x14ac:dyDescent="0.2">
      <c r="D1479" s="2"/>
      <c r="E1479" s="2"/>
      <c r="F1479" s="2"/>
      <c r="G1479" s="2"/>
      <c r="H1479" s="2"/>
      <c r="I1479" s="2"/>
      <c r="J1479" s="2"/>
      <c r="K1479" s="2"/>
    </row>
    <row r="1480" spans="4:11" x14ac:dyDescent="0.2">
      <c r="D1480" s="2"/>
      <c r="E1480" s="2"/>
      <c r="F1480" s="2"/>
      <c r="G1480" s="2"/>
      <c r="H1480" s="2"/>
      <c r="I1480" s="2"/>
      <c r="J1480" s="2"/>
      <c r="K1480" s="2"/>
    </row>
    <row r="1481" spans="4:11" x14ac:dyDescent="0.2">
      <c r="D1481" s="2"/>
      <c r="E1481" s="2"/>
      <c r="F1481" s="2"/>
      <c r="G1481" s="2"/>
      <c r="H1481" s="2"/>
      <c r="I1481" s="2"/>
      <c r="J1481" s="2"/>
      <c r="K1481" s="2"/>
    </row>
    <row r="1482" spans="4:11" x14ac:dyDescent="0.2">
      <c r="D1482" s="2"/>
      <c r="E1482" s="2"/>
      <c r="F1482" s="2"/>
      <c r="G1482" s="2"/>
      <c r="H1482" s="2"/>
      <c r="I1482" s="2"/>
      <c r="J1482" s="2"/>
      <c r="K1482" s="2"/>
    </row>
    <row r="1483" spans="4:11" x14ac:dyDescent="0.2">
      <c r="D1483" s="2"/>
      <c r="E1483" s="2"/>
      <c r="F1483" s="2"/>
      <c r="G1483" s="2"/>
      <c r="H1483" s="2"/>
      <c r="I1483" s="2"/>
      <c r="J1483" s="2"/>
      <c r="K1483" s="2"/>
    </row>
    <row r="1484" spans="4:11" x14ac:dyDescent="0.2">
      <c r="D1484" s="2"/>
      <c r="E1484" s="2"/>
      <c r="F1484" s="2"/>
      <c r="G1484" s="2"/>
      <c r="H1484" s="2"/>
      <c r="I1484" s="2"/>
      <c r="J1484" s="2"/>
      <c r="K1484" s="2"/>
    </row>
    <row r="1485" spans="4:11" x14ac:dyDescent="0.2">
      <c r="D1485" s="2"/>
      <c r="E1485" s="2"/>
      <c r="F1485" s="2"/>
      <c r="G1485" s="2"/>
      <c r="H1485" s="2"/>
      <c r="I1485" s="2"/>
      <c r="J1485" s="2"/>
      <c r="K1485" s="2"/>
    </row>
    <row r="1486" spans="4:11" x14ac:dyDescent="0.2">
      <c r="D1486" s="2"/>
      <c r="E1486" s="2"/>
      <c r="F1486" s="2"/>
      <c r="G1486" s="2"/>
      <c r="H1486" s="2"/>
      <c r="I1486" s="2"/>
      <c r="J1486" s="2"/>
      <c r="K1486" s="2"/>
    </row>
    <row r="1487" spans="4:11" x14ac:dyDescent="0.2">
      <c r="D1487" s="2"/>
      <c r="E1487" s="2"/>
      <c r="F1487" s="2"/>
      <c r="G1487" s="2"/>
      <c r="H1487" s="2"/>
      <c r="I1487" s="2"/>
      <c r="J1487" s="2"/>
      <c r="K1487" s="2"/>
    </row>
    <row r="1488" spans="4:11" x14ac:dyDescent="0.2">
      <c r="D1488" s="2"/>
      <c r="E1488" s="2"/>
      <c r="F1488" s="2"/>
      <c r="G1488" s="2"/>
      <c r="H1488" s="2"/>
      <c r="I1488" s="2"/>
      <c r="J1488" s="2"/>
      <c r="K1488" s="2"/>
    </row>
    <row r="1489" spans="4:11" x14ac:dyDescent="0.2">
      <c r="D1489" s="2"/>
      <c r="E1489" s="2"/>
      <c r="F1489" s="2"/>
      <c r="G1489" s="2"/>
      <c r="H1489" s="2"/>
      <c r="I1489" s="2"/>
      <c r="J1489" s="2"/>
      <c r="K1489" s="2"/>
    </row>
    <row r="1490" spans="4:11" x14ac:dyDescent="0.2">
      <c r="D1490" s="2"/>
      <c r="E1490" s="2"/>
      <c r="F1490" s="2"/>
      <c r="G1490" s="2"/>
      <c r="H1490" s="2"/>
      <c r="I1490" s="2"/>
      <c r="J1490" s="2"/>
      <c r="K1490" s="2"/>
    </row>
    <row r="1491" spans="4:11" x14ac:dyDescent="0.2">
      <c r="D1491" s="2"/>
      <c r="E1491" s="2"/>
      <c r="F1491" s="2"/>
      <c r="G1491" s="2"/>
      <c r="H1491" s="2"/>
      <c r="I1491" s="2"/>
      <c r="J1491" s="2"/>
      <c r="K1491" s="2"/>
    </row>
    <row r="1492" spans="4:11" x14ac:dyDescent="0.2">
      <c r="D1492" s="2"/>
      <c r="E1492" s="2"/>
      <c r="F1492" s="2"/>
      <c r="G1492" s="2"/>
      <c r="H1492" s="2"/>
      <c r="I1492" s="2"/>
      <c r="J1492" s="2"/>
      <c r="K1492" s="2"/>
    </row>
    <row r="1493" spans="4:11" x14ac:dyDescent="0.2">
      <c r="D1493" s="2"/>
      <c r="E1493" s="2"/>
      <c r="F1493" s="2"/>
      <c r="G1493" s="2"/>
      <c r="H1493" s="2"/>
      <c r="I1493" s="2"/>
      <c r="J1493" s="2"/>
      <c r="K1493" s="2"/>
    </row>
    <row r="1494" spans="4:11" x14ac:dyDescent="0.2">
      <c r="D1494" s="2"/>
      <c r="E1494" s="2"/>
      <c r="F1494" s="2"/>
      <c r="G1494" s="2"/>
      <c r="H1494" s="2"/>
      <c r="I1494" s="2"/>
      <c r="J1494" s="2"/>
      <c r="K1494" s="2"/>
    </row>
    <row r="1495" spans="4:11" x14ac:dyDescent="0.2">
      <c r="D1495" s="2"/>
      <c r="E1495" s="2"/>
      <c r="F1495" s="2"/>
      <c r="G1495" s="2"/>
      <c r="H1495" s="2"/>
      <c r="I1495" s="2"/>
      <c r="J1495" s="2"/>
      <c r="K1495" s="2"/>
    </row>
    <row r="1496" spans="4:11" x14ac:dyDescent="0.2">
      <c r="D1496" s="2"/>
      <c r="E1496" s="2"/>
      <c r="F1496" s="2"/>
      <c r="G1496" s="2"/>
      <c r="H1496" s="2"/>
      <c r="I1496" s="2"/>
      <c r="J1496" s="2"/>
      <c r="K1496" s="2"/>
    </row>
    <row r="1497" spans="4:11" x14ac:dyDescent="0.2">
      <c r="D1497" s="2"/>
      <c r="E1497" s="2"/>
      <c r="F1497" s="2"/>
      <c r="G1497" s="2"/>
      <c r="H1497" s="2"/>
      <c r="I1497" s="2"/>
      <c r="J1497" s="2"/>
      <c r="K1497" s="2"/>
    </row>
    <row r="1498" spans="4:11" x14ac:dyDescent="0.2">
      <c r="D1498" s="2"/>
      <c r="E1498" s="2"/>
      <c r="F1498" s="2"/>
      <c r="G1498" s="2"/>
      <c r="H1498" s="2"/>
      <c r="I1498" s="2"/>
      <c r="J1498" s="2"/>
      <c r="K1498" s="2"/>
    </row>
    <row r="1499" spans="4:11" x14ac:dyDescent="0.2">
      <c r="D1499" s="2"/>
      <c r="E1499" s="2"/>
      <c r="F1499" s="2"/>
      <c r="G1499" s="2"/>
      <c r="H1499" s="2"/>
      <c r="I1499" s="2"/>
      <c r="J1499" s="2"/>
      <c r="K1499" s="2"/>
    </row>
    <row r="1500" spans="4:11" x14ac:dyDescent="0.2">
      <c r="D1500" s="2"/>
      <c r="E1500" s="2"/>
      <c r="F1500" s="2"/>
      <c r="G1500" s="2"/>
      <c r="H1500" s="2"/>
      <c r="I1500" s="2"/>
      <c r="J1500" s="2"/>
      <c r="K1500" s="2"/>
    </row>
    <row r="1501" spans="4:11" x14ac:dyDescent="0.2">
      <c r="D1501" s="2"/>
      <c r="E1501" s="2"/>
      <c r="F1501" s="2"/>
      <c r="G1501" s="2"/>
      <c r="H1501" s="2"/>
      <c r="I1501" s="2"/>
      <c r="J1501" s="2"/>
      <c r="K1501" s="2"/>
    </row>
    <row r="1502" spans="4:11" x14ac:dyDescent="0.2">
      <c r="D1502" s="2"/>
      <c r="E1502" s="2"/>
      <c r="F1502" s="2"/>
      <c r="G1502" s="2"/>
      <c r="H1502" s="2"/>
      <c r="I1502" s="2"/>
      <c r="J1502" s="2"/>
      <c r="K1502" s="2"/>
    </row>
    <row r="1503" spans="4:11" x14ac:dyDescent="0.2">
      <c r="D1503" s="2"/>
      <c r="E1503" s="2"/>
      <c r="F1503" s="2"/>
      <c r="G1503" s="2"/>
      <c r="H1503" s="2"/>
      <c r="I1503" s="2"/>
      <c r="J1503" s="2"/>
      <c r="K1503" s="2"/>
    </row>
    <row r="1504" spans="4:11" x14ac:dyDescent="0.2">
      <c r="D1504" s="2"/>
      <c r="E1504" s="2"/>
      <c r="F1504" s="2"/>
      <c r="G1504" s="2"/>
      <c r="H1504" s="2"/>
      <c r="I1504" s="2"/>
      <c r="J1504" s="2"/>
      <c r="K1504" s="2"/>
    </row>
    <row r="1505" spans="4:11" x14ac:dyDescent="0.2">
      <c r="D1505" s="2"/>
      <c r="E1505" s="2"/>
      <c r="F1505" s="2"/>
      <c r="G1505" s="2"/>
      <c r="H1505" s="2"/>
      <c r="I1505" s="2"/>
      <c r="J1505" s="2"/>
      <c r="K1505" s="2"/>
    </row>
    <row r="1506" spans="4:11" x14ac:dyDescent="0.2">
      <c r="D1506" s="2"/>
      <c r="E1506" s="2"/>
      <c r="F1506" s="2"/>
      <c r="G1506" s="2"/>
      <c r="H1506" s="2"/>
      <c r="I1506" s="2"/>
      <c r="J1506" s="2"/>
      <c r="K1506" s="2"/>
    </row>
    <row r="1507" spans="4:11" x14ac:dyDescent="0.2">
      <c r="D1507" s="2"/>
      <c r="E1507" s="2"/>
      <c r="F1507" s="2"/>
      <c r="G1507" s="2"/>
      <c r="H1507" s="2"/>
      <c r="I1507" s="2"/>
      <c r="J1507" s="2"/>
      <c r="K1507" s="2"/>
    </row>
    <row r="1508" spans="4:11" x14ac:dyDescent="0.2">
      <c r="D1508" s="2"/>
      <c r="E1508" s="2"/>
      <c r="F1508" s="2"/>
      <c r="G1508" s="2"/>
      <c r="H1508" s="2"/>
      <c r="I1508" s="2"/>
      <c r="J1508" s="2"/>
      <c r="K1508" s="2"/>
    </row>
    <row r="1509" spans="4:11" x14ac:dyDescent="0.2">
      <c r="D1509" s="2"/>
      <c r="E1509" s="2"/>
      <c r="F1509" s="2"/>
      <c r="G1509" s="2"/>
      <c r="H1509" s="2"/>
      <c r="I1509" s="2"/>
      <c r="J1509" s="2"/>
      <c r="K1509" s="2"/>
    </row>
    <row r="1510" spans="4:11" x14ac:dyDescent="0.2">
      <c r="D1510" s="2"/>
      <c r="E1510" s="2"/>
      <c r="F1510" s="2"/>
      <c r="G1510" s="2"/>
      <c r="H1510" s="2"/>
      <c r="I1510" s="2"/>
      <c r="J1510" s="2"/>
      <c r="K1510" s="2"/>
    </row>
    <row r="1511" spans="4:11" x14ac:dyDescent="0.2">
      <c r="D1511" s="2"/>
      <c r="E1511" s="2"/>
      <c r="F1511" s="2"/>
      <c r="G1511" s="2"/>
      <c r="H1511" s="2"/>
      <c r="I1511" s="2"/>
      <c r="J1511" s="2"/>
      <c r="K1511" s="2"/>
    </row>
    <row r="1512" spans="4:11" x14ac:dyDescent="0.2">
      <c r="D1512" s="2"/>
      <c r="E1512" s="2"/>
      <c r="F1512" s="2"/>
      <c r="G1512" s="2"/>
      <c r="H1512" s="2"/>
      <c r="I1512" s="2"/>
      <c r="J1512" s="2"/>
      <c r="K1512" s="2"/>
    </row>
    <row r="1513" spans="4:11" x14ac:dyDescent="0.2">
      <c r="D1513" s="2"/>
      <c r="E1513" s="2"/>
      <c r="F1513" s="2"/>
      <c r="G1513" s="2"/>
      <c r="H1513" s="2"/>
      <c r="I1513" s="2"/>
      <c r="J1513" s="2"/>
      <c r="K1513" s="2"/>
    </row>
    <row r="1514" spans="4:11" x14ac:dyDescent="0.2">
      <c r="D1514" s="2"/>
      <c r="E1514" s="2"/>
      <c r="F1514" s="2"/>
      <c r="G1514" s="2"/>
      <c r="H1514" s="2"/>
      <c r="I1514" s="2"/>
      <c r="J1514" s="2"/>
      <c r="K1514" s="2"/>
    </row>
    <row r="1515" spans="4:11" x14ac:dyDescent="0.2">
      <c r="D1515" s="2"/>
      <c r="E1515" s="2"/>
      <c r="F1515" s="2"/>
      <c r="G1515" s="2"/>
      <c r="H1515" s="2"/>
      <c r="I1515" s="2"/>
      <c r="J1515" s="2"/>
      <c r="K1515" s="2"/>
    </row>
    <row r="1516" spans="4:11" x14ac:dyDescent="0.2">
      <c r="D1516" s="2"/>
      <c r="E1516" s="2"/>
      <c r="F1516" s="2"/>
      <c r="G1516" s="2"/>
      <c r="H1516" s="2"/>
      <c r="I1516" s="2"/>
      <c r="J1516" s="2"/>
      <c r="K1516" s="2"/>
    </row>
    <row r="1517" spans="4:11" x14ac:dyDescent="0.2">
      <c r="D1517" s="2"/>
      <c r="E1517" s="2"/>
      <c r="F1517" s="2"/>
      <c r="G1517" s="2"/>
      <c r="H1517" s="2"/>
      <c r="I1517" s="2"/>
      <c r="J1517" s="2"/>
      <c r="K1517" s="2"/>
    </row>
    <row r="1518" spans="4:11" x14ac:dyDescent="0.2">
      <c r="D1518" s="2"/>
      <c r="E1518" s="2"/>
      <c r="F1518" s="2"/>
      <c r="G1518" s="2"/>
      <c r="H1518" s="2"/>
      <c r="I1518" s="2"/>
      <c r="J1518" s="2"/>
      <c r="K1518" s="2"/>
    </row>
    <row r="1519" spans="4:11" x14ac:dyDescent="0.2">
      <c r="D1519" s="2"/>
      <c r="E1519" s="2"/>
      <c r="F1519" s="2"/>
      <c r="G1519" s="2"/>
      <c r="H1519" s="2"/>
      <c r="I1519" s="2"/>
      <c r="J1519" s="2"/>
      <c r="K1519" s="2"/>
    </row>
    <row r="1520" spans="4:11" x14ac:dyDescent="0.2">
      <c r="D1520" s="2"/>
      <c r="E1520" s="2"/>
      <c r="F1520" s="2"/>
      <c r="G1520" s="2"/>
      <c r="H1520" s="2"/>
      <c r="I1520" s="2"/>
      <c r="J1520" s="2"/>
      <c r="K1520" s="2"/>
    </row>
    <row r="1521" spans="4:11" x14ac:dyDescent="0.2">
      <c r="D1521" s="2"/>
      <c r="E1521" s="2"/>
      <c r="F1521" s="2"/>
      <c r="G1521" s="2"/>
      <c r="H1521" s="2"/>
      <c r="I1521" s="2"/>
      <c r="J1521" s="2"/>
      <c r="K1521" s="2"/>
    </row>
    <row r="1522" spans="4:11" x14ac:dyDescent="0.2">
      <c r="D1522" s="2"/>
      <c r="E1522" s="2"/>
      <c r="F1522" s="2"/>
      <c r="G1522" s="2"/>
      <c r="H1522" s="2"/>
      <c r="I1522" s="2"/>
      <c r="J1522" s="2"/>
      <c r="K1522" s="2"/>
    </row>
    <row r="1523" spans="4:11" x14ac:dyDescent="0.2">
      <c r="D1523" s="2"/>
      <c r="E1523" s="2"/>
      <c r="F1523" s="2"/>
      <c r="G1523" s="2"/>
      <c r="H1523" s="2"/>
      <c r="I1523" s="2"/>
      <c r="J1523" s="2"/>
      <c r="K1523" s="2"/>
    </row>
    <row r="1524" spans="4:11" x14ac:dyDescent="0.2">
      <c r="D1524" s="2"/>
      <c r="E1524" s="2"/>
      <c r="F1524" s="2"/>
      <c r="G1524" s="2"/>
      <c r="H1524" s="2"/>
      <c r="I1524" s="2"/>
      <c r="J1524" s="2"/>
      <c r="K1524" s="2"/>
    </row>
    <row r="1525" spans="4:11" x14ac:dyDescent="0.2">
      <c r="D1525" s="2"/>
      <c r="E1525" s="2"/>
      <c r="F1525" s="2"/>
      <c r="G1525" s="2"/>
      <c r="H1525" s="2"/>
      <c r="I1525" s="2"/>
      <c r="J1525" s="2"/>
      <c r="K1525" s="2"/>
    </row>
    <row r="1526" spans="4:11" x14ac:dyDescent="0.2">
      <c r="D1526" s="2"/>
      <c r="E1526" s="2"/>
      <c r="F1526" s="2"/>
      <c r="G1526" s="2"/>
      <c r="H1526" s="2"/>
      <c r="I1526" s="2"/>
      <c r="J1526" s="2"/>
      <c r="K1526" s="2"/>
    </row>
    <row r="1527" spans="4:11" x14ac:dyDescent="0.2">
      <c r="D1527" s="2"/>
      <c r="E1527" s="2"/>
      <c r="F1527" s="2"/>
      <c r="G1527" s="2"/>
      <c r="H1527" s="2"/>
      <c r="I1527" s="2"/>
      <c r="J1527" s="2"/>
      <c r="K1527" s="2"/>
    </row>
    <row r="1528" spans="4:11" x14ac:dyDescent="0.2">
      <c r="D1528" s="2"/>
      <c r="E1528" s="2"/>
      <c r="F1528" s="2"/>
      <c r="G1528" s="2"/>
      <c r="H1528" s="2"/>
      <c r="I1528" s="2"/>
      <c r="J1528" s="2"/>
      <c r="K1528" s="2"/>
    </row>
    <row r="1529" spans="4:11" x14ac:dyDescent="0.2">
      <c r="D1529" s="2"/>
      <c r="E1529" s="2"/>
      <c r="F1529" s="2"/>
      <c r="G1529" s="2"/>
      <c r="H1529" s="2"/>
      <c r="I1529" s="2"/>
      <c r="J1529" s="2"/>
      <c r="K1529" s="2"/>
    </row>
    <row r="1530" spans="4:11" x14ac:dyDescent="0.2">
      <c r="D1530" s="2"/>
      <c r="E1530" s="2"/>
      <c r="F1530" s="2"/>
      <c r="G1530" s="2"/>
      <c r="H1530" s="2"/>
      <c r="I1530" s="2"/>
      <c r="J1530" s="2"/>
      <c r="K1530" s="2"/>
    </row>
    <row r="1531" spans="4:11" x14ac:dyDescent="0.2">
      <c r="D1531" s="2"/>
      <c r="E1531" s="2"/>
      <c r="F1531" s="2"/>
      <c r="G1531" s="2"/>
      <c r="H1531" s="2"/>
      <c r="I1531" s="2"/>
      <c r="J1531" s="2"/>
      <c r="K1531" s="2"/>
    </row>
    <row r="1532" spans="4:11" x14ac:dyDescent="0.2">
      <c r="D1532" s="2"/>
      <c r="E1532" s="2"/>
      <c r="F1532" s="2"/>
      <c r="G1532" s="2"/>
      <c r="H1532" s="2"/>
      <c r="I1532" s="2"/>
      <c r="J1532" s="2"/>
      <c r="K1532" s="2"/>
    </row>
    <row r="1533" spans="4:11" x14ac:dyDescent="0.2">
      <c r="D1533" s="2"/>
      <c r="E1533" s="2"/>
      <c r="F1533" s="2"/>
      <c r="G1533" s="2"/>
      <c r="H1533" s="2"/>
      <c r="I1533" s="2"/>
      <c r="J1533" s="2"/>
      <c r="K1533" s="2"/>
    </row>
    <row r="1534" spans="4:11" x14ac:dyDescent="0.2">
      <c r="D1534" s="2"/>
      <c r="E1534" s="2"/>
      <c r="F1534" s="2"/>
      <c r="G1534" s="2"/>
      <c r="H1534" s="2"/>
      <c r="I1534" s="2"/>
      <c r="J1534" s="2"/>
      <c r="K1534" s="2"/>
    </row>
    <row r="1535" spans="4:11" x14ac:dyDescent="0.2">
      <c r="D1535" s="2"/>
      <c r="E1535" s="2"/>
      <c r="F1535" s="2"/>
      <c r="G1535" s="2"/>
      <c r="H1535" s="2"/>
      <c r="I1535" s="2"/>
      <c r="J1535" s="2"/>
      <c r="K1535" s="2"/>
    </row>
    <row r="1536" spans="4:11" x14ac:dyDescent="0.2">
      <c r="D1536" s="2"/>
      <c r="E1536" s="2"/>
      <c r="F1536" s="2"/>
      <c r="G1536" s="2"/>
      <c r="H1536" s="2"/>
      <c r="I1536" s="2"/>
      <c r="J1536" s="2"/>
      <c r="K1536" s="2"/>
    </row>
    <row r="1537" spans="4:11" x14ac:dyDescent="0.2">
      <c r="D1537" s="2"/>
      <c r="E1537" s="2"/>
      <c r="F1537" s="2"/>
      <c r="G1537" s="2"/>
      <c r="H1537" s="2"/>
      <c r="I1537" s="2"/>
      <c r="J1537" s="2"/>
      <c r="K1537" s="2"/>
    </row>
    <row r="1538" spans="4:11" x14ac:dyDescent="0.2">
      <c r="D1538" s="2"/>
      <c r="E1538" s="2"/>
      <c r="F1538" s="2"/>
      <c r="G1538" s="2"/>
      <c r="H1538" s="2"/>
      <c r="I1538" s="2"/>
      <c r="J1538" s="2"/>
      <c r="K1538" s="2"/>
    </row>
    <row r="1539" spans="4:11" x14ac:dyDescent="0.2">
      <c r="D1539" s="2"/>
      <c r="E1539" s="2"/>
      <c r="F1539" s="2"/>
      <c r="G1539" s="2"/>
      <c r="H1539" s="2"/>
      <c r="I1539" s="2"/>
      <c r="J1539" s="2"/>
      <c r="K1539" s="2"/>
    </row>
    <row r="1540" spans="4:11" x14ac:dyDescent="0.2">
      <c r="D1540" s="2"/>
      <c r="E1540" s="2"/>
      <c r="F1540" s="2"/>
      <c r="G1540" s="2"/>
      <c r="H1540" s="2"/>
      <c r="I1540" s="2"/>
      <c r="J1540" s="2"/>
      <c r="K1540" s="2"/>
    </row>
    <row r="1541" spans="4:11" x14ac:dyDescent="0.2">
      <c r="D1541" s="2"/>
      <c r="E1541" s="2"/>
      <c r="F1541" s="2"/>
      <c r="G1541" s="2"/>
      <c r="H1541" s="2"/>
      <c r="I1541" s="2"/>
      <c r="J1541" s="2"/>
      <c r="K1541" s="2"/>
    </row>
    <row r="1542" spans="4:11" x14ac:dyDescent="0.2">
      <c r="D1542" s="2"/>
      <c r="E1542" s="2"/>
      <c r="F1542" s="2"/>
      <c r="G1542" s="2"/>
      <c r="H1542" s="2"/>
      <c r="I1542" s="2"/>
      <c r="J1542" s="2"/>
      <c r="K1542" s="2"/>
    </row>
    <row r="1543" spans="4:11" x14ac:dyDescent="0.2">
      <c r="D1543" s="2"/>
      <c r="E1543" s="2"/>
      <c r="F1543" s="2"/>
      <c r="G1543" s="2"/>
      <c r="H1543" s="2"/>
      <c r="I1543" s="2"/>
      <c r="J1543" s="2"/>
      <c r="K1543" s="2"/>
    </row>
    <row r="1544" spans="4:11" x14ac:dyDescent="0.2">
      <c r="D1544" s="2"/>
      <c r="E1544" s="2"/>
      <c r="F1544" s="2"/>
      <c r="G1544" s="2"/>
      <c r="H1544" s="2"/>
      <c r="I1544" s="2"/>
      <c r="J1544" s="2"/>
      <c r="K1544" s="2"/>
    </row>
    <row r="1545" spans="4:11" x14ac:dyDescent="0.2">
      <c r="D1545" s="2"/>
      <c r="E1545" s="2"/>
      <c r="F1545" s="2"/>
      <c r="G1545" s="2"/>
      <c r="H1545" s="2"/>
      <c r="I1545" s="2"/>
      <c r="J1545" s="2"/>
      <c r="K1545" s="2"/>
    </row>
    <row r="1546" spans="4:11" x14ac:dyDescent="0.2">
      <c r="D1546" s="2"/>
      <c r="E1546" s="2"/>
      <c r="F1546" s="2"/>
      <c r="G1546" s="2"/>
      <c r="H1546" s="2"/>
      <c r="I1546" s="2"/>
      <c r="J1546" s="2"/>
      <c r="K1546" s="2"/>
    </row>
    <row r="1547" spans="4:11" x14ac:dyDescent="0.2">
      <c r="D1547" s="2"/>
      <c r="E1547" s="2"/>
      <c r="F1547" s="2"/>
      <c r="G1547" s="2"/>
      <c r="H1547" s="2"/>
      <c r="I1547" s="2"/>
      <c r="J1547" s="2"/>
      <c r="K1547" s="2"/>
    </row>
    <row r="1548" spans="4:11" x14ac:dyDescent="0.2">
      <c r="D1548" s="2"/>
      <c r="E1548" s="2"/>
      <c r="F1548" s="2"/>
      <c r="G1548" s="2"/>
      <c r="H1548" s="2"/>
      <c r="I1548" s="2"/>
      <c r="J1548" s="2"/>
      <c r="K1548" s="2"/>
    </row>
    <row r="1549" spans="4:11" x14ac:dyDescent="0.2">
      <c r="D1549" s="2"/>
      <c r="E1549" s="2"/>
      <c r="F1549" s="2"/>
      <c r="G1549" s="2"/>
      <c r="H1549" s="2"/>
      <c r="I1549" s="2"/>
      <c r="J1549" s="2"/>
      <c r="K1549" s="2"/>
    </row>
    <row r="1550" spans="4:11" x14ac:dyDescent="0.2">
      <c r="D1550" s="2"/>
      <c r="E1550" s="2"/>
      <c r="F1550" s="2"/>
      <c r="G1550" s="2"/>
      <c r="H1550" s="2"/>
      <c r="I1550" s="2"/>
      <c r="J1550" s="2"/>
      <c r="K1550" s="2"/>
    </row>
    <row r="1551" spans="4:11" x14ac:dyDescent="0.2">
      <c r="D1551" s="2"/>
      <c r="E1551" s="2"/>
      <c r="F1551" s="2"/>
      <c r="G1551" s="2"/>
      <c r="H1551" s="2"/>
      <c r="I1551" s="2"/>
      <c r="J1551" s="2"/>
      <c r="K1551" s="2"/>
    </row>
    <row r="1552" spans="4:11" x14ac:dyDescent="0.2">
      <c r="D1552" s="2"/>
      <c r="E1552" s="2"/>
      <c r="F1552" s="2"/>
      <c r="G1552" s="2"/>
      <c r="H1552" s="2"/>
      <c r="I1552" s="2"/>
      <c r="J1552" s="2"/>
      <c r="K1552" s="2"/>
    </row>
    <row r="1553" spans="4:11" x14ac:dyDescent="0.2">
      <c r="D1553" s="2"/>
      <c r="E1553" s="2"/>
      <c r="F1553" s="2"/>
      <c r="G1553" s="2"/>
      <c r="H1553" s="2"/>
      <c r="I1553" s="2"/>
      <c r="J1553" s="2"/>
      <c r="K1553" s="2"/>
    </row>
    <row r="1554" spans="4:11" x14ac:dyDescent="0.2">
      <c r="D1554" s="2"/>
      <c r="E1554" s="2"/>
      <c r="F1554" s="2"/>
      <c r="G1554" s="2"/>
      <c r="H1554" s="2"/>
      <c r="I1554" s="2"/>
      <c r="J1554" s="2"/>
      <c r="K1554" s="2"/>
    </row>
    <row r="1555" spans="4:11" x14ac:dyDescent="0.2">
      <c r="D1555" s="2"/>
      <c r="E1555" s="2"/>
      <c r="F1555" s="2"/>
      <c r="G1555" s="2"/>
      <c r="H1555" s="2"/>
      <c r="I1555" s="2"/>
      <c r="J1555" s="2"/>
      <c r="K1555" s="2"/>
    </row>
    <row r="1556" spans="4:11" x14ac:dyDescent="0.2">
      <c r="D1556" s="2"/>
      <c r="E1556" s="2"/>
      <c r="F1556" s="2"/>
      <c r="G1556" s="2"/>
      <c r="H1556" s="2"/>
      <c r="I1556" s="2"/>
      <c r="J1556" s="2"/>
      <c r="K1556" s="2"/>
    </row>
    <row r="1557" spans="4:11" x14ac:dyDescent="0.2">
      <c r="D1557" s="2"/>
      <c r="E1557" s="2"/>
      <c r="F1557" s="2"/>
      <c r="G1557" s="2"/>
      <c r="H1557" s="2"/>
      <c r="I1557" s="2"/>
      <c r="J1557" s="2"/>
      <c r="K1557" s="2"/>
    </row>
    <row r="1558" spans="4:11" x14ac:dyDescent="0.2">
      <c r="D1558" s="2"/>
      <c r="E1558" s="2"/>
      <c r="F1558" s="2"/>
      <c r="G1558" s="2"/>
      <c r="H1558" s="2"/>
      <c r="I1558" s="2"/>
      <c r="J1558" s="2"/>
      <c r="K1558" s="2"/>
    </row>
    <row r="1559" spans="4:11" x14ac:dyDescent="0.2">
      <c r="D1559" s="2"/>
      <c r="E1559" s="2"/>
      <c r="F1559" s="2"/>
      <c r="G1559" s="2"/>
      <c r="H1559" s="2"/>
      <c r="I1559" s="2"/>
      <c r="J1559" s="2"/>
      <c r="K1559" s="2"/>
    </row>
    <row r="1560" spans="4:11" x14ac:dyDescent="0.2">
      <c r="D1560" s="2"/>
      <c r="E1560" s="2"/>
      <c r="F1560" s="2"/>
      <c r="G1560" s="2"/>
      <c r="H1560" s="2"/>
      <c r="I1560" s="2"/>
      <c r="J1560" s="2"/>
      <c r="K1560" s="2"/>
    </row>
    <row r="1561" spans="4:11" x14ac:dyDescent="0.2">
      <c r="D1561" s="2"/>
      <c r="E1561" s="2"/>
      <c r="F1561" s="2"/>
      <c r="G1561" s="2"/>
      <c r="H1561" s="2"/>
      <c r="I1561" s="2"/>
      <c r="J1561" s="2"/>
      <c r="K1561" s="2"/>
    </row>
    <row r="1562" spans="4:11" x14ac:dyDescent="0.2">
      <c r="D1562" s="2"/>
      <c r="E1562" s="2"/>
      <c r="F1562" s="2"/>
      <c r="G1562" s="2"/>
      <c r="H1562" s="2"/>
      <c r="I1562" s="2"/>
      <c r="J1562" s="2"/>
      <c r="K1562" s="2"/>
    </row>
    <row r="1563" spans="4:11" x14ac:dyDescent="0.2">
      <c r="D1563" s="2"/>
      <c r="E1563" s="2"/>
      <c r="F1563" s="2"/>
      <c r="G1563" s="2"/>
      <c r="H1563" s="2"/>
      <c r="I1563" s="2"/>
      <c r="J1563" s="2"/>
      <c r="K1563" s="2"/>
    </row>
    <row r="1564" spans="4:11" x14ac:dyDescent="0.2">
      <c r="D1564" s="2"/>
      <c r="E1564" s="2"/>
      <c r="F1564" s="2"/>
      <c r="G1564" s="2"/>
      <c r="H1564" s="2"/>
      <c r="I1564" s="2"/>
      <c r="J1564" s="2"/>
      <c r="K1564" s="2"/>
    </row>
    <row r="1565" spans="4:11" x14ac:dyDescent="0.2">
      <c r="D1565" s="2"/>
      <c r="E1565" s="2"/>
      <c r="F1565" s="2"/>
      <c r="G1565" s="2"/>
      <c r="H1565" s="2"/>
      <c r="I1565" s="2"/>
      <c r="J1565" s="2"/>
      <c r="K1565" s="2"/>
    </row>
    <row r="1566" spans="4:11" x14ac:dyDescent="0.2">
      <c r="D1566" s="2"/>
      <c r="E1566" s="2"/>
      <c r="F1566" s="2"/>
      <c r="G1566" s="2"/>
      <c r="H1566" s="2"/>
      <c r="I1566" s="2"/>
      <c r="J1566" s="2"/>
      <c r="K1566" s="2"/>
    </row>
    <row r="1567" spans="4:11" x14ac:dyDescent="0.2">
      <c r="D1567" s="2"/>
      <c r="E1567" s="2"/>
      <c r="F1567" s="2"/>
      <c r="G1567" s="2"/>
      <c r="H1567" s="2"/>
      <c r="I1567" s="2"/>
      <c r="J1567" s="2"/>
      <c r="K1567" s="2"/>
    </row>
    <row r="1568" spans="4:11" x14ac:dyDescent="0.2">
      <c r="D1568" s="2"/>
      <c r="E1568" s="2"/>
      <c r="F1568" s="2"/>
      <c r="G1568" s="2"/>
      <c r="H1568" s="2"/>
      <c r="I1568" s="2"/>
      <c r="J1568" s="2"/>
      <c r="K1568" s="2"/>
    </row>
    <row r="1569" spans="4:11" x14ac:dyDescent="0.2">
      <c r="D1569" s="2"/>
      <c r="E1569" s="2"/>
      <c r="F1569" s="2"/>
      <c r="G1569" s="2"/>
      <c r="H1569" s="2"/>
      <c r="I1569" s="2"/>
      <c r="J1569" s="2"/>
      <c r="K1569" s="2"/>
    </row>
    <row r="1570" spans="4:11" x14ac:dyDescent="0.2">
      <c r="D1570" s="2"/>
      <c r="E1570" s="2"/>
      <c r="F1570" s="2"/>
      <c r="G1570" s="2"/>
      <c r="H1570" s="2"/>
      <c r="I1570" s="2"/>
      <c r="J1570" s="2"/>
      <c r="K1570" s="2"/>
    </row>
    <row r="1571" spans="4:11" x14ac:dyDescent="0.2">
      <c r="D1571" s="2"/>
      <c r="E1571" s="2"/>
      <c r="F1571" s="2"/>
      <c r="G1571" s="2"/>
      <c r="H1571" s="2"/>
      <c r="I1571" s="2"/>
      <c r="J1571" s="2"/>
      <c r="K1571" s="2"/>
    </row>
    <row r="1572" spans="4:11" x14ac:dyDescent="0.2">
      <c r="D1572" s="2"/>
      <c r="E1572" s="2"/>
      <c r="F1572" s="2"/>
      <c r="G1572" s="2"/>
      <c r="H1572" s="2"/>
      <c r="I1572" s="2"/>
      <c r="J1572" s="2"/>
      <c r="K1572" s="2"/>
    </row>
    <row r="1573" spans="4:11" x14ac:dyDescent="0.2">
      <c r="D1573" s="2"/>
      <c r="E1573" s="2"/>
      <c r="F1573" s="2"/>
      <c r="G1573" s="2"/>
      <c r="H1573" s="2"/>
      <c r="I1573" s="2"/>
      <c r="J1573" s="2"/>
      <c r="K1573" s="2"/>
    </row>
    <row r="1574" spans="4:11" x14ac:dyDescent="0.2">
      <c r="D1574" s="2"/>
      <c r="E1574" s="2"/>
      <c r="F1574" s="2"/>
      <c r="G1574" s="2"/>
      <c r="H1574" s="2"/>
      <c r="I1574" s="2"/>
      <c r="J1574" s="2"/>
      <c r="K1574" s="2"/>
    </row>
    <row r="1575" spans="4:11" x14ac:dyDescent="0.2">
      <c r="D1575" s="2"/>
      <c r="E1575" s="2"/>
      <c r="F1575" s="2"/>
      <c r="G1575" s="2"/>
      <c r="H1575" s="2"/>
      <c r="I1575" s="2"/>
      <c r="J1575" s="2"/>
      <c r="K1575" s="2"/>
    </row>
    <row r="1576" spans="4:11" x14ac:dyDescent="0.2">
      <c r="D1576" s="2"/>
      <c r="E1576" s="2"/>
      <c r="F1576" s="2"/>
      <c r="G1576" s="2"/>
      <c r="H1576" s="2"/>
      <c r="I1576" s="2"/>
      <c r="J1576" s="2"/>
      <c r="K1576" s="2"/>
    </row>
    <row r="1577" spans="4:11" x14ac:dyDescent="0.2">
      <c r="D1577" s="2"/>
      <c r="E1577" s="2"/>
      <c r="F1577" s="2"/>
      <c r="G1577" s="2"/>
      <c r="H1577" s="2"/>
      <c r="I1577" s="2"/>
      <c r="J1577" s="2"/>
      <c r="K1577" s="2"/>
    </row>
    <row r="1578" spans="4:11" x14ac:dyDescent="0.2">
      <c r="D1578" s="2"/>
      <c r="E1578" s="2"/>
      <c r="F1578" s="2"/>
      <c r="G1578" s="2"/>
      <c r="H1578" s="2"/>
      <c r="I1578" s="2"/>
      <c r="J1578" s="2"/>
      <c r="K1578" s="2"/>
    </row>
    <row r="1579" spans="4:11" x14ac:dyDescent="0.2">
      <c r="D1579" s="2"/>
      <c r="E1579" s="2"/>
      <c r="F1579" s="2"/>
      <c r="G1579" s="2"/>
      <c r="H1579" s="2"/>
      <c r="I1579" s="2"/>
      <c r="J1579" s="2"/>
      <c r="K1579" s="2"/>
    </row>
    <row r="1580" spans="4:11" x14ac:dyDescent="0.2">
      <c r="D1580" s="2"/>
      <c r="E1580" s="2"/>
      <c r="F1580" s="2"/>
      <c r="G1580" s="2"/>
      <c r="H1580" s="2"/>
      <c r="I1580" s="2"/>
      <c r="J1580" s="2"/>
      <c r="K1580" s="2"/>
    </row>
    <row r="1581" spans="4:11" x14ac:dyDescent="0.2">
      <c r="D1581" s="2"/>
      <c r="E1581" s="2"/>
      <c r="F1581" s="2"/>
      <c r="G1581" s="2"/>
      <c r="H1581" s="2"/>
      <c r="I1581" s="2"/>
      <c r="J1581" s="2"/>
      <c r="K1581" s="2"/>
    </row>
    <row r="1582" spans="4:11" x14ac:dyDescent="0.2">
      <c r="D1582" s="2"/>
      <c r="E1582" s="2"/>
      <c r="F1582" s="2"/>
      <c r="G1582" s="2"/>
      <c r="H1582" s="2"/>
      <c r="I1582" s="2"/>
      <c r="J1582" s="2"/>
      <c r="K1582" s="2"/>
    </row>
    <row r="1583" spans="4:11" x14ac:dyDescent="0.2">
      <c r="D1583" s="2"/>
      <c r="E1583" s="2"/>
      <c r="F1583" s="2"/>
      <c r="G1583" s="2"/>
      <c r="H1583" s="2"/>
      <c r="I1583" s="2"/>
      <c r="J1583" s="2"/>
      <c r="K1583" s="2"/>
    </row>
    <row r="1584" spans="4:11" x14ac:dyDescent="0.2">
      <c r="D1584" s="2"/>
      <c r="E1584" s="2"/>
      <c r="F1584" s="2"/>
      <c r="G1584" s="2"/>
      <c r="H1584" s="2"/>
      <c r="I1584" s="2"/>
      <c r="J1584" s="2"/>
      <c r="K1584" s="2"/>
    </row>
    <row r="1585" spans="4:11" x14ac:dyDescent="0.2">
      <c r="D1585" s="2"/>
      <c r="E1585" s="2"/>
      <c r="F1585" s="2"/>
      <c r="G1585" s="2"/>
      <c r="H1585" s="2"/>
      <c r="I1585" s="2"/>
      <c r="J1585" s="2"/>
      <c r="K1585" s="2"/>
    </row>
    <row r="1586" spans="4:11" x14ac:dyDescent="0.2">
      <c r="D1586" s="2"/>
      <c r="E1586" s="2"/>
      <c r="F1586" s="2"/>
      <c r="G1586" s="2"/>
      <c r="H1586" s="2"/>
      <c r="I1586" s="2"/>
      <c r="J1586" s="2"/>
      <c r="K1586" s="2"/>
    </row>
    <row r="1587" spans="4:11" x14ac:dyDescent="0.2">
      <c r="D1587" s="2"/>
      <c r="E1587" s="2"/>
      <c r="F1587" s="2"/>
      <c r="G1587" s="2"/>
      <c r="H1587" s="2"/>
      <c r="I1587" s="2"/>
      <c r="J1587" s="2"/>
      <c r="K1587" s="2"/>
    </row>
    <row r="1588" spans="4:11" x14ac:dyDescent="0.2">
      <c r="D1588" s="2"/>
      <c r="E1588" s="2"/>
      <c r="F1588" s="2"/>
      <c r="G1588" s="2"/>
      <c r="H1588" s="2"/>
      <c r="I1588" s="2"/>
      <c r="J1588" s="2"/>
      <c r="K1588" s="2"/>
    </row>
    <row r="1589" spans="4:11" x14ac:dyDescent="0.2">
      <c r="D1589" s="2"/>
      <c r="E1589" s="2"/>
      <c r="F1589" s="2"/>
      <c r="G1589" s="2"/>
      <c r="H1589" s="2"/>
      <c r="I1589" s="2"/>
      <c r="J1589" s="2"/>
      <c r="K1589" s="2"/>
    </row>
    <row r="1590" spans="4:11" x14ac:dyDescent="0.2">
      <c r="D1590" s="2"/>
      <c r="E1590" s="2"/>
      <c r="F1590" s="2"/>
      <c r="G1590" s="2"/>
      <c r="H1590" s="2"/>
      <c r="I1590" s="2"/>
      <c r="J1590" s="2"/>
      <c r="K1590" s="2"/>
    </row>
    <row r="1591" spans="4:11" x14ac:dyDescent="0.2">
      <c r="D1591" s="2"/>
      <c r="E1591" s="2"/>
      <c r="F1591" s="2"/>
      <c r="G1591" s="2"/>
      <c r="H1591" s="2"/>
      <c r="I1591" s="2"/>
      <c r="J1591" s="2"/>
      <c r="K1591" s="2"/>
    </row>
    <row r="1592" spans="4:11" x14ac:dyDescent="0.2">
      <c r="D1592" s="2"/>
      <c r="E1592" s="2"/>
      <c r="F1592" s="2"/>
      <c r="G1592" s="2"/>
      <c r="H1592" s="2"/>
      <c r="I1592" s="2"/>
      <c r="J1592" s="2"/>
      <c r="K1592" s="2"/>
    </row>
    <row r="1593" spans="4:11" x14ac:dyDescent="0.2">
      <c r="D1593" s="2"/>
      <c r="E1593" s="2"/>
      <c r="F1593" s="2"/>
      <c r="G1593" s="2"/>
      <c r="H1593" s="2"/>
      <c r="I1593" s="2"/>
      <c r="J1593" s="2"/>
      <c r="K1593" s="2"/>
    </row>
    <row r="1594" spans="4:11" x14ac:dyDescent="0.2">
      <c r="D1594" s="2"/>
      <c r="E1594" s="2"/>
      <c r="F1594" s="2"/>
      <c r="G1594" s="2"/>
      <c r="H1594" s="2"/>
      <c r="I1594" s="2"/>
      <c r="J1594" s="2"/>
      <c r="K1594" s="2"/>
    </row>
    <row r="1595" spans="4:11" x14ac:dyDescent="0.2">
      <c r="D1595" s="2"/>
      <c r="E1595" s="2"/>
      <c r="F1595" s="2"/>
      <c r="G1595" s="2"/>
      <c r="H1595" s="2"/>
      <c r="I1595" s="2"/>
      <c r="J1595" s="2"/>
      <c r="K1595" s="2"/>
    </row>
    <row r="1596" spans="4:11" x14ac:dyDescent="0.2">
      <c r="D1596" s="2"/>
      <c r="E1596" s="2"/>
      <c r="F1596" s="2"/>
      <c r="G1596" s="2"/>
      <c r="H1596" s="2"/>
      <c r="I1596" s="2"/>
      <c r="J1596" s="2"/>
      <c r="K1596" s="2"/>
    </row>
    <row r="1597" spans="4:11" x14ac:dyDescent="0.2">
      <c r="D1597" s="2"/>
      <c r="E1597" s="2"/>
      <c r="F1597" s="2"/>
      <c r="G1597" s="2"/>
      <c r="H1597" s="2"/>
      <c r="I1597" s="2"/>
      <c r="J1597" s="2"/>
      <c r="K1597" s="2"/>
    </row>
    <row r="1598" spans="4:11" x14ac:dyDescent="0.2">
      <c r="D1598" s="2"/>
      <c r="E1598" s="2"/>
      <c r="F1598" s="2"/>
      <c r="G1598" s="2"/>
      <c r="H1598" s="2"/>
      <c r="I1598" s="2"/>
      <c r="J1598" s="2"/>
      <c r="K1598" s="2"/>
    </row>
    <row r="1599" spans="4:11" x14ac:dyDescent="0.2">
      <c r="D1599" s="2"/>
      <c r="E1599" s="2"/>
      <c r="F1599" s="2"/>
      <c r="G1599" s="2"/>
      <c r="H1599" s="2"/>
      <c r="I1599" s="2"/>
      <c r="J1599" s="2"/>
      <c r="K1599" s="2"/>
    </row>
    <row r="1600" spans="4:11" x14ac:dyDescent="0.2">
      <c r="D1600" s="2"/>
      <c r="E1600" s="2"/>
      <c r="F1600" s="2"/>
      <c r="G1600" s="2"/>
      <c r="H1600" s="2"/>
      <c r="I1600" s="2"/>
      <c r="J1600" s="2"/>
      <c r="K1600" s="2"/>
    </row>
    <row r="1601" spans="4:11" x14ac:dyDescent="0.2">
      <c r="D1601" s="2"/>
      <c r="E1601" s="2"/>
      <c r="F1601" s="2"/>
      <c r="G1601" s="2"/>
      <c r="H1601" s="2"/>
      <c r="I1601" s="2"/>
      <c r="J1601" s="2"/>
      <c r="K1601" s="2"/>
    </row>
    <row r="1602" spans="4:11" x14ac:dyDescent="0.2">
      <c r="D1602" s="2"/>
      <c r="E1602" s="2"/>
      <c r="F1602" s="2"/>
      <c r="G1602" s="2"/>
      <c r="H1602" s="2"/>
      <c r="I1602" s="2"/>
      <c r="J1602" s="2"/>
      <c r="K1602" s="2"/>
    </row>
    <row r="1603" spans="4:11" x14ac:dyDescent="0.2">
      <c r="D1603" s="2"/>
      <c r="E1603" s="2"/>
      <c r="F1603" s="2"/>
      <c r="G1603" s="2"/>
      <c r="H1603" s="2"/>
      <c r="I1603" s="2"/>
      <c r="J1603" s="2"/>
      <c r="K1603" s="2"/>
    </row>
    <row r="1604" spans="4:11" x14ac:dyDescent="0.2">
      <c r="D1604" s="2"/>
      <c r="E1604" s="2"/>
      <c r="F1604" s="2"/>
      <c r="G1604" s="2"/>
      <c r="H1604" s="2"/>
      <c r="I1604" s="2"/>
      <c r="J1604" s="2"/>
      <c r="K1604" s="2"/>
    </row>
    <row r="1605" spans="4:11" x14ac:dyDescent="0.2">
      <c r="D1605" s="2"/>
      <c r="E1605" s="2"/>
      <c r="F1605" s="2"/>
      <c r="G1605" s="2"/>
      <c r="H1605" s="2"/>
      <c r="I1605" s="2"/>
      <c r="J1605" s="2"/>
      <c r="K1605" s="2"/>
    </row>
    <row r="1606" spans="4:11" x14ac:dyDescent="0.2">
      <c r="D1606" s="2"/>
      <c r="E1606" s="2"/>
      <c r="F1606" s="2"/>
      <c r="G1606" s="2"/>
      <c r="H1606" s="2"/>
      <c r="I1606" s="2"/>
      <c r="J1606" s="2"/>
      <c r="K1606" s="2"/>
    </row>
    <row r="1607" spans="4:11" x14ac:dyDescent="0.2">
      <c r="D1607" s="2"/>
      <c r="E1607" s="2"/>
      <c r="F1607" s="2"/>
      <c r="G1607" s="2"/>
      <c r="H1607" s="2"/>
      <c r="I1607" s="2"/>
      <c r="J1607" s="2"/>
      <c r="K1607" s="2"/>
    </row>
    <row r="1608" spans="4:11" x14ac:dyDescent="0.2">
      <c r="D1608" s="2"/>
      <c r="E1608" s="2"/>
      <c r="F1608" s="2"/>
      <c r="G1608" s="2"/>
      <c r="H1608" s="2"/>
      <c r="I1608" s="2"/>
      <c r="J1608" s="2"/>
      <c r="K1608" s="2"/>
    </row>
    <row r="1609" spans="4:11" x14ac:dyDescent="0.2">
      <c r="D1609" s="2"/>
      <c r="E1609" s="2"/>
      <c r="F1609" s="2"/>
      <c r="G1609" s="2"/>
      <c r="H1609" s="2"/>
      <c r="I1609" s="2"/>
      <c r="J1609" s="2"/>
      <c r="K1609" s="2"/>
    </row>
    <row r="1610" spans="4:11" x14ac:dyDescent="0.2">
      <c r="D1610" s="2"/>
      <c r="E1610" s="2"/>
      <c r="F1610" s="2"/>
      <c r="G1610" s="2"/>
      <c r="H1610" s="2"/>
      <c r="I1610" s="2"/>
      <c r="J1610" s="2"/>
      <c r="K1610" s="2"/>
    </row>
    <row r="1611" spans="4:11" x14ac:dyDescent="0.2">
      <c r="D1611" s="2"/>
      <c r="E1611" s="2"/>
      <c r="F1611" s="2"/>
      <c r="G1611" s="2"/>
      <c r="H1611" s="2"/>
      <c r="I1611" s="2"/>
      <c r="J1611" s="2"/>
      <c r="K1611" s="2"/>
    </row>
    <row r="1612" spans="4:11" x14ac:dyDescent="0.2">
      <c r="D1612" s="2"/>
      <c r="E1612" s="2"/>
      <c r="F1612" s="2"/>
      <c r="G1612" s="2"/>
      <c r="H1612" s="2"/>
      <c r="I1612" s="2"/>
      <c r="J1612" s="2"/>
      <c r="K1612" s="2"/>
    </row>
    <row r="1613" spans="4:11" x14ac:dyDescent="0.2">
      <c r="D1613" s="2"/>
      <c r="E1613" s="2"/>
      <c r="F1613" s="2"/>
      <c r="G1613" s="2"/>
      <c r="H1613" s="2"/>
      <c r="I1613" s="2"/>
      <c r="J1613" s="2"/>
      <c r="K1613" s="2"/>
    </row>
    <row r="1614" spans="4:11" x14ac:dyDescent="0.2">
      <c r="D1614" s="2"/>
      <c r="E1614" s="2"/>
      <c r="F1614" s="2"/>
      <c r="G1614" s="2"/>
      <c r="H1614" s="2"/>
      <c r="I1614" s="2"/>
      <c r="J1614" s="2"/>
      <c r="K1614" s="2"/>
    </row>
    <row r="1615" spans="4:11" x14ac:dyDescent="0.2">
      <c r="D1615" s="2"/>
      <c r="E1615" s="2"/>
      <c r="F1615" s="2"/>
      <c r="G1615" s="2"/>
      <c r="H1615" s="2"/>
      <c r="I1615" s="2"/>
      <c r="J1615" s="2"/>
      <c r="K1615" s="2"/>
    </row>
    <row r="1616" spans="4:11" x14ac:dyDescent="0.2">
      <c r="D1616" s="2"/>
      <c r="E1616" s="2"/>
      <c r="F1616" s="2"/>
      <c r="G1616" s="2"/>
      <c r="H1616" s="2"/>
      <c r="I1616" s="2"/>
      <c r="J1616" s="2"/>
      <c r="K1616" s="2"/>
    </row>
    <row r="1617" spans="4:11" x14ac:dyDescent="0.2">
      <c r="D1617" s="2"/>
      <c r="E1617" s="2"/>
      <c r="F1617" s="2"/>
      <c r="G1617" s="2"/>
      <c r="H1617" s="2"/>
      <c r="I1617" s="2"/>
      <c r="J1617" s="2"/>
      <c r="K1617" s="2"/>
    </row>
    <row r="1618" spans="4:11" x14ac:dyDescent="0.2">
      <c r="D1618" s="2"/>
      <c r="E1618" s="2"/>
      <c r="F1618" s="2"/>
      <c r="G1618" s="2"/>
      <c r="H1618" s="2"/>
      <c r="I1618" s="2"/>
      <c r="J1618" s="2"/>
      <c r="K1618" s="2"/>
    </row>
    <row r="1619" spans="4:11" x14ac:dyDescent="0.2">
      <c r="D1619" s="2"/>
      <c r="E1619" s="2"/>
      <c r="F1619" s="2"/>
      <c r="G1619" s="2"/>
      <c r="H1619" s="2"/>
      <c r="I1619" s="2"/>
      <c r="J1619" s="2"/>
      <c r="K1619" s="2"/>
    </row>
    <row r="1620" spans="4:11" x14ac:dyDescent="0.2">
      <c r="D1620" s="2"/>
      <c r="E1620" s="2"/>
      <c r="F1620" s="2"/>
      <c r="G1620" s="2"/>
      <c r="H1620" s="2"/>
      <c r="I1620" s="2"/>
      <c r="J1620" s="2"/>
      <c r="K1620" s="2"/>
    </row>
    <row r="1621" spans="4:11" x14ac:dyDescent="0.2">
      <c r="D1621" s="2"/>
      <c r="E1621" s="2"/>
      <c r="F1621" s="2"/>
      <c r="G1621" s="2"/>
      <c r="H1621" s="2"/>
      <c r="I1621" s="2"/>
      <c r="J1621" s="2"/>
      <c r="K1621" s="2"/>
    </row>
    <row r="1622" spans="4:11" x14ac:dyDescent="0.2">
      <c r="D1622" s="2"/>
      <c r="E1622" s="2"/>
      <c r="F1622" s="2"/>
      <c r="G1622" s="2"/>
      <c r="H1622" s="2"/>
      <c r="I1622" s="2"/>
      <c r="J1622" s="2"/>
      <c r="K1622" s="2"/>
    </row>
    <row r="1623" spans="4:11" x14ac:dyDescent="0.2">
      <c r="D1623" s="2"/>
      <c r="E1623" s="2"/>
      <c r="F1623" s="2"/>
      <c r="G1623" s="2"/>
      <c r="H1623" s="2"/>
      <c r="I1623" s="2"/>
      <c r="J1623" s="2"/>
      <c r="K1623" s="2"/>
    </row>
    <row r="1624" spans="4:11" x14ac:dyDescent="0.2">
      <c r="D1624" s="2"/>
      <c r="E1624" s="2"/>
      <c r="F1624" s="2"/>
      <c r="G1624" s="2"/>
      <c r="H1624" s="2"/>
      <c r="I1624" s="2"/>
      <c r="J1624" s="2"/>
      <c r="K1624" s="2"/>
    </row>
    <row r="1625" spans="4:11" x14ac:dyDescent="0.2">
      <c r="D1625" s="2"/>
      <c r="E1625" s="2"/>
      <c r="F1625" s="2"/>
      <c r="G1625" s="2"/>
      <c r="H1625" s="2"/>
      <c r="I1625" s="2"/>
      <c r="J1625" s="2"/>
      <c r="K1625" s="2"/>
    </row>
    <row r="1626" spans="4:11" x14ac:dyDescent="0.2">
      <c r="D1626" s="2"/>
      <c r="E1626" s="2"/>
      <c r="F1626" s="2"/>
      <c r="G1626" s="2"/>
      <c r="H1626" s="2"/>
      <c r="I1626" s="2"/>
      <c r="J1626" s="2"/>
      <c r="K1626" s="2"/>
    </row>
    <row r="1627" spans="4:11" x14ac:dyDescent="0.2">
      <c r="D1627" s="2"/>
      <c r="E1627" s="2"/>
      <c r="F1627" s="2"/>
      <c r="G1627" s="2"/>
      <c r="H1627" s="2"/>
      <c r="I1627" s="2"/>
      <c r="J1627" s="2"/>
      <c r="K1627" s="2"/>
    </row>
    <row r="1628" spans="4:11" x14ac:dyDescent="0.2">
      <c r="D1628" s="2"/>
      <c r="E1628" s="2"/>
      <c r="F1628" s="2"/>
      <c r="G1628" s="2"/>
      <c r="H1628" s="2"/>
      <c r="I1628" s="2"/>
      <c r="J1628" s="2"/>
      <c r="K1628" s="2"/>
    </row>
    <row r="1629" spans="4:11" x14ac:dyDescent="0.2">
      <c r="D1629" s="2"/>
      <c r="E1629" s="2"/>
      <c r="F1629" s="2"/>
      <c r="G1629" s="2"/>
      <c r="H1629" s="2"/>
      <c r="I1629" s="2"/>
      <c r="J1629" s="2"/>
      <c r="K1629" s="2"/>
    </row>
    <row r="1630" spans="4:11" x14ac:dyDescent="0.2">
      <c r="D1630" s="2"/>
      <c r="E1630" s="2"/>
      <c r="F1630" s="2"/>
      <c r="G1630" s="2"/>
      <c r="H1630" s="2"/>
      <c r="I1630" s="2"/>
      <c r="J1630" s="2"/>
      <c r="K1630" s="2"/>
    </row>
    <row r="1631" spans="4:11" x14ac:dyDescent="0.2">
      <c r="D1631" s="2"/>
      <c r="E1631" s="2"/>
      <c r="F1631" s="2"/>
      <c r="G1631" s="2"/>
      <c r="H1631" s="2"/>
      <c r="I1631" s="2"/>
      <c r="J1631" s="2"/>
      <c r="K1631" s="2"/>
    </row>
    <row r="1632" spans="4:11" x14ac:dyDescent="0.2">
      <c r="D1632" s="2"/>
      <c r="E1632" s="2"/>
      <c r="F1632" s="2"/>
      <c r="G1632" s="2"/>
      <c r="H1632" s="2"/>
      <c r="I1632" s="2"/>
      <c r="J1632" s="2"/>
      <c r="K1632" s="2"/>
    </row>
    <row r="1633" spans="4:11" x14ac:dyDescent="0.2">
      <c r="D1633" s="2"/>
      <c r="E1633" s="2"/>
      <c r="F1633" s="2"/>
      <c r="G1633" s="2"/>
      <c r="H1633" s="2"/>
      <c r="I1633" s="2"/>
      <c r="J1633" s="2"/>
      <c r="K1633" s="2"/>
    </row>
    <row r="1634" spans="4:11" x14ac:dyDescent="0.2">
      <c r="D1634" s="2"/>
      <c r="E1634" s="2"/>
      <c r="F1634" s="2"/>
      <c r="G1634" s="2"/>
      <c r="H1634" s="2"/>
      <c r="I1634" s="2"/>
      <c r="J1634" s="2"/>
      <c r="K1634" s="2"/>
    </row>
    <row r="1635" spans="4:11" x14ac:dyDescent="0.2">
      <c r="D1635" s="2"/>
      <c r="E1635" s="2"/>
      <c r="F1635" s="2"/>
      <c r="G1635" s="2"/>
      <c r="H1635" s="2"/>
      <c r="I1635" s="2"/>
      <c r="J1635" s="2"/>
      <c r="K1635" s="2"/>
    </row>
    <row r="1636" spans="4:11" x14ac:dyDescent="0.2">
      <c r="D1636" s="2"/>
      <c r="E1636" s="2"/>
      <c r="F1636" s="2"/>
      <c r="G1636" s="2"/>
      <c r="H1636" s="2"/>
      <c r="I1636" s="2"/>
      <c r="J1636" s="2"/>
      <c r="K1636" s="2"/>
    </row>
    <row r="1637" spans="4:11" x14ac:dyDescent="0.2">
      <c r="D1637" s="2"/>
      <c r="E1637" s="2"/>
      <c r="F1637" s="2"/>
      <c r="G1637" s="2"/>
      <c r="H1637" s="2"/>
      <c r="I1637" s="2"/>
      <c r="J1637" s="2"/>
      <c r="K1637" s="2"/>
    </row>
    <row r="1638" spans="4:11" x14ac:dyDescent="0.2">
      <c r="D1638" s="2"/>
      <c r="E1638" s="2"/>
      <c r="F1638" s="2"/>
      <c r="G1638" s="2"/>
      <c r="H1638" s="2"/>
      <c r="I1638" s="2"/>
      <c r="J1638" s="2"/>
      <c r="K1638" s="2"/>
    </row>
    <row r="1639" spans="4:11" x14ac:dyDescent="0.2">
      <c r="D1639" s="2"/>
      <c r="E1639" s="2"/>
      <c r="F1639" s="2"/>
      <c r="G1639" s="2"/>
      <c r="H1639" s="2"/>
      <c r="I1639" s="2"/>
      <c r="J1639" s="2"/>
      <c r="K1639" s="2"/>
    </row>
    <row r="1640" spans="4:11" x14ac:dyDescent="0.2">
      <c r="D1640" s="2"/>
      <c r="E1640" s="2"/>
      <c r="F1640" s="2"/>
      <c r="G1640" s="2"/>
      <c r="H1640" s="2"/>
      <c r="I1640" s="2"/>
      <c r="J1640" s="2"/>
      <c r="K1640" s="2"/>
    </row>
    <row r="1641" spans="4:11" x14ac:dyDescent="0.2">
      <c r="D1641" s="2"/>
      <c r="E1641" s="2"/>
      <c r="F1641" s="2"/>
      <c r="G1641" s="2"/>
      <c r="H1641" s="2"/>
      <c r="I1641" s="2"/>
      <c r="J1641" s="2"/>
      <c r="K1641" s="2"/>
    </row>
    <row r="1642" spans="4:11" x14ac:dyDescent="0.2">
      <c r="D1642" s="2"/>
      <c r="E1642" s="2"/>
      <c r="F1642" s="2"/>
      <c r="G1642" s="2"/>
      <c r="H1642" s="2"/>
      <c r="I1642" s="2"/>
      <c r="J1642" s="2"/>
      <c r="K1642" s="2"/>
    </row>
    <row r="1643" spans="4:11" x14ac:dyDescent="0.2">
      <c r="D1643" s="2"/>
      <c r="E1643" s="2"/>
      <c r="F1643" s="2"/>
      <c r="G1643" s="2"/>
      <c r="H1643" s="2"/>
      <c r="I1643" s="2"/>
      <c r="J1643" s="2"/>
      <c r="K1643" s="2"/>
    </row>
    <row r="1644" spans="4:11" x14ac:dyDescent="0.2">
      <c r="D1644" s="2"/>
      <c r="E1644" s="2"/>
      <c r="F1644" s="2"/>
      <c r="G1644" s="2"/>
      <c r="H1644" s="2"/>
      <c r="I1644" s="2"/>
      <c r="J1644" s="2"/>
      <c r="K1644" s="2"/>
    </row>
    <row r="1645" spans="4:11" x14ac:dyDescent="0.2">
      <c r="D1645" s="2"/>
      <c r="E1645" s="2"/>
      <c r="F1645" s="2"/>
      <c r="G1645" s="2"/>
      <c r="H1645" s="2"/>
      <c r="I1645" s="2"/>
      <c r="J1645" s="2"/>
      <c r="K1645" s="2"/>
    </row>
    <row r="1646" spans="4:11" x14ac:dyDescent="0.2">
      <c r="D1646" s="2"/>
      <c r="E1646" s="2"/>
      <c r="F1646" s="2"/>
      <c r="G1646" s="2"/>
      <c r="H1646" s="2"/>
      <c r="I1646" s="2"/>
      <c r="J1646" s="2"/>
      <c r="K1646" s="2"/>
    </row>
    <row r="1647" spans="4:11" x14ac:dyDescent="0.2">
      <c r="D1647" s="2"/>
      <c r="E1647" s="2"/>
      <c r="F1647" s="2"/>
      <c r="G1647" s="2"/>
      <c r="H1647" s="2"/>
      <c r="I1647" s="2"/>
      <c r="J1647" s="2"/>
      <c r="K1647" s="2"/>
    </row>
    <row r="1648" spans="4:11" x14ac:dyDescent="0.2">
      <c r="D1648" s="2"/>
      <c r="E1648" s="2"/>
      <c r="F1648" s="2"/>
      <c r="G1648" s="2"/>
      <c r="H1648" s="2"/>
      <c r="I1648" s="2"/>
      <c r="J1648" s="2"/>
      <c r="K1648" s="2"/>
    </row>
    <row r="1649" spans="4:11" x14ac:dyDescent="0.2">
      <c r="D1649" s="2"/>
      <c r="E1649" s="2"/>
      <c r="F1649" s="2"/>
      <c r="G1649" s="2"/>
      <c r="H1649" s="2"/>
      <c r="I1649" s="2"/>
      <c r="J1649" s="2"/>
      <c r="K1649" s="2"/>
    </row>
    <row r="1650" spans="4:11" x14ac:dyDescent="0.2">
      <c r="D1650" s="2"/>
      <c r="E1650" s="2"/>
      <c r="F1650" s="2"/>
      <c r="G1650" s="2"/>
      <c r="H1650" s="2"/>
      <c r="I1650" s="2"/>
      <c r="J1650" s="2"/>
      <c r="K1650" s="2"/>
    </row>
    <row r="1651" spans="4:11" x14ac:dyDescent="0.2">
      <c r="D1651" s="2"/>
      <c r="E1651" s="2"/>
      <c r="F1651" s="2"/>
      <c r="G1651" s="2"/>
      <c r="H1651" s="2"/>
      <c r="I1651" s="2"/>
      <c r="J1651" s="2"/>
      <c r="K1651" s="2"/>
    </row>
    <row r="1652" spans="4:11" x14ac:dyDescent="0.2">
      <c r="D1652" s="2"/>
      <c r="E1652" s="2"/>
      <c r="F1652" s="2"/>
      <c r="G1652" s="2"/>
      <c r="H1652" s="2"/>
      <c r="I1652" s="2"/>
      <c r="J1652" s="2"/>
      <c r="K1652" s="2"/>
    </row>
    <row r="1653" spans="4:11" x14ac:dyDescent="0.2">
      <c r="D1653" s="2"/>
      <c r="E1653" s="2"/>
      <c r="F1653" s="2"/>
      <c r="G1653" s="2"/>
      <c r="H1653" s="2"/>
      <c r="I1653" s="2"/>
      <c r="J1653" s="2"/>
      <c r="K1653" s="2"/>
    </row>
    <row r="1654" spans="4:11" x14ac:dyDescent="0.2">
      <c r="D1654" s="2"/>
      <c r="E1654" s="2"/>
      <c r="F1654" s="2"/>
      <c r="G1654" s="2"/>
      <c r="H1654" s="2"/>
      <c r="I1654" s="2"/>
      <c r="J1654" s="2"/>
      <c r="K1654" s="2"/>
    </row>
    <row r="1655" spans="4:11" x14ac:dyDescent="0.2">
      <c r="D1655" s="2"/>
      <c r="E1655" s="2"/>
      <c r="F1655" s="2"/>
      <c r="G1655" s="2"/>
      <c r="H1655" s="2"/>
      <c r="I1655" s="2"/>
      <c r="J1655" s="2"/>
      <c r="K1655" s="2"/>
    </row>
    <row r="1656" spans="4:11" x14ac:dyDescent="0.2">
      <c r="D1656" s="2"/>
      <c r="E1656" s="2"/>
      <c r="F1656" s="2"/>
      <c r="G1656" s="2"/>
      <c r="H1656" s="2"/>
      <c r="I1656" s="2"/>
      <c r="J1656" s="2"/>
      <c r="K1656" s="2"/>
    </row>
    <row r="1657" spans="4:11" x14ac:dyDescent="0.2">
      <c r="D1657" s="2"/>
      <c r="E1657" s="2"/>
      <c r="F1657" s="2"/>
      <c r="G1657" s="2"/>
      <c r="H1657" s="2"/>
      <c r="I1657" s="2"/>
      <c r="J1657" s="2"/>
      <c r="K1657" s="2"/>
    </row>
    <row r="1658" spans="4:11" x14ac:dyDescent="0.2">
      <c r="D1658" s="2"/>
      <c r="E1658" s="2"/>
      <c r="F1658" s="2"/>
      <c r="G1658" s="2"/>
      <c r="H1658" s="2"/>
      <c r="I1658" s="2"/>
      <c r="J1658" s="2"/>
      <c r="K1658" s="2"/>
    </row>
    <row r="1659" spans="4:11" x14ac:dyDescent="0.2">
      <c r="D1659" s="2"/>
      <c r="E1659" s="2"/>
      <c r="F1659" s="2"/>
      <c r="G1659" s="2"/>
      <c r="H1659" s="2"/>
      <c r="I1659" s="2"/>
      <c r="J1659" s="2"/>
      <c r="K1659" s="2"/>
    </row>
    <row r="1660" spans="4:11" x14ac:dyDescent="0.2">
      <c r="D1660" s="2"/>
      <c r="E1660" s="2"/>
      <c r="F1660" s="2"/>
      <c r="G1660" s="2"/>
      <c r="H1660" s="2"/>
      <c r="I1660" s="2"/>
      <c r="J1660" s="2"/>
      <c r="K1660" s="2"/>
    </row>
    <row r="1661" spans="4:11" x14ac:dyDescent="0.2">
      <c r="D1661" s="2"/>
      <c r="E1661" s="2"/>
      <c r="F1661" s="2"/>
      <c r="G1661" s="2"/>
      <c r="H1661" s="2"/>
      <c r="I1661" s="2"/>
      <c r="J1661" s="2"/>
      <c r="K1661" s="2"/>
    </row>
    <row r="1662" spans="4:11" x14ac:dyDescent="0.2">
      <c r="D1662" s="2"/>
      <c r="E1662" s="2"/>
      <c r="F1662" s="2"/>
      <c r="G1662" s="2"/>
      <c r="H1662" s="2"/>
      <c r="I1662" s="2"/>
      <c r="J1662" s="2"/>
      <c r="K1662" s="2"/>
    </row>
    <row r="1663" spans="4:11" x14ac:dyDescent="0.2">
      <c r="D1663" s="2"/>
      <c r="E1663" s="2"/>
      <c r="F1663" s="2"/>
      <c r="G1663" s="2"/>
      <c r="H1663" s="2"/>
      <c r="I1663" s="2"/>
      <c r="J1663" s="2"/>
      <c r="K1663" s="2"/>
    </row>
    <row r="1664" spans="4:11" x14ac:dyDescent="0.2">
      <c r="D1664" s="2"/>
      <c r="E1664" s="2"/>
      <c r="F1664" s="2"/>
      <c r="G1664" s="2"/>
      <c r="H1664" s="2"/>
      <c r="I1664" s="2"/>
      <c r="J1664" s="2"/>
      <c r="K1664" s="2"/>
    </row>
    <row r="1665" spans="4:11" x14ac:dyDescent="0.2">
      <c r="D1665" s="2"/>
      <c r="E1665" s="2"/>
      <c r="F1665" s="2"/>
      <c r="G1665" s="2"/>
      <c r="H1665" s="2"/>
      <c r="I1665" s="2"/>
      <c r="J1665" s="2"/>
      <c r="K1665" s="2"/>
    </row>
    <row r="1666" spans="4:11" x14ac:dyDescent="0.2">
      <c r="D1666" s="2"/>
      <c r="E1666" s="2"/>
      <c r="F1666" s="2"/>
      <c r="G1666" s="2"/>
      <c r="H1666" s="2"/>
      <c r="I1666" s="2"/>
      <c r="J1666" s="2"/>
      <c r="K1666" s="2"/>
    </row>
    <row r="1667" spans="4:11" x14ac:dyDescent="0.2">
      <c r="D1667" s="2"/>
      <c r="E1667" s="2"/>
      <c r="F1667" s="2"/>
      <c r="G1667" s="2"/>
      <c r="H1667" s="2"/>
      <c r="I1667" s="2"/>
      <c r="J1667" s="2"/>
      <c r="K1667" s="2"/>
    </row>
    <row r="1668" spans="4:11" x14ac:dyDescent="0.2">
      <c r="D1668" s="2"/>
      <c r="E1668" s="2"/>
      <c r="F1668" s="2"/>
      <c r="G1668" s="2"/>
      <c r="H1668" s="2"/>
      <c r="I1668" s="2"/>
      <c r="J1668" s="2"/>
      <c r="K1668" s="2"/>
    </row>
    <row r="1669" spans="4:11" x14ac:dyDescent="0.2">
      <c r="D1669" s="2"/>
      <c r="E1669" s="2"/>
      <c r="F1669" s="2"/>
      <c r="G1669" s="2"/>
      <c r="H1669" s="2"/>
      <c r="I1669" s="2"/>
      <c r="J1669" s="2"/>
      <c r="K1669" s="2"/>
    </row>
    <row r="1670" spans="4:11" x14ac:dyDescent="0.2">
      <c r="D1670" s="2"/>
      <c r="E1670" s="2"/>
      <c r="F1670" s="2"/>
      <c r="G1670" s="2"/>
      <c r="H1670" s="2"/>
      <c r="I1670" s="2"/>
      <c r="J1670" s="2"/>
      <c r="K1670" s="2"/>
    </row>
    <row r="1671" spans="4:11" x14ac:dyDescent="0.2">
      <c r="D1671" s="2"/>
      <c r="E1671" s="2"/>
      <c r="F1671" s="2"/>
      <c r="G1671" s="2"/>
      <c r="H1671" s="2"/>
      <c r="I1671" s="2"/>
      <c r="J1671" s="2"/>
      <c r="K1671" s="2"/>
    </row>
    <row r="1672" spans="4:11" x14ac:dyDescent="0.2">
      <c r="D1672" s="2"/>
      <c r="E1672" s="2"/>
      <c r="F1672" s="2"/>
      <c r="G1672" s="2"/>
      <c r="H1672" s="2"/>
      <c r="I1672" s="2"/>
      <c r="J1672" s="2"/>
      <c r="K1672" s="2"/>
    </row>
    <row r="1673" spans="4:11" x14ac:dyDescent="0.2">
      <c r="D1673" s="2"/>
      <c r="E1673" s="2"/>
      <c r="F1673" s="2"/>
      <c r="G1673" s="2"/>
      <c r="H1673" s="2"/>
      <c r="I1673" s="2"/>
      <c r="J1673" s="2"/>
      <c r="K1673" s="2"/>
    </row>
    <row r="1674" spans="4:11" x14ac:dyDescent="0.2">
      <c r="D1674" s="2"/>
      <c r="E1674" s="2"/>
      <c r="F1674" s="2"/>
      <c r="G1674" s="2"/>
      <c r="H1674" s="2"/>
      <c r="I1674" s="2"/>
      <c r="J1674" s="2"/>
      <c r="K1674" s="2"/>
    </row>
    <row r="1675" spans="4:11" x14ac:dyDescent="0.2">
      <c r="D1675" s="2"/>
      <c r="E1675" s="2"/>
      <c r="F1675" s="2"/>
      <c r="G1675" s="2"/>
      <c r="H1675" s="2"/>
      <c r="I1675" s="2"/>
      <c r="J1675" s="2"/>
      <c r="K1675" s="2"/>
    </row>
    <row r="1676" spans="4:11" x14ac:dyDescent="0.2">
      <c r="D1676" s="2"/>
      <c r="E1676" s="2"/>
      <c r="F1676" s="2"/>
      <c r="G1676" s="2"/>
      <c r="H1676" s="2"/>
      <c r="I1676" s="2"/>
      <c r="J1676" s="2"/>
      <c r="K1676" s="2"/>
    </row>
    <row r="1677" spans="4:11" x14ac:dyDescent="0.2">
      <c r="D1677" s="2"/>
      <c r="E1677" s="2"/>
      <c r="F1677" s="2"/>
      <c r="G1677" s="2"/>
      <c r="H1677" s="2"/>
      <c r="I1677" s="2"/>
      <c r="J1677" s="2"/>
      <c r="K1677" s="2"/>
    </row>
    <row r="1678" spans="4:11" x14ac:dyDescent="0.2">
      <c r="D1678" s="2"/>
      <c r="E1678" s="2"/>
      <c r="F1678" s="2"/>
      <c r="G1678" s="2"/>
      <c r="H1678" s="2"/>
      <c r="I1678" s="2"/>
      <c r="J1678" s="2"/>
      <c r="K1678" s="2"/>
    </row>
    <row r="1679" spans="4:11" x14ac:dyDescent="0.2">
      <c r="D1679" s="2"/>
      <c r="E1679" s="2"/>
      <c r="F1679" s="2"/>
      <c r="G1679" s="2"/>
      <c r="H1679" s="2"/>
      <c r="I1679" s="2"/>
      <c r="J1679" s="2"/>
      <c r="K1679" s="2"/>
    </row>
    <row r="1680" spans="4:11" x14ac:dyDescent="0.2">
      <c r="D1680" s="2"/>
      <c r="E1680" s="2"/>
      <c r="F1680" s="2"/>
      <c r="G1680" s="2"/>
      <c r="H1680" s="2"/>
      <c r="I1680" s="2"/>
      <c r="J1680" s="2"/>
      <c r="K1680" s="2"/>
    </row>
    <row r="1681" spans="4:11" x14ac:dyDescent="0.2">
      <c r="D1681" s="2"/>
      <c r="E1681" s="2"/>
      <c r="F1681" s="2"/>
      <c r="G1681" s="2"/>
      <c r="H1681" s="2"/>
      <c r="I1681" s="2"/>
      <c r="J1681" s="2"/>
      <c r="K1681" s="2"/>
    </row>
    <row r="1682" spans="4:11" x14ac:dyDescent="0.2">
      <c r="D1682" s="2"/>
      <c r="E1682" s="2"/>
      <c r="F1682" s="2"/>
      <c r="G1682" s="2"/>
      <c r="H1682" s="2"/>
      <c r="I1682" s="2"/>
      <c r="J1682" s="2"/>
      <c r="K1682" s="2"/>
    </row>
    <row r="1683" spans="4:11" x14ac:dyDescent="0.2">
      <c r="D1683" s="2"/>
      <c r="E1683" s="2"/>
      <c r="F1683" s="2"/>
      <c r="G1683" s="2"/>
      <c r="H1683" s="2"/>
      <c r="I1683" s="2"/>
      <c r="J1683" s="2"/>
      <c r="K1683" s="2"/>
    </row>
    <row r="1684" spans="4:11" x14ac:dyDescent="0.2">
      <c r="D1684" s="2"/>
      <c r="E1684" s="2"/>
      <c r="F1684" s="2"/>
      <c r="G1684" s="2"/>
      <c r="H1684" s="2"/>
      <c r="I1684" s="2"/>
      <c r="J1684" s="2"/>
      <c r="K1684" s="2"/>
    </row>
    <row r="1685" spans="4:11" x14ac:dyDescent="0.2">
      <c r="D1685" s="2"/>
      <c r="E1685" s="2"/>
      <c r="F1685" s="2"/>
      <c r="G1685" s="2"/>
      <c r="H1685" s="2"/>
      <c r="I1685" s="2"/>
      <c r="J1685" s="2"/>
      <c r="K1685" s="2"/>
    </row>
    <row r="1686" spans="4:11" x14ac:dyDescent="0.2">
      <c r="D1686" s="2"/>
      <c r="E1686" s="2"/>
      <c r="F1686" s="2"/>
      <c r="G1686" s="2"/>
      <c r="H1686" s="2"/>
      <c r="I1686" s="2"/>
      <c r="J1686" s="2"/>
      <c r="K1686" s="2"/>
    </row>
    <row r="1687" spans="4:11" x14ac:dyDescent="0.2">
      <c r="D1687" s="2"/>
      <c r="E1687" s="2"/>
      <c r="F1687" s="2"/>
      <c r="G1687" s="2"/>
      <c r="H1687" s="2"/>
      <c r="I1687" s="2"/>
      <c r="J1687" s="2"/>
      <c r="K1687" s="2"/>
    </row>
    <row r="1688" spans="4:11" x14ac:dyDescent="0.2">
      <c r="D1688" s="2"/>
      <c r="E1688" s="2"/>
      <c r="F1688" s="2"/>
      <c r="G1688" s="2"/>
      <c r="H1688" s="2"/>
      <c r="I1688" s="2"/>
      <c r="J1688" s="2"/>
      <c r="K1688" s="2"/>
    </row>
    <row r="1689" spans="4:11" x14ac:dyDescent="0.2">
      <c r="D1689" s="2"/>
      <c r="E1689" s="2"/>
      <c r="F1689" s="2"/>
      <c r="G1689" s="2"/>
      <c r="H1689" s="2"/>
      <c r="I1689" s="2"/>
      <c r="J1689" s="2"/>
      <c r="K1689" s="2"/>
    </row>
    <row r="1690" spans="4:11" x14ac:dyDescent="0.2">
      <c r="D1690" s="2"/>
      <c r="E1690" s="2"/>
      <c r="F1690" s="2"/>
      <c r="G1690" s="2"/>
      <c r="H1690" s="2"/>
      <c r="I1690" s="2"/>
      <c r="J1690" s="2"/>
      <c r="K1690" s="2"/>
    </row>
    <row r="1691" spans="4:11" x14ac:dyDescent="0.2">
      <c r="D1691" s="2"/>
      <c r="E1691" s="2"/>
      <c r="F1691" s="2"/>
      <c r="G1691" s="2"/>
      <c r="H1691" s="2"/>
      <c r="I1691" s="2"/>
      <c r="J1691" s="2"/>
      <c r="K1691" s="2"/>
    </row>
    <row r="1692" spans="4:11" x14ac:dyDescent="0.2">
      <c r="D1692" s="2"/>
      <c r="E1692" s="2"/>
      <c r="F1692" s="2"/>
      <c r="G1692" s="2"/>
      <c r="H1692" s="2"/>
      <c r="I1692" s="2"/>
      <c r="J1692" s="2"/>
      <c r="K1692" s="2"/>
    </row>
    <row r="1693" spans="4:11" x14ac:dyDescent="0.2">
      <c r="D1693" s="2"/>
      <c r="E1693" s="2"/>
      <c r="F1693" s="2"/>
      <c r="G1693" s="2"/>
      <c r="H1693" s="2"/>
      <c r="I1693" s="2"/>
      <c r="J1693" s="2"/>
      <c r="K1693" s="2"/>
    </row>
    <row r="1694" spans="4:11" x14ac:dyDescent="0.2">
      <c r="D1694" s="2"/>
      <c r="E1694" s="2"/>
      <c r="F1694" s="2"/>
      <c r="G1694" s="2"/>
      <c r="H1694" s="2"/>
      <c r="I1694" s="2"/>
      <c r="J1694" s="2"/>
      <c r="K1694" s="2"/>
    </row>
    <row r="1695" spans="4:11" x14ac:dyDescent="0.2">
      <c r="D1695" s="2"/>
      <c r="E1695" s="2"/>
      <c r="F1695" s="2"/>
      <c r="G1695" s="2"/>
      <c r="H1695" s="2"/>
      <c r="I1695" s="2"/>
      <c r="J1695" s="2"/>
      <c r="K1695" s="2"/>
    </row>
    <row r="1696" spans="4:11" x14ac:dyDescent="0.2">
      <c r="D1696" s="2"/>
      <c r="E1696" s="2"/>
      <c r="F1696" s="2"/>
      <c r="G1696" s="2"/>
      <c r="H1696" s="2"/>
      <c r="I1696" s="2"/>
      <c r="J1696" s="2"/>
      <c r="K1696" s="2"/>
    </row>
    <row r="1697" spans="4:11" x14ac:dyDescent="0.2">
      <c r="D1697" s="2"/>
      <c r="E1697" s="2"/>
      <c r="F1697" s="2"/>
      <c r="G1697" s="2"/>
      <c r="H1697" s="2"/>
      <c r="I1697" s="2"/>
      <c r="J1697" s="2"/>
      <c r="K1697" s="2"/>
    </row>
    <row r="1698" spans="4:11" x14ac:dyDescent="0.2">
      <c r="D1698" s="2"/>
      <c r="E1698" s="2"/>
      <c r="F1698" s="2"/>
      <c r="G1698" s="2"/>
      <c r="H1698" s="2"/>
      <c r="I1698" s="2"/>
      <c r="J1698" s="2"/>
      <c r="K1698" s="2"/>
    </row>
    <row r="1699" spans="4:11" x14ac:dyDescent="0.2">
      <c r="D1699" s="2"/>
      <c r="E1699" s="2"/>
      <c r="F1699" s="2"/>
      <c r="G1699" s="2"/>
      <c r="H1699" s="2"/>
      <c r="I1699" s="2"/>
      <c r="J1699" s="2"/>
      <c r="K1699" s="2"/>
    </row>
    <row r="1700" spans="4:11" x14ac:dyDescent="0.2">
      <c r="D1700" s="2"/>
      <c r="E1700" s="2"/>
      <c r="F1700" s="2"/>
      <c r="G1700" s="2"/>
      <c r="H1700" s="2"/>
      <c r="I1700" s="2"/>
      <c r="J1700" s="2"/>
      <c r="K1700" s="2"/>
    </row>
    <row r="1701" spans="4:11" x14ac:dyDescent="0.2">
      <c r="D1701" s="2"/>
      <c r="E1701" s="2"/>
      <c r="F1701" s="2"/>
      <c r="G1701" s="2"/>
      <c r="H1701" s="2"/>
      <c r="I1701" s="2"/>
      <c r="J1701" s="2"/>
      <c r="K1701" s="2"/>
    </row>
    <row r="1702" spans="4:11" x14ac:dyDescent="0.2">
      <c r="D1702" s="2"/>
      <c r="E1702" s="2"/>
      <c r="F1702" s="2"/>
      <c r="G1702" s="2"/>
      <c r="H1702" s="2"/>
      <c r="I1702" s="2"/>
      <c r="J1702" s="2"/>
      <c r="K1702" s="2"/>
    </row>
    <row r="1703" spans="4:11" x14ac:dyDescent="0.2">
      <c r="D1703" s="2"/>
      <c r="E1703" s="2"/>
      <c r="F1703" s="2"/>
      <c r="G1703" s="2"/>
      <c r="H1703" s="2"/>
      <c r="I1703" s="2"/>
      <c r="J1703" s="2"/>
      <c r="K1703" s="2"/>
    </row>
    <row r="1704" spans="4:11" x14ac:dyDescent="0.2">
      <c r="D1704" s="2"/>
      <c r="E1704" s="2"/>
      <c r="F1704" s="2"/>
      <c r="G1704" s="2"/>
      <c r="H1704" s="2"/>
      <c r="I1704" s="2"/>
      <c r="J1704" s="2"/>
      <c r="K1704" s="2"/>
    </row>
    <row r="1705" spans="4:11" x14ac:dyDescent="0.2">
      <c r="D1705" s="2"/>
      <c r="E1705" s="2"/>
      <c r="F1705" s="2"/>
      <c r="G1705" s="2"/>
      <c r="H1705" s="2"/>
      <c r="I1705" s="2"/>
      <c r="J1705" s="2"/>
      <c r="K1705" s="2"/>
    </row>
    <row r="1706" spans="4:11" x14ac:dyDescent="0.2">
      <c r="D1706" s="2"/>
      <c r="E1706" s="2"/>
      <c r="F1706" s="2"/>
      <c r="G1706" s="2"/>
      <c r="H1706" s="2"/>
      <c r="I1706" s="2"/>
      <c r="J1706" s="2"/>
      <c r="K1706" s="2"/>
    </row>
    <row r="1707" spans="4:11" x14ac:dyDescent="0.2">
      <c r="D1707" s="2"/>
      <c r="E1707" s="2"/>
      <c r="F1707" s="2"/>
      <c r="G1707" s="2"/>
      <c r="H1707" s="2"/>
      <c r="I1707" s="2"/>
      <c r="J1707" s="2"/>
      <c r="K1707" s="2"/>
    </row>
    <row r="1708" spans="4:11" x14ac:dyDescent="0.2">
      <c r="D1708" s="2"/>
      <c r="E1708" s="2"/>
      <c r="F1708" s="2"/>
      <c r="G1708" s="2"/>
      <c r="H1708" s="2"/>
      <c r="I1708" s="2"/>
      <c r="J1708" s="2"/>
      <c r="K1708" s="2"/>
    </row>
    <row r="1709" spans="4:11" x14ac:dyDescent="0.2">
      <c r="D1709" s="2"/>
      <c r="E1709" s="2"/>
      <c r="F1709" s="2"/>
      <c r="G1709" s="2"/>
      <c r="H1709" s="2"/>
      <c r="I1709" s="2"/>
      <c r="J1709" s="2"/>
      <c r="K1709" s="2"/>
    </row>
    <row r="1710" spans="4:11" x14ac:dyDescent="0.2">
      <c r="D1710" s="2"/>
      <c r="E1710" s="2"/>
      <c r="F1710" s="2"/>
      <c r="G1710" s="2"/>
      <c r="H1710" s="2"/>
      <c r="I1710" s="2"/>
      <c r="J1710" s="2"/>
      <c r="K1710" s="2"/>
    </row>
    <row r="1711" spans="4:11" x14ac:dyDescent="0.2">
      <c r="D1711" s="2"/>
      <c r="E1711" s="2"/>
      <c r="F1711" s="2"/>
      <c r="G1711" s="2"/>
      <c r="H1711" s="2"/>
      <c r="I1711" s="2"/>
      <c r="J1711" s="2"/>
      <c r="K1711" s="2"/>
    </row>
    <row r="1712" spans="4:11" x14ac:dyDescent="0.2">
      <c r="D1712" s="2"/>
      <c r="E1712" s="2"/>
      <c r="F1712" s="2"/>
      <c r="G1712" s="2"/>
      <c r="H1712" s="2"/>
      <c r="I1712" s="2"/>
      <c r="J1712" s="2"/>
      <c r="K1712" s="2"/>
    </row>
    <row r="1713" spans="4:11" x14ac:dyDescent="0.2">
      <c r="D1713" s="2"/>
      <c r="E1713" s="2"/>
      <c r="F1713" s="2"/>
      <c r="G1713" s="2"/>
      <c r="H1713" s="2"/>
      <c r="I1713" s="2"/>
      <c r="J1713" s="2"/>
      <c r="K1713" s="2"/>
    </row>
    <row r="1714" spans="4:11" x14ac:dyDescent="0.2">
      <c r="D1714" s="2"/>
      <c r="E1714" s="2"/>
      <c r="F1714" s="2"/>
      <c r="G1714" s="2"/>
      <c r="H1714" s="2"/>
      <c r="I1714" s="2"/>
      <c r="J1714" s="2"/>
      <c r="K1714" s="2"/>
    </row>
    <row r="1715" spans="4:11" x14ac:dyDescent="0.2">
      <c r="D1715" s="2"/>
      <c r="E1715" s="2"/>
      <c r="F1715" s="2"/>
      <c r="G1715" s="2"/>
      <c r="H1715" s="2"/>
      <c r="I1715" s="2"/>
      <c r="J1715" s="2"/>
      <c r="K1715" s="2"/>
    </row>
    <row r="1716" spans="4:11" x14ac:dyDescent="0.2">
      <c r="D1716" s="2"/>
      <c r="E1716" s="2"/>
      <c r="F1716" s="2"/>
      <c r="G1716" s="2"/>
      <c r="H1716" s="2"/>
      <c r="I1716" s="2"/>
      <c r="J1716" s="2"/>
      <c r="K1716" s="2"/>
    </row>
    <row r="1717" spans="4:11" x14ac:dyDescent="0.2">
      <c r="D1717" s="2"/>
      <c r="E1717" s="2"/>
      <c r="F1717" s="2"/>
      <c r="G1717" s="2"/>
      <c r="H1717" s="2"/>
      <c r="I1717" s="2"/>
      <c r="J1717" s="2"/>
      <c r="K1717" s="2"/>
    </row>
    <row r="1718" spans="4:11" x14ac:dyDescent="0.2">
      <c r="D1718" s="2"/>
      <c r="E1718" s="2"/>
      <c r="F1718" s="2"/>
      <c r="G1718" s="2"/>
      <c r="H1718" s="2"/>
      <c r="I1718" s="2"/>
      <c r="J1718" s="2"/>
      <c r="K1718" s="2"/>
    </row>
    <row r="1719" spans="4:11" x14ac:dyDescent="0.2">
      <c r="D1719" s="2"/>
      <c r="E1719" s="2"/>
      <c r="F1719" s="2"/>
      <c r="G1719" s="2"/>
      <c r="H1719" s="2"/>
      <c r="I1719" s="2"/>
      <c r="J1719" s="2"/>
      <c r="K1719" s="2"/>
    </row>
    <row r="1720" spans="4:11" x14ac:dyDescent="0.2">
      <c r="D1720" s="2"/>
      <c r="E1720" s="2"/>
      <c r="F1720" s="2"/>
      <c r="G1720" s="2"/>
      <c r="H1720" s="2"/>
      <c r="I1720" s="2"/>
      <c r="J1720" s="2"/>
      <c r="K1720" s="2"/>
    </row>
    <row r="1721" spans="4:11" x14ac:dyDescent="0.2">
      <c r="D1721" s="2"/>
      <c r="E1721" s="2"/>
      <c r="F1721" s="2"/>
      <c r="G1721" s="2"/>
      <c r="H1721" s="2"/>
      <c r="I1721" s="2"/>
      <c r="J1721" s="2"/>
      <c r="K1721" s="2"/>
    </row>
    <row r="1722" spans="4:11" x14ac:dyDescent="0.2">
      <c r="D1722" s="2"/>
      <c r="E1722" s="2"/>
      <c r="F1722" s="2"/>
      <c r="G1722" s="2"/>
      <c r="H1722" s="2"/>
      <c r="I1722" s="2"/>
      <c r="J1722" s="2"/>
      <c r="K1722" s="2"/>
    </row>
    <row r="1723" spans="4:11" x14ac:dyDescent="0.2">
      <c r="D1723" s="2"/>
      <c r="E1723" s="2"/>
      <c r="F1723" s="2"/>
      <c r="G1723" s="2"/>
      <c r="H1723" s="2"/>
      <c r="I1723" s="2"/>
      <c r="J1723" s="2"/>
      <c r="K1723" s="2"/>
    </row>
    <row r="1724" spans="4:11" x14ac:dyDescent="0.2">
      <c r="D1724" s="2"/>
      <c r="E1724" s="2"/>
      <c r="F1724" s="2"/>
      <c r="G1724" s="2"/>
      <c r="H1724" s="2"/>
      <c r="I1724" s="2"/>
      <c r="J1724" s="2"/>
      <c r="K1724" s="2"/>
    </row>
    <row r="1725" spans="4:11" x14ac:dyDescent="0.2">
      <c r="D1725" s="2"/>
      <c r="E1725" s="2"/>
      <c r="F1725" s="2"/>
      <c r="G1725" s="2"/>
      <c r="H1725" s="2"/>
      <c r="I1725" s="2"/>
      <c r="J1725" s="2"/>
      <c r="K1725" s="2"/>
    </row>
    <row r="1726" spans="4:11" x14ac:dyDescent="0.2">
      <c r="D1726" s="2"/>
      <c r="E1726" s="2"/>
      <c r="F1726" s="2"/>
      <c r="G1726" s="2"/>
      <c r="H1726" s="2"/>
      <c r="I1726" s="2"/>
      <c r="J1726" s="2"/>
      <c r="K1726" s="2"/>
    </row>
    <row r="1727" spans="4:11" x14ac:dyDescent="0.2">
      <c r="D1727" s="2"/>
      <c r="E1727" s="2"/>
      <c r="F1727" s="2"/>
      <c r="G1727" s="2"/>
      <c r="H1727" s="2"/>
      <c r="I1727" s="2"/>
      <c r="J1727" s="2"/>
      <c r="K1727" s="2"/>
    </row>
    <row r="1728" spans="4:11" x14ac:dyDescent="0.2">
      <c r="D1728" s="2"/>
      <c r="E1728" s="2"/>
      <c r="F1728" s="2"/>
      <c r="G1728" s="2"/>
      <c r="H1728" s="2"/>
      <c r="I1728" s="2"/>
      <c r="J1728" s="2"/>
      <c r="K1728" s="2"/>
    </row>
    <row r="1729" spans="4:11" x14ac:dyDescent="0.2">
      <c r="D1729" s="2"/>
      <c r="E1729" s="2"/>
      <c r="F1729" s="2"/>
      <c r="G1729" s="2"/>
      <c r="H1729" s="2"/>
      <c r="I1729" s="2"/>
      <c r="J1729" s="2"/>
      <c r="K1729" s="2"/>
    </row>
    <row r="1730" spans="4:11" x14ac:dyDescent="0.2">
      <c r="D1730" s="2"/>
      <c r="E1730" s="2"/>
      <c r="F1730" s="2"/>
      <c r="G1730" s="2"/>
      <c r="H1730" s="2"/>
      <c r="I1730" s="2"/>
      <c r="J1730" s="2"/>
      <c r="K1730" s="2"/>
    </row>
    <row r="1731" spans="4:11" x14ac:dyDescent="0.2">
      <c r="D1731" s="2"/>
      <c r="E1731" s="2"/>
      <c r="F1731" s="2"/>
      <c r="G1731" s="2"/>
      <c r="H1731" s="2"/>
      <c r="I1731" s="2"/>
      <c r="J1731" s="2"/>
      <c r="K1731" s="2"/>
    </row>
    <row r="1732" spans="4:11" x14ac:dyDescent="0.2">
      <c r="D1732" s="2"/>
      <c r="E1732" s="2"/>
      <c r="F1732" s="2"/>
      <c r="G1732" s="2"/>
      <c r="H1732" s="2"/>
      <c r="I1732" s="2"/>
      <c r="J1732" s="2"/>
      <c r="K1732" s="2"/>
    </row>
    <row r="1733" spans="4:11" x14ac:dyDescent="0.2">
      <c r="D1733" s="2"/>
      <c r="E1733" s="2"/>
      <c r="F1733" s="2"/>
      <c r="G1733" s="2"/>
      <c r="H1733" s="2"/>
      <c r="I1733" s="2"/>
      <c r="J1733" s="2"/>
      <c r="K1733" s="2"/>
    </row>
    <row r="1734" spans="4:11" x14ac:dyDescent="0.2">
      <c r="D1734" s="2"/>
      <c r="E1734" s="2"/>
      <c r="F1734" s="2"/>
      <c r="G1734" s="2"/>
      <c r="H1734" s="2"/>
      <c r="I1734" s="2"/>
      <c r="J1734" s="2"/>
      <c r="K1734" s="2"/>
    </row>
    <row r="1735" spans="4:11" x14ac:dyDescent="0.2">
      <c r="D1735" s="2"/>
      <c r="E1735" s="2"/>
      <c r="F1735" s="2"/>
      <c r="G1735" s="2"/>
      <c r="H1735" s="2"/>
      <c r="I1735" s="2"/>
      <c r="J1735" s="2"/>
      <c r="K1735" s="2"/>
    </row>
    <row r="1736" spans="4:11" x14ac:dyDescent="0.2">
      <c r="D1736" s="2"/>
      <c r="E1736" s="2"/>
      <c r="F1736" s="2"/>
      <c r="G1736" s="2"/>
      <c r="H1736" s="2"/>
      <c r="I1736" s="2"/>
      <c r="J1736" s="2"/>
      <c r="K1736" s="2"/>
    </row>
    <row r="1737" spans="4:11" x14ac:dyDescent="0.2">
      <c r="D1737" s="2"/>
      <c r="E1737" s="2"/>
      <c r="F1737" s="2"/>
      <c r="G1737" s="2"/>
      <c r="H1737" s="2"/>
      <c r="I1737" s="2"/>
      <c r="J1737" s="2"/>
      <c r="K1737" s="2"/>
    </row>
    <row r="1738" spans="4:11" x14ac:dyDescent="0.2">
      <c r="D1738" s="2"/>
      <c r="E1738" s="2"/>
      <c r="F1738" s="2"/>
      <c r="G1738" s="2"/>
      <c r="H1738" s="2"/>
      <c r="I1738" s="2"/>
      <c r="J1738" s="2"/>
      <c r="K1738" s="2"/>
    </row>
    <row r="1739" spans="4:11" x14ac:dyDescent="0.2">
      <c r="D1739" s="2"/>
      <c r="E1739" s="2"/>
      <c r="F1739" s="2"/>
      <c r="G1739" s="2"/>
      <c r="H1739" s="2"/>
      <c r="I1739" s="2"/>
      <c r="J1739" s="2"/>
      <c r="K1739" s="2"/>
    </row>
    <row r="1740" spans="4:11" x14ac:dyDescent="0.2">
      <c r="D1740" s="2"/>
      <c r="E1740" s="2"/>
      <c r="F1740" s="2"/>
      <c r="G1740" s="2"/>
      <c r="H1740" s="2"/>
      <c r="I1740" s="2"/>
      <c r="J1740" s="2"/>
      <c r="K1740" s="2"/>
    </row>
    <row r="1741" spans="4:11" x14ac:dyDescent="0.2">
      <c r="D1741" s="2"/>
      <c r="E1741" s="2"/>
      <c r="F1741" s="2"/>
      <c r="G1741" s="2"/>
      <c r="H1741" s="2"/>
      <c r="I1741" s="2"/>
      <c r="J1741" s="2"/>
      <c r="K1741" s="2"/>
    </row>
    <row r="1742" spans="4:11" x14ac:dyDescent="0.2">
      <c r="D1742" s="2"/>
      <c r="E1742" s="2"/>
      <c r="F1742" s="2"/>
      <c r="G1742" s="2"/>
      <c r="H1742" s="2"/>
      <c r="I1742" s="2"/>
      <c r="J1742" s="2"/>
      <c r="K1742" s="2"/>
    </row>
    <row r="1743" spans="4:11" x14ac:dyDescent="0.2">
      <c r="D1743" s="2"/>
      <c r="E1743" s="2"/>
      <c r="F1743" s="2"/>
      <c r="G1743" s="2"/>
      <c r="H1743" s="2"/>
      <c r="I1743" s="2"/>
      <c r="J1743" s="2"/>
      <c r="K1743" s="2"/>
    </row>
    <row r="1744" spans="4:11" x14ac:dyDescent="0.2">
      <c r="D1744" s="2"/>
      <c r="E1744" s="2"/>
      <c r="F1744" s="2"/>
      <c r="G1744" s="2"/>
      <c r="H1744" s="2"/>
      <c r="I1744" s="2"/>
      <c r="J1744" s="2"/>
      <c r="K1744" s="2"/>
    </row>
    <row r="1745" spans="4:11" x14ac:dyDescent="0.2">
      <c r="D1745" s="2"/>
      <c r="E1745" s="2"/>
      <c r="F1745" s="2"/>
      <c r="G1745" s="2"/>
      <c r="H1745" s="2"/>
      <c r="I1745" s="2"/>
      <c r="J1745" s="2"/>
      <c r="K1745" s="2"/>
    </row>
    <row r="1746" spans="4:11" x14ac:dyDescent="0.2">
      <c r="D1746" s="2"/>
      <c r="E1746" s="2"/>
      <c r="F1746" s="2"/>
      <c r="G1746" s="2"/>
      <c r="H1746" s="2"/>
      <c r="I1746" s="2"/>
      <c r="J1746" s="2"/>
      <c r="K1746" s="2"/>
    </row>
    <row r="1747" spans="4:11" x14ac:dyDescent="0.2">
      <c r="D1747" s="2"/>
      <c r="E1747" s="2"/>
      <c r="F1747" s="2"/>
      <c r="G1747" s="2"/>
      <c r="H1747" s="2"/>
      <c r="I1747" s="2"/>
      <c r="J1747" s="2"/>
      <c r="K1747" s="2"/>
    </row>
    <row r="1748" spans="4:11" x14ac:dyDescent="0.2">
      <c r="D1748" s="2"/>
      <c r="E1748" s="2"/>
      <c r="F1748" s="2"/>
      <c r="G1748" s="2"/>
      <c r="H1748" s="2"/>
      <c r="I1748" s="2"/>
      <c r="J1748" s="2"/>
      <c r="K1748" s="2"/>
    </row>
    <row r="1749" spans="4:11" x14ac:dyDescent="0.2">
      <c r="D1749" s="2"/>
      <c r="E1749" s="2"/>
      <c r="F1749" s="2"/>
      <c r="G1749" s="2"/>
      <c r="H1749" s="2"/>
      <c r="I1749" s="2"/>
      <c r="J1749" s="2"/>
      <c r="K1749" s="2"/>
    </row>
    <row r="1750" spans="4:11" x14ac:dyDescent="0.2">
      <c r="D1750" s="2"/>
      <c r="E1750" s="2"/>
      <c r="F1750" s="2"/>
      <c r="G1750" s="2"/>
      <c r="H1750" s="2"/>
      <c r="I1750" s="2"/>
      <c r="J1750" s="2"/>
      <c r="K1750" s="2"/>
    </row>
    <row r="1751" spans="4:11" x14ac:dyDescent="0.2">
      <c r="D1751" s="2"/>
      <c r="E1751" s="2"/>
      <c r="F1751" s="2"/>
      <c r="G1751" s="2"/>
      <c r="H1751" s="2"/>
      <c r="I1751" s="2"/>
      <c r="J1751" s="2"/>
      <c r="K1751" s="2"/>
    </row>
    <row r="1752" spans="4:11" x14ac:dyDescent="0.2">
      <c r="D1752" s="2"/>
      <c r="E1752" s="2"/>
      <c r="F1752" s="2"/>
      <c r="G1752" s="2"/>
      <c r="H1752" s="2"/>
      <c r="I1752" s="2"/>
      <c r="J1752" s="2"/>
      <c r="K1752" s="2"/>
    </row>
    <row r="1753" spans="4:11" x14ac:dyDescent="0.2">
      <c r="D1753" s="2"/>
      <c r="E1753" s="2"/>
      <c r="F1753" s="2"/>
      <c r="G1753" s="2"/>
      <c r="H1753" s="2"/>
      <c r="I1753" s="2"/>
      <c r="J1753" s="2"/>
      <c r="K1753" s="2"/>
    </row>
    <row r="1754" spans="4:11" x14ac:dyDescent="0.2">
      <c r="D1754" s="2"/>
      <c r="E1754" s="2"/>
      <c r="F1754" s="2"/>
      <c r="G1754" s="2"/>
      <c r="H1754" s="2"/>
      <c r="I1754" s="2"/>
      <c r="J1754" s="2"/>
      <c r="K1754" s="2"/>
    </row>
    <row r="1755" spans="4:11" x14ac:dyDescent="0.2">
      <c r="D1755" s="2"/>
      <c r="E1755" s="2"/>
      <c r="F1755" s="2"/>
      <c r="G1755" s="2"/>
      <c r="H1755" s="2"/>
      <c r="I1755" s="2"/>
      <c r="J1755" s="2"/>
      <c r="K1755" s="2"/>
    </row>
    <row r="1756" spans="4:11" x14ac:dyDescent="0.2">
      <c r="D1756" s="2"/>
      <c r="E1756" s="2"/>
      <c r="F1756" s="2"/>
      <c r="G1756" s="2"/>
      <c r="H1756" s="2"/>
      <c r="I1756" s="2"/>
      <c r="J1756" s="2"/>
      <c r="K1756" s="2"/>
    </row>
    <row r="1757" spans="4:11" x14ac:dyDescent="0.2">
      <c r="D1757" s="2"/>
      <c r="E1757" s="2"/>
      <c r="F1757" s="2"/>
      <c r="G1757" s="2"/>
      <c r="H1757" s="2"/>
      <c r="I1757" s="2"/>
      <c r="J1757" s="2"/>
      <c r="K1757" s="2"/>
    </row>
    <row r="1758" spans="4:11" x14ac:dyDescent="0.2">
      <c r="D1758" s="2"/>
      <c r="E1758" s="2"/>
      <c r="F1758" s="2"/>
      <c r="G1758" s="2"/>
      <c r="H1758" s="2"/>
      <c r="I1758" s="2"/>
      <c r="J1758" s="2"/>
      <c r="K1758" s="2"/>
    </row>
    <row r="1759" spans="4:11" x14ac:dyDescent="0.2">
      <c r="D1759" s="2"/>
      <c r="E1759" s="2"/>
      <c r="F1759" s="2"/>
      <c r="G1759" s="2"/>
      <c r="H1759" s="2"/>
      <c r="I1759" s="2"/>
      <c r="J1759" s="2"/>
      <c r="K1759" s="2"/>
    </row>
    <row r="1760" spans="4:11" x14ac:dyDescent="0.2">
      <c r="D1760" s="2"/>
      <c r="E1760" s="2"/>
      <c r="F1760" s="2"/>
      <c r="G1760" s="2"/>
      <c r="H1760" s="2"/>
      <c r="I1760" s="2"/>
      <c r="J1760" s="2"/>
      <c r="K1760" s="2"/>
    </row>
    <row r="1761" spans="4:11" x14ac:dyDescent="0.2">
      <c r="D1761" s="2"/>
      <c r="E1761" s="2"/>
      <c r="F1761" s="2"/>
      <c r="G1761" s="2"/>
      <c r="H1761" s="2"/>
      <c r="I1761" s="2"/>
      <c r="J1761" s="2"/>
      <c r="K1761" s="2"/>
    </row>
    <row r="1762" spans="4:11" x14ac:dyDescent="0.2">
      <c r="D1762" s="2"/>
      <c r="E1762" s="2"/>
      <c r="F1762" s="2"/>
      <c r="G1762" s="2"/>
      <c r="H1762" s="2"/>
      <c r="I1762" s="2"/>
      <c r="J1762" s="2"/>
      <c r="K1762" s="2"/>
    </row>
    <row r="1763" spans="4:11" x14ac:dyDescent="0.2">
      <c r="D1763" s="2"/>
      <c r="E1763" s="2"/>
      <c r="F1763" s="2"/>
      <c r="G1763" s="2"/>
      <c r="H1763" s="2"/>
      <c r="I1763" s="2"/>
      <c r="J1763" s="2"/>
      <c r="K1763" s="2"/>
    </row>
    <row r="1764" spans="4:11" x14ac:dyDescent="0.2">
      <c r="D1764" s="2"/>
      <c r="E1764" s="2"/>
      <c r="F1764" s="2"/>
      <c r="G1764" s="2"/>
      <c r="H1764" s="2"/>
      <c r="I1764" s="2"/>
      <c r="J1764" s="2"/>
      <c r="K1764" s="2"/>
    </row>
    <row r="1765" spans="4:11" x14ac:dyDescent="0.2">
      <c r="D1765" s="2"/>
      <c r="E1765" s="2"/>
      <c r="F1765" s="2"/>
      <c r="G1765" s="2"/>
      <c r="H1765" s="2"/>
      <c r="I1765" s="2"/>
      <c r="J1765" s="2"/>
      <c r="K1765" s="2"/>
    </row>
    <row r="1766" spans="4:11" x14ac:dyDescent="0.2">
      <c r="D1766" s="2"/>
      <c r="E1766" s="2"/>
      <c r="F1766" s="2"/>
      <c r="G1766" s="2"/>
      <c r="H1766" s="2"/>
      <c r="I1766" s="2"/>
      <c r="J1766" s="2"/>
      <c r="K1766" s="2"/>
    </row>
    <row r="1767" spans="4:11" x14ac:dyDescent="0.2">
      <c r="D1767" s="2"/>
      <c r="E1767" s="2"/>
      <c r="F1767" s="2"/>
      <c r="G1767" s="2"/>
      <c r="H1767" s="2"/>
      <c r="I1767" s="2"/>
      <c r="J1767" s="2"/>
      <c r="K1767" s="2"/>
    </row>
    <row r="1768" spans="4:11" x14ac:dyDescent="0.2">
      <c r="D1768" s="2"/>
      <c r="E1768" s="2"/>
      <c r="F1768" s="2"/>
      <c r="G1768" s="2"/>
      <c r="H1768" s="2"/>
      <c r="I1768" s="2"/>
      <c r="J1768" s="2"/>
      <c r="K1768" s="2"/>
    </row>
    <row r="1769" spans="4:11" x14ac:dyDescent="0.2">
      <c r="D1769" s="2"/>
      <c r="E1769" s="2"/>
      <c r="F1769" s="2"/>
      <c r="G1769" s="2"/>
      <c r="H1769" s="2"/>
      <c r="I1769" s="2"/>
      <c r="J1769" s="2"/>
      <c r="K1769" s="2"/>
    </row>
    <row r="1770" spans="4:11" x14ac:dyDescent="0.2">
      <c r="D1770" s="2"/>
      <c r="E1770" s="2"/>
      <c r="F1770" s="2"/>
      <c r="G1770" s="2"/>
      <c r="H1770" s="2"/>
      <c r="I1770" s="2"/>
      <c r="J1770" s="2"/>
      <c r="K1770" s="2"/>
    </row>
    <row r="1771" spans="4:11" x14ac:dyDescent="0.2">
      <c r="D1771" s="2"/>
      <c r="E1771" s="2"/>
      <c r="F1771" s="2"/>
      <c r="G1771" s="2"/>
      <c r="H1771" s="2"/>
      <c r="I1771" s="2"/>
      <c r="J1771" s="2"/>
      <c r="K1771" s="2"/>
    </row>
    <row r="1772" spans="4:11" x14ac:dyDescent="0.2">
      <c r="D1772" s="2"/>
      <c r="E1772" s="2"/>
      <c r="F1772" s="2"/>
      <c r="G1772" s="2"/>
      <c r="H1772" s="2"/>
      <c r="I1772" s="2"/>
      <c r="J1772" s="2"/>
      <c r="K1772" s="2"/>
    </row>
    <row r="1773" spans="4:11" x14ac:dyDescent="0.2">
      <c r="D1773" s="2"/>
      <c r="E1773" s="2"/>
      <c r="F1773" s="2"/>
      <c r="G1773" s="2"/>
      <c r="H1773" s="2"/>
      <c r="I1773" s="2"/>
      <c r="J1773" s="2"/>
      <c r="K1773" s="2"/>
    </row>
    <row r="1774" spans="4:11" x14ac:dyDescent="0.2">
      <c r="D1774" s="2"/>
      <c r="E1774" s="2"/>
      <c r="F1774" s="2"/>
      <c r="G1774" s="2"/>
      <c r="H1774" s="2"/>
      <c r="I1774" s="2"/>
      <c r="J1774" s="2"/>
      <c r="K1774" s="2"/>
    </row>
    <row r="1775" spans="4:11" x14ac:dyDescent="0.2">
      <c r="D1775" s="2"/>
      <c r="E1775" s="2"/>
      <c r="F1775" s="2"/>
      <c r="G1775" s="2"/>
      <c r="H1775" s="2"/>
      <c r="I1775" s="2"/>
      <c r="J1775" s="2"/>
      <c r="K1775" s="2"/>
    </row>
    <row r="1776" spans="4:11" x14ac:dyDescent="0.2">
      <c r="D1776" s="2"/>
      <c r="E1776" s="2"/>
      <c r="F1776" s="2"/>
      <c r="G1776" s="2"/>
      <c r="H1776" s="2"/>
      <c r="I1776" s="2"/>
      <c r="J1776" s="2"/>
      <c r="K1776" s="2"/>
    </row>
    <row r="1777" spans="4:11" x14ac:dyDescent="0.2">
      <c r="D1777" s="2"/>
      <c r="E1777" s="2"/>
      <c r="F1777" s="2"/>
      <c r="G1777" s="2"/>
      <c r="H1777" s="2"/>
      <c r="I1777" s="2"/>
      <c r="J1777" s="2"/>
      <c r="K1777" s="2"/>
    </row>
    <row r="1778" spans="4:11" x14ac:dyDescent="0.2">
      <c r="D1778" s="2"/>
      <c r="E1778" s="2"/>
      <c r="F1778" s="2"/>
      <c r="G1778" s="2"/>
      <c r="H1778" s="2"/>
      <c r="I1778" s="2"/>
      <c r="J1778" s="2"/>
      <c r="K1778" s="2"/>
    </row>
    <row r="1779" spans="4:11" x14ac:dyDescent="0.2">
      <c r="D1779" s="2"/>
      <c r="E1779" s="2"/>
      <c r="F1779" s="2"/>
      <c r="G1779" s="2"/>
      <c r="H1779" s="2"/>
      <c r="I1779" s="2"/>
      <c r="J1779" s="2"/>
      <c r="K1779" s="2"/>
    </row>
    <row r="1780" spans="4:11" x14ac:dyDescent="0.2">
      <c r="D1780" s="2"/>
      <c r="E1780" s="2"/>
      <c r="F1780" s="2"/>
      <c r="G1780" s="2"/>
      <c r="H1780" s="2"/>
      <c r="I1780" s="2"/>
      <c r="J1780" s="2"/>
      <c r="K1780" s="2"/>
    </row>
    <row r="1781" spans="4:11" x14ac:dyDescent="0.2">
      <c r="D1781" s="2"/>
      <c r="E1781" s="2"/>
      <c r="F1781" s="2"/>
      <c r="G1781" s="2"/>
      <c r="H1781" s="2"/>
      <c r="I1781" s="2"/>
      <c r="J1781" s="2"/>
      <c r="K1781" s="2"/>
    </row>
    <row r="1782" spans="4:11" x14ac:dyDescent="0.2">
      <c r="D1782" s="2"/>
      <c r="E1782" s="2"/>
      <c r="F1782" s="2"/>
      <c r="G1782" s="2"/>
      <c r="H1782" s="2"/>
      <c r="I1782" s="2"/>
      <c r="J1782" s="2"/>
      <c r="K1782" s="2"/>
    </row>
    <row r="1783" spans="4:11" x14ac:dyDescent="0.2">
      <c r="D1783" s="2"/>
      <c r="E1783" s="2"/>
      <c r="F1783" s="2"/>
      <c r="G1783" s="2"/>
      <c r="H1783" s="2"/>
      <c r="I1783" s="2"/>
      <c r="J1783" s="2"/>
      <c r="K1783" s="2"/>
    </row>
    <row r="1784" spans="4:11" x14ac:dyDescent="0.2">
      <c r="D1784" s="2"/>
      <c r="E1784" s="2"/>
      <c r="F1784" s="2"/>
      <c r="G1784" s="2"/>
      <c r="H1784" s="2"/>
      <c r="I1784" s="2"/>
      <c r="J1784" s="2"/>
      <c r="K1784" s="2"/>
    </row>
    <row r="1785" spans="4:11" x14ac:dyDescent="0.2">
      <c r="D1785" s="2"/>
      <c r="E1785" s="2"/>
      <c r="F1785" s="2"/>
      <c r="G1785" s="2"/>
      <c r="H1785" s="2"/>
      <c r="I1785" s="2"/>
      <c r="J1785" s="2"/>
      <c r="K1785" s="2"/>
    </row>
    <row r="1786" spans="4:11" x14ac:dyDescent="0.2">
      <c r="D1786" s="2"/>
      <c r="E1786" s="2"/>
      <c r="F1786" s="2"/>
      <c r="G1786" s="2"/>
      <c r="H1786" s="2"/>
      <c r="I1786" s="2"/>
      <c r="J1786" s="2"/>
      <c r="K1786" s="2"/>
    </row>
    <row r="1787" spans="4:11" x14ac:dyDescent="0.2">
      <c r="D1787" s="2"/>
      <c r="E1787" s="2"/>
      <c r="F1787" s="2"/>
      <c r="G1787" s="2"/>
      <c r="H1787" s="2"/>
      <c r="I1787" s="2"/>
      <c r="J1787" s="2"/>
      <c r="K1787" s="2"/>
    </row>
    <row r="1788" spans="4:11" x14ac:dyDescent="0.2">
      <c r="D1788" s="2"/>
      <c r="E1788" s="2"/>
      <c r="F1788" s="2"/>
      <c r="G1788" s="2"/>
      <c r="H1788" s="2"/>
      <c r="I1788" s="2"/>
      <c r="J1788" s="2"/>
      <c r="K1788" s="2"/>
    </row>
    <row r="1789" spans="4:11" x14ac:dyDescent="0.2">
      <c r="D1789" s="2"/>
      <c r="E1789" s="2"/>
      <c r="F1789" s="2"/>
      <c r="G1789" s="2"/>
      <c r="H1789" s="2"/>
      <c r="I1789" s="2"/>
      <c r="J1789" s="2"/>
      <c r="K1789" s="2"/>
    </row>
    <row r="1790" spans="4:11" x14ac:dyDescent="0.2">
      <c r="D1790" s="2"/>
      <c r="E1790" s="2"/>
      <c r="F1790" s="2"/>
      <c r="G1790" s="2"/>
      <c r="H1790" s="2"/>
      <c r="I1790" s="2"/>
      <c r="J1790" s="2"/>
      <c r="K1790" s="2"/>
    </row>
    <row r="1791" spans="4:11" x14ac:dyDescent="0.2">
      <c r="D1791" s="2"/>
      <c r="E1791" s="2"/>
      <c r="F1791" s="2"/>
      <c r="G1791" s="2"/>
      <c r="H1791" s="2"/>
      <c r="I1791" s="2"/>
      <c r="J1791" s="2"/>
      <c r="K1791" s="2"/>
    </row>
    <row r="1792" spans="4:11" x14ac:dyDescent="0.2">
      <c r="D1792" s="2"/>
      <c r="E1792" s="2"/>
      <c r="F1792" s="2"/>
      <c r="G1792" s="2"/>
      <c r="H1792" s="2"/>
      <c r="I1792" s="2"/>
      <c r="J1792" s="2"/>
      <c r="K1792" s="2"/>
    </row>
    <row r="1793" spans="4:11" x14ac:dyDescent="0.2">
      <c r="D1793" s="2"/>
      <c r="E1793" s="2"/>
      <c r="F1793" s="2"/>
      <c r="G1793" s="2"/>
      <c r="H1793" s="2"/>
      <c r="I1793" s="2"/>
      <c r="J1793" s="2"/>
      <c r="K1793" s="2"/>
    </row>
    <row r="1794" spans="4:11" x14ac:dyDescent="0.2">
      <c r="D1794" s="2"/>
      <c r="E1794" s="2"/>
      <c r="F1794" s="2"/>
      <c r="G1794" s="2"/>
      <c r="H1794" s="2"/>
      <c r="I1794" s="2"/>
      <c r="J1794" s="2"/>
      <c r="K1794" s="2"/>
    </row>
    <row r="1795" spans="4:11" x14ac:dyDescent="0.2">
      <c r="D1795" s="2"/>
      <c r="E1795" s="2"/>
      <c r="F1795" s="2"/>
      <c r="G1795" s="2"/>
      <c r="H1795" s="2"/>
      <c r="I1795" s="2"/>
      <c r="J1795" s="2"/>
      <c r="K1795" s="2"/>
    </row>
    <row r="1796" spans="4:11" x14ac:dyDescent="0.2">
      <c r="D1796" s="2"/>
      <c r="E1796" s="2"/>
      <c r="F1796" s="2"/>
      <c r="G1796" s="2"/>
      <c r="H1796" s="2"/>
      <c r="I1796" s="2"/>
      <c r="J1796" s="2"/>
      <c r="K1796" s="2"/>
    </row>
    <row r="1797" spans="4:11" x14ac:dyDescent="0.2">
      <c r="D1797" s="2"/>
      <c r="E1797" s="2"/>
      <c r="F1797" s="2"/>
      <c r="G1797" s="2"/>
      <c r="H1797" s="2"/>
      <c r="I1797" s="2"/>
      <c r="J1797" s="2"/>
      <c r="K1797" s="2"/>
    </row>
    <row r="1798" spans="4:11" x14ac:dyDescent="0.2">
      <c r="D1798" s="2"/>
      <c r="E1798" s="2"/>
      <c r="F1798" s="2"/>
      <c r="G1798" s="2"/>
      <c r="H1798" s="2"/>
      <c r="I1798" s="2"/>
      <c r="J1798" s="2"/>
      <c r="K1798" s="2"/>
    </row>
    <row r="1799" spans="4:11" x14ac:dyDescent="0.2">
      <c r="D1799" s="2"/>
      <c r="E1799" s="2"/>
      <c r="F1799" s="2"/>
      <c r="G1799" s="2"/>
      <c r="H1799" s="2"/>
      <c r="I1799" s="2"/>
      <c r="J1799" s="2"/>
      <c r="K1799" s="2"/>
    </row>
    <row r="1800" spans="4:11" x14ac:dyDescent="0.2">
      <c r="D1800" s="2"/>
      <c r="E1800" s="2"/>
      <c r="F1800" s="2"/>
      <c r="G1800" s="2"/>
      <c r="H1800" s="2"/>
      <c r="I1800" s="2"/>
      <c r="J1800" s="2"/>
      <c r="K1800" s="2"/>
    </row>
    <row r="1801" spans="4:11" x14ac:dyDescent="0.2">
      <c r="D1801" s="2"/>
      <c r="E1801" s="2"/>
      <c r="F1801" s="2"/>
      <c r="G1801" s="2"/>
      <c r="H1801" s="2"/>
      <c r="I1801" s="2"/>
      <c r="J1801" s="2"/>
      <c r="K1801" s="2"/>
    </row>
    <row r="1802" spans="4:11" x14ac:dyDescent="0.2">
      <c r="D1802" s="2"/>
      <c r="E1802" s="2"/>
      <c r="F1802" s="2"/>
      <c r="G1802" s="2"/>
      <c r="H1802" s="2"/>
      <c r="I1802" s="2"/>
      <c r="J1802" s="2"/>
      <c r="K1802" s="2"/>
    </row>
    <row r="1803" spans="4:11" x14ac:dyDescent="0.2">
      <c r="D1803" s="2"/>
      <c r="E1803" s="2"/>
      <c r="F1803" s="2"/>
      <c r="G1803" s="2"/>
      <c r="H1803" s="2"/>
      <c r="I1803" s="2"/>
      <c r="J1803" s="2"/>
      <c r="K1803" s="2"/>
    </row>
    <row r="1804" spans="4:11" x14ac:dyDescent="0.2">
      <c r="D1804" s="2"/>
      <c r="E1804" s="2"/>
      <c r="F1804" s="2"/>
      <c r="G1804" s="2"/>
      <c r="H1804" s="2"/>
      <c r="I1804" s="2"/>
      <c r="J1804" s="2"/>
      <c r="K1804" s="2"/>
    </row>
    <row r="1805" spans="4:11" x14ac:dyDescent="0.2">
      <c r="D1805" s="2"/>
      <c r="E1805" s="2"/>
      <c r="F1805" s="2"/>
      <c r="G1805" s="2"/>
      <c r="H1805" s="2"/>
      <c r="I1805" s="2"/>
      <c r="J1805" s="2"/>
      <c r="K1805" s="2"/>
    </row>
    <row r="1806" spans="4:11" x14ac:dyDescent="0.2">
      <c r="D1806" s="2"/>
      <c r="E1806" s="2"/>
      <c r="F1806" s="2"/>
      <c r="G1806" s="2"/>
      <c r="H1806" s="2"/>
      <c r="I1806" s="2"/>
      <c r="J1806" s="2"/>
      <c r="K1806" s="2"/>
    </row>
    <row r="1807" spans="4:11" x14ac:dyDescent="0.2">
      <c r="D1807" s="2"/>
      <c r="E1807" s="2"/>
      <c r="F1807" s="2"/>
      <c r="G1807" s="2"/>
      <c r="H1807" s="2"/>
      <c r="I1807" s="2"/>
      <c r="J1807" s="2"/>
      <c r="K1807" s="2"/>
    </row>
    <row r="1808" spans="4:11" x14ac:dyDescent="0.2">
      <c r="D1808" s="2"/>
      <c r="E1808" s="2"/>
      <c r="F1808" s="2"/>
      <c r="G1808" s="2"/>
      <c r="H1808" s="2"/>
      <c r="I1808" s="2"/>
      <c r="J1808" s="2"/>
      <c r="K1808" s="2"/>
    </row>
    <row r="1809" spans="4:11" x14ac:dyDescent="0.2">
      <c r="D1809" s="2"/>
      <c r="E1809" s="2"/>
      <c r="F1809" s="2"/>
      <c r="G1809" s="2"/>
      <c r="H1809" s="2"/>
      <c r="I1809" s="2"/>
      <c r="J1809" s="2"/>
      <c r="K1809" s="2"/>
    </row>
    <row r="1810" spans="4:11" x14ac:dyDescent="0.2">
      <c r="D1810" s="2"/>
      <c r="E1810" s="2"/>
      <c r="F1810" s="2"/>
      <c r="G1810" s="2"/>
      <c r="H1810" s="2"/>
      <c r="I1810" s="2"/>
      <c r="J1810" s="2"/>
      <c r="K1810" s="2"/>
    </row>
    <row r="1811" spans="4:11" x14ac:dyDescent="0.2">
      <c r="D1811" s="2"/>
      <c r="E1811" s="2"/>
      <c r="F1811" s="2"/>
      <c r="G1811" s="2"/>
      <c r="H1811" s="2"/>
      <c r="I1811" s="2"/>
      <c r="J1811" s="2"/>
      <c r="K1811" s="2"/>
    </row>
    <row r="1812" spans="4:11" x14ac:dyDescent="0.2">
      <c r="D1812" s="2"/>
      <c r="E1812" s="2"/>
      <c r="F1812" s="2"/>
      <c r="G1812" s="2"/>
      <c r="H1812" s="2"/>
      <c r="I1812" s="2"/>
      <c r="J1812" s="2"/>
      <c r="K1812" s="2"/>
    </row>
    <row r="1813" spans="4:11" x14ac:dyDescent="0.2">
      <c r="D1813" s="2"/>
      <c r="E1813" s="2"/>
      <c r="F1813" s="2"/>
      <c r="G1813" s="2"/>
      <c r="H1813" s="2"/>
      <c r="I1813" s="2"/>
      <c r="J1813" s="2"/>
      <c r="K1813" s="2"/>
    </row>
    <row r="1814" spans="4:11" x14ac:dyDescent="0.2">
      <c r="D1814" s="2"/>
      <c r="E1814" s="2"/>
      <c r="F1814" s="2"/>
      <c r="G1814" s="2"/>
      <c r="H1814" s="2"/>
      <c r="I1814" s="2"/>
      <c r="J1814" s="2"/>
      <c r="K1814" s="2"/>
    </row>
    <row r="1815" spans="4:11" x14ac:dyDescent="0.2">
      <c r="D1815" s="2"/>
      <c r="E1815" s="2"/>
      <c r="F1815" s="2"/>
      <c r="G1815" s="2"/>
      <c r="H1815" s="2"/>
      <c r="I1815" s="2"/>
      <c r="J1815" s="2"/>
      <c r="K1815" s="2"/>
    </row>
    <row r="1816" spans="4:11" x14ac:dyDescent="0.2">
      <c r="D1816" s="2"/>
      <c r="E1816" s="2"/>
      <c r="F1816" s="2"/>
      <c r="G1816" s="2"/>
      <c r="H1816" s="2"/>
      <c r="I1816" s="2"/>
      <c r="J1816" s="2"/>
      <c r="K1816" s="2"/>
    </row>
    <row r="1817" spans="4:11" x14ac:dyDescent="0.2">
      <c r="D1817" s="2"/>
      <c r="E1817" s="2"/>
      <c r="F1817" s="2"/>
      <c r="G1817" s="2"/>
      <c r="H1817" s="2"/>
      <c r="I1817" s="2"/>
      <c r="J1817" s="2"/>
      <c r="K1817" s="2"/>
    </row>
    <row r="1818" spans="4:11" x14ac:dyDescent="0.2">
      <c r="D1818" s="2"/>
      <c r="E1818" s="2"/>
      <c r="F1818" s="2"/>
      <c r="G1818" s="2"/>
      <c r="H1818" s="2"/>
      <c r="I1818" s="2"/>
      <c r="J1818" s="2"/>
      <c r="K1818" s="2"/>
    </row>
    <row r="1819" spans="4:11" x14ac:dyDescent="0.2">
      <c r="D1819" s="2"/>
      <c r="E1819" s="2"/>
      <c r="F1819" s="2"/>
      <c r="G1819" s="2"/>
      <c r="H1819" s="2"/>
      <c r="I1819" s="2"/>
      <c r="J1819" s="2"/>
      <c r="K1819" s="2"/>
    </row>
    <row r="1820" spans="4:11" x14ac:dyDescent="0.2">
      <c r="D1820" s="2"/>
      <c r="E1820" s="2"/>
      <c r="F1820" s="2"/>
      <c r="G1820" s="2"/>
      <c r="H1820" s="2"/>
      <c r="I1820" s="2"/>
      <c r="J1820" s="2"/>
      <c r="K1820" s="2"/>
    </row>
    <row r="1821" spans="4:11" x14ac:dyDescent="0.2">
      <c r="D1821" s="2"/>
      <c r="E1821" s="2"/>
      <c r="F1821" s="2"/>
      <c r="G1821" s="2"/>
      <c r="H1821" s="2"/>
      <c r="I1821" s="2"/>
      <c r="J1821" s="2"/>
      <c r="K1821" s="2"/>
    </row>
    <row r="1822" spans="4:11" x14ac:dyDescent="0.2">
      <c r="D1822" s="2"/>
      <c r="E1822" s="2"/>
      <c r="F1822" s="2"/>
      <c r="G1822" s="2"/>
      <c r="H1822" s="2"/>
      <c r="I1822" s="2"/>
      <c r="J1822" s="2"/>
      <c r="K1822" s="2"/>
    </row>
    <row r="1823" spans="4:11" x14ac:dyDescent="0.2">
      <c r="D1823" s="2"/>
      <c r="E1823" s="2"/>
      <c r="F1823" s="2"/>
      <c r="G1823" s="2"/>
      <c r="H1823" s="2"/>
      <c r="I1823" s="2"/>
      <c r="J1823" s="2"/>
      <c r="K1823" s="2"/>
    </row>
    <row r="1824" spans="4:11" x14ac:dyDescent="0.2">
      <c r="D1824" s="2"/>
      <c r="E1824" s="2"/>
      <c r="F1824" s="2"/>
      <c r="G1824" s="2"/>
      <c r="H1824" s="2"/>
      <c r="I1824" s="2"/>
      <c r="J1824" s="2"/>
      <c r="K1824" s="2"/>
    </row>
    <row r="1825" spans="4:11" x14ac:dyDescent="0.2">
      <c r="D1825" s="2"/>
      <c r="E1825" s="2"/>
      <c r="F1825" s="2"/>
      <c r="G1825" s="2"/>
      <c r="H1825" s="2"/>
      <c r="I1825" s="2"/>
      <c r="J1825" s="2"/>
      <c r="K1825" s="2"/>
    </row>
    <row r="1826" spans="4:11" x14ac:dyDescent="0.2">
      <c r="D1826" s="2"/>
      <c r="E1826" s="2"/>
      <c r="F1826" s="2"/>
      <c r="G1826" s="2"/>
      <c r="H1826" s="2"/>
      <c r="I1826" s="2"/>
      <c r="J1826" s="2"/>
      <c r="K1826" s="2"/>
    </row>
    <row r="1827" spans="4:11" x14ac:dyDescent="0.2">
      <c r="D1827" s="2"/>
      <c r="E1827" s="2"/>
      <c r="F1827" s="2"/>
      <c r="G1827" s="2"/>
      <c r="H1827" s="2"/>
      <c r="I1827" s="2"/>
      <c r="J1827" s="2"/>
      <c r="K1827" s="2"/>
    </row>
    <row r="1828" spans="4:11" x14ac:dyDescent="0.2">
      <c r="D1828" s="2"/>
      <c r="E1828" s="2"/>
      <c r="F1828" s="2"/>
      <c r="G1828" s="2"/>
      <c r="H1828" s="2"/>
      <c r="I1828" s="2"/>
      <c r="J1828" s="2"/>
      <c r="K1828" s="2"/>
    </row>
    <row r="1829" spans="4:11" x14ac:dyDescent="0.2">
      <c r="D1829" s="2"/>
      <c r="E1829" s="2"/>
      <c r="F1829" s="2"/>
      <c r="G1829" s="2"/>
      <c r="H1829" s="2"/>
      <c r="I1829" s="2"/>
      <c r="J1829" s="2"/>
      <c r="K1829" s="2"/>
    </row>
    <row r="1830" spans="4:11" x14ac:dyDescent="0.2">
      <c r="D1830" s="2"/>
      <c r="E1830" s="2"/>
      <c r="F1830" s="2"/>
      <c r="G1830" s="2"/>
      <c r="H1830" s="2"/>
      <c r="I1830" s="2"/>
      <c r="J1830" s="2"/>
      <c r="K1830" s="2"/>
    </row>
    <row r="1831" spans="4:11" x14ac:dyDescent="0.2">
      <c r="D1831" s="2"/>
      <c r="E1831" s="2"/>
      <c r="F1831" s="2"/>
      <c r="G1831" s="2"/>
      <c r="H1831" s="2"/>
      <c r="I1831" s="2"/>
      <c r="J1831" s="2"/>
      <c r="K1831" s="2"/>
    </row>
    <row r="1832" spans="4:11" x14ac:dyDescent="0.2">
      <c r="D1832" s="2"/>
      <c r="E1832" s="2"/>
      <c r="F1832" s="2"/>
      <c r="G1832" s="2"/>
      <c r="H1832" s="2"/>
      <c r="I1832" s="2"/>
      <c r="J1832" s="2"/>
      <c r="K1832" s="2"/>
    </row>
    <row r="1833" spans="4:11" x14ac:dyDescent="0.2">
      <c r="D1833" s="2"/>
      <c r="E1833" s="2"/>
      <c r="F1833" s="2"/>
      <c r="G1833" s="2"/>
      <c r="H1833" s="2"/>
      <c r="I1833" s="2"/>
      <c r="J1833" s="2"/>
      <c r="K1833" s="2"/>
    </row>
    <row r="1834" spans="4:11" x14ac:dyDescent="0.2">
      <c r="D1834" s="2"/>
      <c r="E1834" s="2"/>
      <c r="F1834" s="2"/>
      <c r="G1834" s="2"/>
      <c r="H1834" s="2"/>
      <c r="I1834" s="2"/>
      <c r="J1834" s="2"/>
      <c r="K1834" s="2"/>
    </row>
    <row r="1835" spans="4:11" x14ac:dyDescent="0.2">
      <c r="D1835" s="2"/>
      <c r="E1835" s="2"/>
      <c r="F1835" s="2"/>
      <c r="G1835" s="2"/>
      <c r="H1835" s="2"/>
      <c r="I1835" s="2"/>
      <c r="J1835" s="2"/>
      <c r="K1835" s="2"/>
    </row>
    <row r="1836" spans="4:11" x14ac:dyDescent="0.2">
      <c r="D1836" s="2"/>
      <c r="E1836" s="2"/>
      <c r="F1836" s="2"/>
      <c r="G1836" s="2"/>
      <c r="H1836" s="2"/>
      <c r="I1836" s="2"/>
      <c r="J1836" s="2"/>
      <c r="K1836" s="2"/>
    </row>
    <row r="1837" spans="4:11" x14ac:dyDescent="0.2">
      <c r="D1837" s="2"/>
      <c r="E1837" s="2"/>
      <c r="F1837" s="2"/>
      <c r="G1837" s="2"/>
      <c r="H1837" s="2"/>
      <c r="I1837" s="2"/>
      <c r="J1837" s="2"/>
      <c r="K1837" s="2"/>
    </row>
    <row r="1838" spans="4:11" x14ac:dyDescent="0.2">
      <c r="D1838" s="2"/>
      <c r="E1838" s="2"/>
      <c r="F1838" s="2"/>
      <c r="G1838" s="2"/>
      <c r="H1838" s="2"/>
      <c r="I1838" s="2"/>
      <c r="J1838" s="2"/>
      <c r="K1838" s="2"/>
    </row>
    <row r="1839" spans="4:11" x14ac:dyDescent="0.2">
      <c r="D1839" s="2"/>
      <c r="E1839" s="2"/>
      <c r="F1839" s="2"/>
      <c r="G1839" s="2"/>
      <c r="H1839" s="2"/>
      <c r="I1839" s="2"/>
      <c r="J1839" s="2"/>
      <c r="K1839" s="2"/>
    </row>
    <row r="1840" spans="4:11" x14ac:dyDescent="0.2">
      <c r="D1840" s="2"/>
      <c r="E1840" s="2"/>
      <c r="F1840" s="2"/>
      <c r="G1840" s="2"/>
      <c r="H1840" s="2"/>
      <c r="I1840" s="2"/>
      <c r="J1840" s="2"/>
      <c r="K1840" s="2"/>
    </row>
    <row r="1841" spans="4:11" x14ac:dyDescent="0.2">
      <c r="D1841" s="2"/>
      <c r="E1841" s="2"/>
      <c r="F1841" s="2"/>
      <c r="G1841" s="2"/>
      <c r="H1841" s="2"/>
      <c r="I1841" s="2"/>
      <c r="J1841" s="2"/>
      <c r="K1841" s="2"/>
    </row>
    <row r="1842" spans="4:11" x14ac:dyDescent="0.2">
      <c r="D1842" s="2"/>
      <c r="E1842" s="2"/>
      <c r="F1842" s="2"/>
      <c r="G1842" s="2"/>
      <c r="H1842" s="2"/>
      <c r="I1842" s="2"/>
      <c r="J1842" s="2"/>
      <c r="K1842" s="2"/>
    </row>
    <row r="1843" spans="4:11" x14ac:dyDescent="0.2">
      <c r="D1843" s="2"/>
      <c r="E1843" s="2"/>
      <c r="F1843" s="2"/>
      <c r="G1843" s="2"/>
      <c r="H1843" s="2"/>
      <c r="I1843" s="2"/>
      <c r="J1843" s="2"/>
      <c r="K1843" s="2"/>
    </row>
    <row r="1844" spans="4:11" x14ac:dyDescent="0.2">
      <c r="D1844" s="2"/>
      <c r="E1844" s="2"/>
      <c r="F1844" s="2"/>
      <c r="G1844" s="2"/>
      <c r="H1844" s="2"/>
      <c r="I1844" s="2"/>
      <c r="J1844" s="2"/>
      <c r="K1844" s="2"/>
    </row>
    <row r="1845" spans="4:11" x14ac:dyDescent="0.2">
      <c r="D1845" s="2"/>
      <c r="E1845" s="2"/>
      <c r="F1845" s="2"/>
      <c r="G1845" s="2"/>
      <c r="H1845" s="2"/>
      <c r="I1845" s="2"/>
      <c r="J1845" s="2"/>
      <c r="K1845" s="2"/>
    </row>
    <row r="1846" spans="4:11" x14ac:dyDescent="0.2">
      <c r="D1846" s="2"/>
      <c r="E1846" s="2"/>
      <c r="F1846" s="2"/>
      <c r="G1846" s="2"/>
      <c r="H1846" s="2"/>
      <c r="I1846" s="2"/>
      <c r="J1846" s="2"/>
      <c r="K1846" s="2"/>
    </row>
    <row r="1847" spans="4:11" x14ac:dyDescent="0.2">
      <c r="D1847" s="2"/>
      <c r="E1847" s="2"/>
      <c r="F1847" s="2"/>
      <c r="G1847" s="2"/>
      <c r="H1847" s="2"/>
      <c r="I1847" s="2"/>
      <c r="J1847" s="2"/>
      <c r="K1847" s="2"/>
    </row>
    <row r="1848" spans="4:11" x14ac:dyDescent="0.2">
      <c r="D1848" s="2"/>
      <c r="E1848" s="2"/>
      <c r="F1848" s="2"/>
      <c r="G1848" s="2"/>
      <c r="H1848" s="2"/>
      <c r="I1848" s="2"/>
      <c r="J1848" s="2"/>
      <c r="K1848" s="2"/>
    </row>
    <row r="1849" spans="4:11" x14ac:dyDescent="0.2">
      <c r="D1849" s="2"/>
      <c r="E1849" s="2"/>
      <c r="F1849" s="2"/>
      <c r="G1849" s="2"/>
      <c r="H1849" s="2"/>
      <c r="I1849" s="2"/>
      <c r="J1849" s="2"/>
      <c r="K1849" s="2"/>
    </row>
    <row r="1850" spans="4:11" x14ac:dyDescent="0.2">
      <c r="D1850" s="2"/>
      <c r="E1850" s="2"/>
      <c r="F1850" s="2"/>
      <c r="G1850" s="2"/>
      <c r="H1850" s="2"/>
      <c r="I1850" s="2"/>
      <c r="J1850" s="2"/>
      <c r="K1850" s="2"/>
    </row>
    <row r="1851" spans="4:11" x14ac:dyDescent="0.2">
      <c r="D1851" s="2"/>
      <c r="E1851" s="2"/>
      <c r="F1851" s="2"/>
      <c r="G1851" s="2"/>
      <c r="H1851" s="2"/>
      <c r="I1851" s="2"/>
      <c r="J1851" s="2"/>
      <c r="K1851" s="2"/>
    </row>
    <row r="1852" spans="4:11" x14ac:dyDescent="0.2">
      <c r="D1852" s="2"/>
      <c r="E1852" s="2"/>
      <c r="F1852" s="2"/>
      <c r="G1852" s="2"/>
      <c r="H1852" s="2"/>
      <c r="I1852" s="2"/>
      <c r="J1852" s="2"/>
      <c r="K1852" s="2"/>
    </row>
    <row r="1853" spans="4:11" x14ac:dyDescent="0.2">
      <c r="D1853" s="2"/>
      <c r="E1853" s="2"/>
      <c r="F1853" s="2"/>
      <c r="G1853" s="2"/>
      <c r="H1853" s="2"/>
      <c r="I1853" s="2"/>
      <c r="J1853" s="2"/>
      <c r="K1853" s="2"/>
    </row>
    <row r="1854" spans="4:11" x14ac:dyDescent="0.2">
      <c r="D1854" s="2"/>
      <c r="E1854" s="2"/>
      <c r="F1854" s="2"/>
      <c r="G1854" s="2"/>
      <c r="H1854" s="2"/>
      <c r="I1854" s="2"/>
      <c r="J1854" s="2"/>
      <c r="K1854" s="2"/>
    </row>
    <row r="1855" spans="4:11" x14ac:dyDescent="0.2">
      <c r="D1855" s="2"/>
      <c r="E1855" s="2"/>
      <c r="F1855" s="2"/>
      <c r="G1855" s="2"/>
      <c r="H1855" s="2"/>
      <c r="I1855" s="2"/>
      <c r="J1855" s="2"/>
      <c r="K1855" s="2"/>
    </row>
    <row r="1856" spans="4:11" x14ac:dyDescent="0.2">
      <c r="D1856" s="2"/>
      <c r="E1856" s="2"/>
      <c r="F1856" s="2"/>
      <c r="G1856" s="2"/>
      <c r="H1856" s="2"/>
      <c r="I1856" s="2"/>
      <c r="J1856" s="2"/>
      <c r="K1856" s="2"/>
    </row>
    <row r="1857" spans="4:11" x14ac:dyDescent="0.2">
      <c r="D1857" s="2"/>
      <c r="E1857" s="2"/>
      <c r="F1857" s="2"/>
      <c r="G1857" s="2"/>
      <c r="H1857" s="2"/>
      <c r="I1857" s="2"/>
      <c r="J1857" s="2"/>
      <c r="K1857" s="2"/>
    </row>
    <row r="1858" spans="4:11" x14ac:dyDescent="0.2">
      <c r="D1858" s="2"/>
      <c r="E1858" s="2"/>
      <c r="F1858" s="2"/>
      <c r="G1858" s="2"/>
      <c r="H1858" s="2"/>
      <c r="I1858" s="2"/>
      <c r="J1858" s="2"/>
      <c r="K1858" s="2"/>
    </row>
    <row r="1859" spans="4:11" x14ac:dyDescent="0.2">
      <c r="D1859" s="2"/>
      <c r="E1859" s="2"/>
      <c r="F1859" s="2"/>
      <c r="G1859" s="2"/>
      <c r="H1859" s="2"/>
      <c r="I1859" s="2"/>
      <c r="J1859" s="2"/>
      <c r="K1859" s="2"/>
    </row>
    <row r="1860" spans="4:11" x14ac:dyDescent="0.2">
      <c r="D1860" s="2"/>
      <c r="E1860" s="2"/>
      <c r="F1860" s="2"/>
      <c r="G1860" s="2"/>
      <c r="H1860" s="2"/>
      <c r="I1860" s="2"/>
      <c r="J1860" s="2"/>
      <c r="K1860" s="2"/>
    </row>
    <row r="1861" spans="4:11" x14ac:dyDescent="0.2">
      <c r="D1861" s="2"/>
      <c r="E1861" s="2"/>
      <c r="F1861" s="2"/>
      <c r="G1861" s="2"/>
      <c r="H1861" s="2"/>
      <c r="I1861" s="2"/>
      <c r="J1861" s="2"/>
      <c r="K1861" s="2"/>
    </row>
    <row r="1862" spans="4:11" x14ac:dyDescent="0.2">
      <c r="D1862" s="2"/>
      <c r="E1862" s="2"/>
      <c r="F1862" s="2"/>
      <c r="G1862" s="2"/>
      <c r="H1862" s="2"/>
      <c r="I1862" s="2"/>
      <c r="J1862" s="2"/>
      <c r="K1862" s="2"/>
    </row>
    <row r="1863" spans="4:11" x14ac:dyDescent="0.2">
      <c r="D1863" s="2"/>
      <c r="E1863" s="2"/>
      <c r="F1863" s="2"/>
      <c r="G1863" s="2"/>
      <c r="H1863" s="2"/>
      <c r="I1863" s="2"/>
      <c r="J1863" s="2"/>
      <c r="K1863" s="2"/>
    </row>
    <row r="1864" spans="4:11" x14ac:dyDescent="0.2">
      <c r="D1864" s="2"/>
      <c r="E1864" s="2"/>
      <c r="F1864" s="2"/>
      <c r="G1864" s="2"/>
      <c r="H1864" s="2"/>
      <c r="I1864" s="2"/>
      <c r="J1864" s="2"/>
      <c r="K1864" s="2"/>
    </row>
    <row r="1865" spans="4:11" x14ac:dyDescent="0.2">
      <c r="D1865" s="2"/>
      <c r="E1865" s="2"/>
      <c r="F1865" s="2"/>
      <c r="G1865" s="2"/>
      <c r="H1865" s="2"/>
      <c r="I1865" s="2"/>
      <c r="J1865" s="2"/>
      <c r="K1865" s="2"/>
    </row>
    <row r="1866" spans="4:11" x14ac:dyDescent="0.2">
      <c r="D1866" s="2"/>
      <c r="E1866" s="2"/>
      <c r="F1866" s="2"/>
      <c r="G1866" s="2"/>
      <c r="H1866" s="2"/>
      <c r="I1866" s="2"/>
      <c r="J1866" s="2"/>
      <c r="K1866" s="2"/>
    </row>
    <row r="1867" spans="4:11" x14ac:dyDescent="0.2">
      <c r="D1867" s="2"/>
      <c r="E1867" s="2"/>
      <c r="F1867" s="2"/>
      <c r="G1867" s="2"/>
      <c r="H1867" s="2"/>
      <c r="I1867" s="2"/>
      <c r="J1867" s="2"/>
      <c r="K1867" s="2"/>
    </row>
    <row r="1868" spans="4:11" x14ac:dyDescent="0.2">
      <c r="D1868" s="2"/>
      <c r="E1868" s="2"/>
      <c r="F1868" s="2"/>
      <c r="G1868" s="2"/>
      <c r="H1868" s="2"/>
      <c r="I1868" s="2"/>
      <c r="J1868" s="2"/>
      <c r="K1868" s="2"/>
    </row>
    <row r="1869" spans="4:11" x14ac:dyDescent="0.2">
      <c r="D1869" s="2"/>
      <c r="E1869" s="2"/>
      <c r="F1869" s="2"/>
      <c r="G1869" s="2"/>
      <c r="H1869" s="2"/>
      <c r="I1869" s="2"/>
      <c r="J1869" s="2"/>
      <c r="K1869" s="2"/>
    </row>
    <row r="1870" spans="4:11" x14ac:dyDescent="0.2">
      <c r="D1870" s="2"/>
      <c r="E1870" s="2"/>
      <c r="F1870" s="2"/>
      <c r="G1870" s="2"/>
      <c r="H1870" s="2"/>
      <c r="I1870" s="2"/>
      <c r="J1870" s="2"/>
      <c r="K1870" s="2"/>
    </row>
    <row r="1871" spans="4:11" x14ac:dyDescent="0.2">
      <c r="D1871" s="2"/>
      <c r="E1871" s="2"/>
      <c r="F1871" s="2"/>
      <c r="G1871" s="2"/>
      <c r="H1871" s="2"/>
      <c r="I1871" s="2"/>
      <c r="J1871" s="2"/>
      <c r="K1871" s="2"/>
    </row>
    <row r="1872" spans="4:11" x14ac:dyDescent="0.2">
      <c r="D1872" s="2"/>
      <c r="E1872" s="2"/>
      <c r="F1872" s="2"/>
      <c r="G1872" s="2"/>
      <c r="H1872" s="2"/>
      <c r="I1872" s="2"/>
      <c r="J1872" s="2"/>
      <c r="K1872" s="2"/>
    </row>
    <row r="1873" spans="4:11" x14ac:dyDescent="0.2">
      <c r="D1873" s="2"/>
      <c r="E1873" s="2"/>
      <c r="F1873" s="2"/>
      <c r="G1873" s="2"/>
      <c r="H1873" s="2"/>
      <c r="I1873" s="2"/>
      <c r="J1873" s="2"/>
      <c r="K1873" s="2"/>
    </row>
    <row r="1874" spans="4:11" x14ac:dyDescent="0.2">
      <c r="D1874" s="2"/>
      <c r="E1874" s="2"/>
      <c r="F1874" s="2"/>
      <c r="G1874" s="2"/>
      <c r="H1874" s="2"/>
      <c r="I1874" s="2"/>
      <c r="J1874" s="2"/>
      <c r="K1874" s="2"/>
    </row>
    <row r="1875" spans="4:11" x14ac:dyDescent="0.2">
      <c r="D1875" s="2"/>
      <c r="E1875" s="2"/>
      <c r="F1875" s="2"/>
      <c r="G1875" s="2"/>
      <c r="H1875" s="2"/>
      <c r="I1875" s="2"/>
      <c r="J1875" s="2"/>
      <c r="K1875" s="2"/>
    </row>
    <row r="1876" spans="4:11" x14ac:dyDescent="0.2">
      <c r="D1876" s="2"/>
      <c r="E1876" s="2"/>
      <c r="F1876" s="2"/>
      <c r="G1876" s="2"/>
      <c r="H1876" s="2"/>
      <c r="I1876" s="2"/>
      <c r="J1876" s="2"/>
      <c r="K1876" s="2"/>
    </row>
    <row r="1877" spans="4:11" x14ac:dyDescent="0.2">
      <c r="D1877" s="2"/>
      <c r="E1877" s="2"/>
      <c r="F1877" s="2"/>
      <c r="G1877" s="2"/>
      <c r="H1877" s="2"/>
      <c r="I1877" s="2"/>
      <c r="J1877" s="2"/>
      <c r="K1877" s="2"/>
    </row>
    <row r="1878" spans="4:11" x14ac:dyDescent="0.2">
      <c r="D1878" s="2"/>
      <c r="E1878" s="2"/>
      <c r="F1878" s="2"/>
      <c r="G1878" s="2"/>
      <c r="H1878" s="2"/>
      <c r="I1878" s="2"/>
      <c r="J1878" s="2"/>
      <c r="K1878" s="2"/>
    </row>
    <row r="1879" spans="4:11" x14ac:dyDescent="0.2">
      <c r="D1879" s="2"/>
      <c r="E1879" s="2"/>
      <c r="F1879" s="2"/>
      <c r="G1879" s="2"/>
      <c r="H1879" s="2"/>
      <c r="I1879" s="2"/>
      <c r="J1879" s="2"/>
      <c r="K1879" s="2"/>
    </row>
    <row r="1880" spans="4:11" x14ac:dyDescent="0.2">
      <c r="D1880" s="2"/>
      <c r="E1880" s="2"/>
      <c r="F1880" s="2"/>
      <c r="G1880" s="2"/>
      <c r="H1880" s="2"/>
      <c r="I1880" s="2"/>
      <c r="J1880" s="2"/>
      <c r="K1880" s="2"/>
    </row>
    <row r="1881" spans="4:11" x14ac:dyDescent="0.2">
      <c r="D1881" s="2"/>
      <c r="E1881" s="2"/>
      <c r="F1881" s="2"/>
      <c r="G1881" s="2"/>
      <c r="H1881" s="2"/>
      <c r="I1881" s="2"/>
      <c r="J1881" s="2"/>
      <c r="K1881" s="2"/>
    </row>
    <row r="1882" spans="4:11" x14ac:dyDescent="0.2">
      <c r="D1882" s="2"/>
      <c r="E1882" s="2"/>
      <c r="F1882" s="2"/>
      <c r="G1882" s="2"/>
      <c r="H1882" s="2"/>
      <c r="I1882" s="2"/>
      <c r="J1882" s="2"/>
      <c r="K1882" s="2"/>
    </row>
    <row r="1883" spans="4:11" x14ac:dyDescent="0.2">
      <c r="D1883" s="2"/>
      <c r="E1883" s="2"/>
      <c r="F1883" s="2"/>
      <c r="G1883" s="2"/>
      <c r="H1883" s="2"/>
      <c r="I1883" s="2"/>
      <c r="J1883" s="2"/>
      <c r="K1883" s="2"/>
    </row>
    <row r="1884" spans="4:11" x14ac:dyDescent="0.2">
      <c r="D1884" s="2"/>
      <c r="E1884" s="2"/>
      <c r="F1884" s="2"/>
      <c r="G1884" s="2"/>
      <c r="H1884" s="2"/>
      <c r="I1884" s="2"/>
      <c r="J1884" s="2"/>
      <c r="K1884" s="2"/>
    </row>
    <row r="1885" spans="4:11" x14ac:dyDescent="0.2">
      <c r="D1885" s="2"/>
      <c r="E1885" s="2"/>
      <c r="F1885" s="2"/>
      <c r="G1885" s="2"/>
      <c r="H1885" s="2"/>
      <c r="I1885" s="2"/>
      <c r="J1885" s="2"/>
      <c r="K1885" s="2"/>
    </row>
    <row r="1886" spans="4:11" x14ac:dyDescent="0.2">
      <c r="D1886" s="2"/>
      <c r="E1886" s="2"/>
      <c r="F1886" s="2"/>
      <c r="G1886" s="2"/>
      <c r="H1886" s="2"/>
      <c r="I1886" s="2"/>
      <c r="J1886" s="2"/>
      <c r="K1886" s="2"/>
    </row>
    <row r="1887" spans="4:11" x14ac:dyDescent="0.2">
      <c r="D1887" s="2"/>
      <c r="E1887" s="2"/>
      <c r="F1887" s="2"/>
      <c r="G1887" s="2"/>
      <c r="H1887" s="2"/>
      <c r="I1887" s="2"/>
      <c r="J1887" s="2"/>
      <c r="K1887" s="2"/>
    </row>
    <row r="1888" spans="4:11" x14ac:dyDescent="0.2">
      <c r="D1888" s="2"/>
      <c r="E1888" s="2"/>
      <c r="F1888" s="2"/>
      <c r="G1888" s="2"/>
      <c r="H1888" s="2"/>
      <c r="I1888" s="2"/>
      <c r="J1888" s="2"/>
      <c r="K1888" s="2"/>
    </row>
    <row r="1889" spans="4:11" x14ac:dyDescent="0.2">
      <c r="D1889" s="2"/>
      <c r="E1889" s="2"/>
      <c r="F1889" s="2"/>
      <c r="G1889" s="2"/>
      <c r="H1889" s="2"/>
      <c r="I1889" s="2"/>
      <c r="J1889" s="2"/>
      <c r="K1889" s="2"/>
    </row>
    <row r="1890" spans="4:11" x14ac:dyDescent="0.2">
      <c r="D1890" s="2"/>
      <c r="E1890" s="2"/>
      <c r="F1890" s="2"/>
      <c r="G1890" s="2"/>
      <c r="H1890" s="2"/>
      <c r="I1890" s="2"/>
      <c r="J1890" s="2"/>
      <c r="K1890" s="2"/>
    </row>
    <row r="1891" spans="4:11" x14ac:dyDescent="0.2">
      <c r="D1891" s="2"/>
      <c r="E1891" s="2"/>
      <c r="F1891" s="2"/>
      <c r="G1891" s="2"/>
      <c r="H1891" s="2"/>
      <c r="I1891" s="2"/>
      <c r="J1891" s="2"/>
      <c r="K1891" s="2"/>
    </row>
    <row r="1892" spans="4:11" x14ac:dyDescent="0.2">
      <c r="D1892" s="2"/>
      <c r="E1892" s="2"/>
      <c r="F1892" s="2"/>
      <c r="G1892" s="2"/>
      <c r="H1892" s="2"/>
      <c r="I1892" s="2"/>
      <c r="J1892" s="2"/>
      <c r="K1892" s="2"/>
    </row>
    <row r="1893" spans="4:11" x14ac:dyDescent="0.2">
      <c r="D1893" s="2"/>
      <c r="E1893" s="2"/>
      <c r="F1893" s="2"/>
      <c r="G1893" s="2"/>
      <c r="H1893" s="2"/>
      <c r="I1893" s="2"/>
      <c r="J1893" s="2"/>
      <c r="K1893" s="2"/>
    </row>
    <row r="1894" spans="4:11" x14ac:dyDescent="0.2">
      <c r="D1894" s="2"/>
      <c r="E1894" s="2"/>
      <c r="F1894" s="2"/>
      <c r="G1894" s="2"/>
      <c r="H1894" s="2"/>
      <c r="I1894" s="2"/>
      <c r="J1894" s="2"/>
      <c r="K1894" s="2"/>
    </row>
    <row r="1895" spans="4:11" x14ac:dyDescent="0.2">
      <c r="D1895" s="2"/>
      <c r="E1895" s="2"/>
      <c r="F1895" s="2"/>
      <c r="G1895" s="2"/>
      <c r="H1895" s="2"/>
      <c r="I1895" s="2"/>
      <c r="J1895" s="2"/>
      <c r="K1895" s="2"/>
    </row>
    <row r="1896" spans="4:11" x14ac:dyDescent="0.2">
      <c r="D1896" s="2"/>
      <c r="E1896" s="2"/>
      <c r="F1896" s="2"/>
      <c r="G1896" s="2"/>
      <c r="H1896" s="2"/>
      <c r="I1896" s="2"/>
      <c r="J1896" s="2"/>
      <c r="K1896" s="2"/>
    </row>
    <row r="1897" spans="4:11" x14ac:dyDescent="0.2">
      <c r="D1897" s="2"/>
      <c r="E1897" s="2"/>
      <c r="F1897" s="2"/>
      <c r="G1897" s="2"/>
      <c r="H1897" s="2"/>
      <c r="I1897" s="2"/>
      <c r="J1897" s="2"/>
      <c r="K1897" s="2"/>
    </row>
    <row r="1898" spans="4:11" x14ac:dyDescent="0.2">
      <c r="D1898" s="2"/>
      <c r="E1898" s="2"/>
      <c r="F1898" s="2"/>
      <c r="G1898" s="2"/>
      <c r="H1898" s="2"/>
      <c r="I1898" s="2"/>
      <c r="J1898" s="2"/>
      <c r="K1898" s="2"/>
    </row>
    <row r="1899" spans="4:11" x14ac:dyDescent="0.2">
      <c r="D1899" s="2"/>
      <c r="E1899" s="2"/>
      <c r="F1899" s="2"/>
      <c r="G1899" s="2"/>
      <c r="H1899" s="2"/>
      <c r="I1899" s="2"/>
      <c r="J1899" s="2"/>
      <c r="K1899" s="2"/>
    </row>
    <row r="1900" spans="4:11" x14ac:dyDescent="0.2">
      <c r="D1900" s="2"/>
      <c r="E1900" s="2"/>
      <c r="F1900" s="2"/>
      <c r="G1900" s="2"/>
      <c r="H1900" s="2"/>
      <c r="I1900" s="2"/>
      <c r="J1900" s="2"/>
      <c r="K1900" s="2"/>
    </row>
    <row r="1901" spans="4:11" x14ac:dyDescent="0.2">
      <c r="D1901" s="2"/>
      <c r="E1901" s="2"/>
      <c r="F1901" s="2"/>
      <c r="G1901" s="2"/>
      <c r="H1901" s="2"/>
      <c r="I1901" s="2"/>
      <c r="J1901" s="2"/>
      <c r="K1901" s="2"/>
    </row>
    <row r="1902" spans="4:11" x14ac:dyDescent="0.2">
      <c r="D1902" s="2"/>
      <c r="E1902" s="2"/>
      <c r="F1902" s="2"/>
      <c r="G1902" s="2"/>
      <c r="H1902" s="2"/>
      <c r="I1902" s="2"/>
      <c r="J1902" s="2"/>
      <c r="K1902" s="2"/>
    </row>
    <row r="1903" spans="4:11" x14ac:dyDescent="0.2">
      <c r="D1903" s="2"/>
      <c r="E1903" s="2"/>
      <c r="F1903" s="2"/>
      <c r="G1903" s="2"/>
      <c r="H1903" s="2"/>
      <c r="I1903" s="2"/>
      <c r="J1903" s="2"/>
      <c r="K1903" s="2"/>
    </row>
    <row r="1904" spans="4:11" x14ac:dyDescent="0.2">
      <c r="D1904" s="2"/>
      <c r="E1904" s="2"/>
      <c r="F1904" s="2"/>
      <c r="G1904" s="2"/>
      <c r="H1904" s="2"/>
      <c r="I1904" s="2"/>
      <c r="J1904" s="2"/>
      <c r="K1904" s="2"/>
    </row>
    <row r="1905" spans="4:11" x14ac:dyDescent="0.2">
      <c r="D1905" s="2"/>
      <c r="E1905" s="2"/>
      <c r="F1905" s="2"/>
      <c r="G1905" s="2"/>
      <c r="H1905" s="2"/>
      <c r="I1905" s="2"/>
      <c r="J1905" s="2"/>
      <c r="K1905" s="2"/>
    </row>
    <row r="1906" spans="4:11" x14ac:dyDescent="0.2">
      <c r="D1906" s="2"/>
      <c r="E1906" s="2"/>
      <c r="F1906" s="2"/>
      <c r="G1906" s="2"/>
      <c r="H1906" s="2"/>
      <c r="I1906" s="2"/>
      <c r="J1906" s="2"/>
      <c r="K1906" s="2"/>
    </row>
    <row r="1907" spans="4:11" x14ac:dyDescent="0.2">
      <c r="D1907" s="2"/>
      <c r="E1907" s="2"/>
      <c r="F1907" s="2"/>
      <c r="G1907" s="2"/>
      <c r="H1907" s="2"/>
      <c r="I1907" s="2"/>
      <c r="J1907" s="2"/>
      <c r="K1907" s="2"/>
    </row>
    <row r="1908" spans="4:11" x14ac:dyDescent="0.2">
      <c r="D1908" s="2"/>
      <c r="E1908" s="2"/>
      <c r="F1908" s="2"/>
      <c r="G1908" s="2"/>
      <c r="H1908" s="2"/>
      <c r="I1908" s="2"/>
      <c r="J1908" s="2"/>
      <c r="K1908" s="2"/>
    </row>
    <row r="1909" spans="4:11" x14ac:dyDescent="0.2">
      <c r="D1909" s="2"/>
      <c r="E1909" s="2"/>
      <c r="F1909" s="2"/>
      <c r="G1909" s="2"/>
      <c r="H1909" s="2"/>
      <c r="I1909" s="2"/>
      <c r="J1909" s="2"/>
      <c r="K1909" s="2"/>
    </row>
    <row r="1910" spans="4:11" x14ac:dyDescent="0.2">
      <c r="D1910" s="2"/>
      <c r="E1910" s="2"/>
      <c r="F1910" s="2"/>
      <c r="G1910" s="2"/>
      <c r="H1910" s="2"/>
      <c r="I1910" s="2"/>
      <c r="J1910" s="2"/>
      <c r="K1910" s="2"/>
    </row>
    <row r="1911" spans="4:11" x14ac:dyDescent="0.2">
      <c r="D1911" s="2"/>
      <c r="E1911" s="2"/>
      <c r="F1911" s="2"/>
      <c r="G1911" s="2"/>
      <c r="H1911" s="2"/>
      <c r="I1911" s="2"/>
      <c r="J1911" s="2"/>
      <c r="K1911" s="2"/>
    </row>
    <row r="1912" spans="4:11" x14ac:dyDescent="0.2">
      <c r="D1912" s="2"/>
      <c r="E1912" s="2"/>
      <c r="F1912" s="2"/>
      <c r="G1912" s="2"/>
      <c r="H1912" s="2"/>
      <c r="I1912" s="2"/>
      <c r="J1912" s="2"/>
      <c r="K1912" s="2"/>
    </row>
    <row r="1913" spans="4:11" x14ac:dyDescent="0.2">
      <c r="D1913" s="2"/>
      <c r="E1913" s="2"/>
      <c r="F1913" s="2"/>
      <c r="G1913" s="2"/>
      <c r="H1913" s="2"/>
      <c r="I1913" s="2"/>
      <c r="J1913" s="2"/>
      <c r="K1913" s="2"/>
    </row>
    <row r="1914" spans="4:11" x14ac:dyDescent="0.2">
      <c r="D1914" s="2"/>
      <c r="E1914" s="2"/>
      <c r="F1914" s="2"/>
      <c r="G1914" s="2"/>
      <c r="H1914" s="2"/>
      <c r="I1914" s="2"/>
      <c r="J1914" s="2"/>
      <c r="K1914" s="2"/>
    </row>
    <row r="1915" spans="4:11" x14ac:dyDescent="0.2">
      <c r="D1915" s="2"/>
      <c r="E1915" s="2"/>
      <c r="F1915" s="2"/>
      <c r="G1915" s="2"/>
      <c r="H1915" s="2"/>
      <c r="I1915" s="2"/>
      <c r="J1915" s="2"/>
      <c r="K1915" s="2"/>
    </row>
    <row r="1916" spans="4:11" x14ac:dyDescent="0.2">
      <c r="D1916" s="2"/>
      <c r="E1916" s="2"/>
      <c r="F1916" s="2"/>
      <c r="G1916" s="2"/>
      <c r="H1916" s="2"/>
      <c r="I1916" s="2"/>
      <c r="J1916" s="2"/>
      <c r="K1916" s="2"/>
    </row>
    <row r="1917" spans="4:11" x14ac:dyDescent="0.2">
      <c r="D1917" s="2"/>
      <c r="E1917" s="2"/>
      <c r="F1917" s="2"/>
      <c r="G1917" s="2"/>
      <c r="H1917" s="2"/>
      <c r="I1917" s="2"/>
      <c r="J1917" s="2"/>
      <c r="K1917" s="2"/>
    </row>
    <row r="1918" spans="4:11" x14ac:dyDescent="0.2">
      <c r="D1918" s="2"/>
      <c r="E1918" s="2"/>
      <c r="F1918" s="2"/>
      <c r="G1918" s="2"/>
      <c r="H1918" s="2"/>
      <c r="I1918" s="2"/>
      <c r="J1918" s="2"/>
      <c r="K1918" s="2"/>
    </row>
    <row r="1919" spans="4:11" x14ac:dyDescent="0.2">
      <c r="D1919" s="2"/>
      <c r="E1919" s="2"/>
      <c r="F1919" s="2"/>
      <c r="G1919" s="2"/>
      <c r="H1919" s="2"/>
      <c r="I1919" s="2"/>
      <c r="J1919" s="2"/>
      <c r="K1919" s="2"/>
    </row>
    <row r="1920" spans="4:11" x14ac:dyDescent="0.2">
      <c r="D1920" s="2"/>
      <c r="E1920" s="2"/>
      <c r="F1920" s="2"/>
      <c r="G1920" s="2"/>
      <c r="H1920" s="2"/>
      <c r="I1920" s="2"/>
      <c r="J1920" s="2"/>
      <c r="K1920" s="2"/>
    </row>
    <row r="1921" spans="4:11" x14ac:dyDescent="0.2">
      <c r="D1921" s="2"/>
      <c r="E1921" s="2"/>
      <c r="F1921" s="2"/>
      <c r="G1921" s="2"/>
      <c r="H1921" s="2"/>
      <c r="I1921" s="2"/>
      <c r="J1921" s="2"/>
      <c r="K1921" s="2"/>
    </row>
    <row r="1922" spans="4:11" x14ac:dyDescent="0.2">
      <c r="D1922" s="2"/>
      <c r="E1922" s="2"/>
      <c r="F1922" s="2"/>
      <c r="G1922" s="2"/>
      <c r="H1922" s="2"/>
      <c r="I1922" s="2"/>
      <c r="J1922" s="2"/>
      <c r="K1922" s="2"/>
    </row>
    <row r="1923" spans="4:11" x14ac:dyDescent="0.2">
      <c r="D1923" s="2"/>
      <c r="E1923" s="2"/>
      <c r="F1923" s="2"/>
      <c r="G1923" s="2"/>
      <c r="H1923" s="2"/>
      <c r="I1923" s="2"/>
      <c r="J1923" s="2"/>
      <c r="K1923" s="2"/>
    </row>
    <row r="1924" spans="4:11" x14ac:dyDescent="0.2">
      <c r="D1924" s="2"/>
      <c r="E1924" s="2"/>
      <c r="F1924" s="2"/>
      <c r="G1924" s="2"/>
      <c r="H1924" s="2"/>
      <c r="I1924" s="2"/>
      <c r="J1924" s="2"/>
      <c r="K1924" s="2"/>
    </row>
    <row r="1925" spans="4:11" x14ac:dyDescent="0.2">
      <c r="D1925" s="2"/>
      <c r="E1925" s="2"/>
      <c r="F1925" s="2"/>
      <c r="G1925" s="2"/>
      <c r="H1925" s="2"/>
      <c r="I1925" s="2"/>
      <c r="J1925" s="2"/>
      <c r="K1925" s="2"/>
    </row>
    <row r="1926" spans="4:11" x14ac:dyDescent="0.2">
      <c r="D1926" s="2"/>
      <c r="E1926" s="2"/>
      <c r="F1926" s="2"/>
      <c r="G1926" s="2"/>
      <c r="H1926" s="2"/>
      <c r="I1926" s="2"/>
      <c r="J1926" s="2"/>
      <c r="K1926" s="2"/>
    </row>
    <row r="1927" spans="4:11" x14ac:dyDescent="0.2">
      <c r="D1927" s="2"/>
      <c r="E1927" s="2"/>
      <c r="F1927" s="2"/>
      <c r="G1927" s="2"/>
      <c r="H1927" s="2"/>
      <c r="I1927" s="2"/>
      <c r="J1927" s="2"/>
      <c r="K1927" s="2"/>
    </row>
    <row r="1928" spans="4:11" x14ac:dyDescent="0.2">
      <c r="D1928" s="2"/>
      <c r="E1928" s="2"/>
      <c r="F1928" s="2"/>
      <c r="G1928" s="2"/>
      <c r="H1928" s="2"/>
      <c r="I1928" s="2"/>
      <c r="J1928" s="2"/>
      <c r="K1928" s="2"/>
    </row>
    <row r="1929" spans="4:11" x14ac:dyDescent="0.2">
      <c r="D1929" s="2"/>
      <c r="E1929" s="2"/>
      <c r="F1929" s="2"/>
      <c r="G1929" s="2"/>
      <c r="H1929" s="2"/>
      <c r="I1929" s="2"/>
      <c r="J1929" s="2"/>
      <c r="K1929" s="2"/>
    </row>
    <row r="1930" spans="4:11" x14ac:dyDescent="0.2">
      <c r="D1930" s="2"/>
      <c r="E1930" s="2"/>
      <c r="F1930" s="2"/>
      <c r="G1930" s="2"/>
      <c r="H1930" s="2"/>
      <c r="I1930" s="2"/>
      <c r="J1930" s="2"/>
      <c r="K1930" s="2"/>
    </row>
    <row r="1931" spans="4:11" x14ac:dyDescent="0.2">
      <c r="D1931" s="2"/>
      <c r="E1931" s="2"/>
      <c r="F1931" s="2"/>
      <c r="G1931" s="2"/>
      <c r="H1931" s="2"/>
      <c r="I1931" s="2"/>
      <c r="J1931" s="2"/>
      <c r="K1931" s="2"/>
    </row>
    <row r="1932" spans="4:11" x14ac:dyDescent="0.2">
      <c r="D1932" s="2"/>
      <c r="E1932" s="2"/>
      <c r="F1932" s="2"/>
      <c r="G1932" s="2"/>
      <c r="H1932" s="2"/>
      <c r="I1932" s="2"/>
      <c r="J1932" s="2"/>
      <c r="K1932" s="2"/>
    </row>
    <row r="1933" spans="4:11" x14ac:dyDescent="0.2">
      <c r="D1933" s="2"/>
      <c r="E1933" s="2"/>
      <c r="F1933" s="2"/>
      <c r="G1933" s="2"/>
      <c r="H1933" s="2"/>
      <c r="I1933" s="2"/>
      <c r="J1933" s="2"/>
      <c r="K1933" s="2"/>
    </row>
    <row r="1934" spans="4:11" x14ac:dyDescent="0.2">
      <c r="D1934" s="2"/>
      <c r="E1934" s="2"/>
      <c r="F1934" s="2"/>
      <c r="G1934" s="2"/>
      <c r="H1934" s="2"/>
      <c r="I1934" s="2"/>
      <c r="J1934" s="2"/>
      <c r="K1934" s="2"/>
    </row>
    <row r="1935" spans="4:11" x14ac:dyDescent="0.2">
      <c r="D1935" s="2"/>
      <c r="E1935" s="2"/>
      <c r="F1935" s="2"/>
      <c r="G1935" s="2"/>
      <c r="H1935" s="2"/>
      <c r="I1935" s="2"/>
      <c r="J1935" s="2"/>
      <c r="K1935" s="2"/>
    </row>
    <row r="1936" spans="4:11" x14ac:dyDescent="0.2">
      <c r="D1936" s="2"/>
      <c r="E1936" s="2"/>
      <c r="F1936" s="2"/>
      <c r="G1936" s="2"/>
      <c r="H1936" s="2"/>
      <c r="I1936" s="2"/>
      <c r="J1936" s="2"/>
      <c r="K1936" s="2"/>
    </row>
    <row r="1937" spans="4:11" x14ac:dyDescent="0.2">
      <c r="D1937" s="2"/>
      <c r="E1937" s="2"/>
      <c r="F1937" s="2"/>
      <c r="G1937" s="2"/>
      <c r="H1937" s="2"/>
      <c r="I1937" s="2"/>
      <c r="J1937" s="2"/>
      <c r="K1937" s="2"/>
    </row>
    <row r="1938" spans="4:11" x14ac:dyDescent="0.2">
      <c r="D1938" s="2"/>
      <c r="E1938" s="2"/>
      <c r="F1938" s="2"/>
      <c r="G1938" s="2"/>
      <c r="H1938" s="2"/>
      <c r="I1938" s="2"/>
      <c r="J1938" s="2"/>
      <c r="K1938" s="2"/>
    </row>
    <row r="1939" spans="4:11" x14ac:dyDescent="0.2">
      <c r="D1939" s="2"/>
      <c r="E1939" s="2"/>
      <c r="F1939" s="2"/>
      <c r="G1939" s="2"/>
      <c r="H1939" s="2"/>
      <c r="I1939" s="2"/>
      <c r="J1939" s="2"/>
      <c r="K1939" s="2"/>
    </row>
    <row r="1940" spans="4:11" x14ac:dyDescent="0.2">
      <c r="D1940" s="2"/>
      <c r="E1940" s="2"/>
      <c r="F1940" s="2"/>
      <c r="G1940" s="2"/>
      <c r="H1940" s="2"/>
      <c r="I1940" s="2"/>
      <c r="J1940" s="2"/>
      <c r="K1940" s="2"/>
    </row>
    <row r="1941" spans="4:11" x14ac:dyDescent="0.2">
      <c r="D1941" s="2"/>
      <c r="E1941" s="2"/>
      <c r="F1941" s="2"/>
      <c r="G1941" s="2"/>
      <c r="H1941" s="2"/>
      <c r="I1941" s="2"/>
      <c r="J1941" s="2"/>
      <c r="K1941" s="2"/>
    </row>
    <row r="1942" spans="4:11" x14ac:dyDescent="0.2">
      <c r="D1942" s="2"/>
      <c r="E1942" s="2"/>
      <c r="F1942" s="2"/>
      <c r="G1942" s="2"/>
      <c r="H1942" s="2"/>
      <c r="I1942" s="2"/>
      <c r="J1942" s="2"/>
      <c r="K1942" s="2"/>
    </row>
    <row r="1943" spans="4:11" x14ac:dyDescent="0.2">
      <c r="D1943" s="2"/>
      <c r="E1943" s="2"/>
      <c r="F1943" s="2"/>
      <c r="G1943" s="2"/>
      <c r="H1943" s="2"/>
      <c r="I1943" s="2"/>
      <c r="J1943" s="2"/>
      <c r="K1943" s="2"/>
    </row>
    <row r="1944" spans="4:11" x14ac:dyDescent="0.2">
      <c r="D1944" s="2"/>
      <c r="E1944" s="2"/>
      <c r="F1944" s="2"/>
      <c r="G1944" s="2"/>
      <c r="H1944" s="2"/>
      <c r="I1944" s="2"/>
      <c r="J1944" s="2"/>
      <c r="K1944" s="2"/>
    </row>
    <row r="1945" spans="4:11" x14ac:dyDescent="0.2">
      <c r="D1945" s="2"/>
      <c r="E1945" s="2"/>
      <c r="F1945" s="2"/>
      <c r="G1945" s="2"/>
      <c r="H1945" s="2"/>
      <c r="I1945" s="2"/>
      <c r="J1945" s="2"/>
      <c r="K1945" s="2"/>
    </row>
    <row r="1946" spans="4:11" x14ac:dyDescent="0.2">
      <c r="D1946" s="2"/>
      <c r="E1946" s="2"/>
      <c r="F1946" s="2"/>
      <c r="G1946" s="2"/>
      <c r="H1946" s="2"/>
      <c r="I1946" s="2"/>
      <c r="J1946" s="2"/>
      <c r="K1946" s="2"/>
    </row>
    <row r="1947" spans="4:11" x14ac:dyDescent="0.2">
      <c r="D1947" s="2"/>
      <c r="E1947" s="2"/>
      <c r="F1947" s="2"/>
      <c r="G1947" s="2"/>
      <c r="H1947" s="2"/>
      <c r="I1947" s="2"/>
      <c r="J1947" s="2"/>
      <c r="K1947" s="2"/>
    </row>
    <row r="1948" spans="4:11" x14ac:dyDescent="0.2">
      <c r="D1948" s="2"/>
      <c r="E1948" s="2"/>
      <c r="F1948" s="2"/>
      <c r="G1948" s="2"/>
      <c r="H1948" s="2"/>
      <c r="I1948" s="2"/>
      <c r="J1948" s="2"/>
      <c r="K1948" s="2"/>
    </row>
    <row r="1949" spans="4:11" x14ac:dyDescent="0.2">
      <c r="D1949" s="2"/>
      <c r="E1949" s="2"/>
      <c r="F1949" s="2"/>
      <c r="G1949" s="2"/>
      <c r="H1949" s="2"/>
      <c r="I1949" s="2"/>
      <c r="J1949" s="2"/>
      <c r="K1949" s="2"/>
    </row>
    <row r="1950" spans="4:11" x14ac:dyDescent="0.2">
      <c r="D1950" s="2"/>
      <c r="E1950" s="2"/>
      <c r="F1950" s="2"/>
      <c r="G1950" s="2"/>
      <c r="H1950" s="2"/>
      <c r="I1950" s="2"/>
      <c r="J1950" s="2"/>
      <c r="K1950" s="2"/>
    </row>
    <row r="1951" spans="4:11" x14ac:dyDescent="0.2">
      <c r="D1951" s="2"/>
      <c r="E1951" s="2"/>
      <c r="F1951" s="2"/>
      <c r="G1951" s="2"/>
      <c r="H1951" s="2"/>
      <c r="I1951" s="2"/>
      <c r="J1951" s="2"/>
      <c r="K1951" s="2"/>
    </row>
    <row r="1952" spans="4:11" x14ac:dyDescent="0.2">
      <c r="D1952" s="2"/>
      <c r="E1952" s="2"/>
      <c r="F1952" s="2"/>
      <c r="G1952" s="2"/>
      <c r="H1952" s="2"/>
      <c r="I1952" s="2"/>
      <c r="J1952" s="2"/>
      <c r="K1952" s="2"/>
    </row>
    <row r="1953" spans="4:11" x14ac:dyDescent="0.2">
      <c r="D1953" s="2"/>
      <c r="E1953" s="2"/>
      <c r="F1953" s="2"/>
      <c r="G1953" s="2"/>
      <c r="H1953" s="2"/>
      <c r="I1953" s="2"/>
      <c r="J1953" s="2"/>
      <c r="K1953" s="2"/>
    </row>
    <row r="1954" spans="4:11" x14ac:dyDescent="0.2">
      <c r="D1954" s="2"/>
      <c r="E1954" s="2"/>
      <c r="F1954" s="2"/>
      <c r="G1954" s="2"/>
      <c r="H1954" s="2"/>
      <c r="I1954" s="2"/>
      <c r="J1954" s="2"/>
      <c r="K1954" s="2"/>
    </row>
    <row r="1955" spans="4:11" x14ac:dyDescent="0.2">
      <c r="D1955" s="2"/>
      <c r="E1955" s="2"/>
      <c r="F1955" s="2"/>
      <c r="G1955" s="2"/>
      <c r="H1955" s="2"/>
      <c r="I1955" s="2"/>
      <c r="J1955" s="2"/>
      <c r="K1955" s="2"/>
    </row>
    <row r="1956" spans="4:11" x14ac:dyDescent="0.2">
      <c r="D1956" s="2"/>
      <c r="E1956" s="2"/>
      <c r="F1956" s="2"/>
      <c r="G1956" s="2"/>
      <c r="H1956" s="2"/>
      <c r="I1956" s="2"/>
      <c r="J1956" s="2"/>
      <c r="K1956" s="2"/>
    </row>
    <row r="1957" spans="4:11" x14ac:dyDescent="0.2">
      <c r="D1957" s="2"/>
      <c r="E1957" s="2"/>
      <c r="F1957" s="2"/>
      <c r="G1957" s="2"/>
      <c r="H1957" s="2"/>
      <c r="I1957" s="2"/>
      <c r="J1957" s="2"/>
      <c r="K1957" s="2"/>
    </row>
    <row r="1958" spans="4:11" x14ac:dyDescent="0.2">
      <c r="D1958" s="2"/>
      <c r="E1958" s="2"/>
      <c r="F1958" s="2"/>
      <c r="G1958" s="2"/>
      <c r="H1958" s="2"/>
      <c r="I1958" s="2"/>
      <c r="J1958" s="2"/>
      <c r="K1958" s="2"/>
    </row>
    <row r="1959" spans="4:11" x14ac:dyDescent="0.2">
      <c r="D1959" s="2"/>
      <c r="E1959" s="2"/>
      <c r="F1959" s="2"/>
      <c r="G1959" s="2"/>
      <c r="H1959" s="2"/>
      <c r="I1959" s="2"/>
      <c r="J1959" s="2"/>
      <c r="K1959" s="2"/>
    </row>
    <row r="1960" spans="4:11" x14ac:dyDescent="0.2">
      <c r="D1960" s="2"/>
      <c r="E1960" s="2"/>
      <c r="F1960" s="2"/>
      <c r="G1960" s="2"/>
      <c r="H1960" s="2"/>
      <c r="I1960" s="2"/>
      <c r="J1960" s="2"/>
      <c r="K1960" s="2"/>
    </row>
    <row r="1961" spans="4:11" x14ac:dyDescent="0.2">
      <c r="D1961" s="2"/>
      <c r="E1961" s="2"/>
      <c r="F1961" s="2"/>
      <c r="G1961" s="2"/>
      <c r="H1961" s="2"/>
      <c r="I1961" s="2"/>
      <c r="J1961" s="2"/>
      <c r="K1961" s="2"/>
    </row>
    <row r="1962" spans="4:11" x14ac:dyDescent="0.2">
      <c r="D1962" s="2"/>
      <c r="E1962" s="2"/>
      <c r="F1962" s="2"/>
      <c r="G1962" s="2"/>
      <c r="H1962" s="2"/>
      <c r="I1962" s="2"/>
      <c r="J1962" s="2"/>
      <c r="K1962" s="2"/>
    </row>
    <row r="1963" spans="4:11" x14ac:dyDescent="0.2">
      <c r="D1963" s="2"/>
      <c r="E1963" s="2"/>
      <c r="F1963" s="2"/>
      <c r="G1963" s="2"/>
      <c r="H1963" s="2"/>
      <c r="I1963" s="2"/>
      <c r="J1963" s="2"/>
      <c r="K1963" s="2"/>
    </row>
    <row r="1964" spans="4:11" x14ac:dyDescent="0.2">
      <c r="D1964" s="2"/>
      <c r="E1964" s="2"/>
      <c r="F1964" s="2"/>
      <c r="G1964" s="2"/>
      <c r="H1964" s="2"/>
      <c r="I1964" s="2"/>
      <c r="J1964" s="2"/>
      <c r="K1964" s="2"/>
    </row>
    <row r="1965" spans="4:11" x14ac:dyDescent="0.2">
      <c r="D1965" s="2"/>
      <c r="E1965" s="2"/>
      <c r="F1965" s="2"/>
      <c r="G1965" s="2"/>
      <c r="H1965" s="2"/>
      <c r="I1965" s="2"/>
      <c r="J1965" s="2"/>
      <c r="K1965" s="2"/>
    </row>
    <row r="1966" spans="4:11" x14ac:dyDescent="0.2">
      <c r="D1966" s="2"/>
      <c r="E1966" s="2"/>
      <c r="F1966" s="2"/>
      <c r="G1966" s="2"/>
      <c r="H1966" s="2"/>
      <c r="I1966" s="2"/>
      <c r="J1966" s="2"/>
      <c r="K1966" s="2"/>
    </row>
    <row r="1967" spans="4:11" x14ac:dyDescent="0.2">
      <c r="D1967" s="2"/>
      <c r="E1967" s="2"/>
      <c r="F1967" s="2"/>
      <c r="G1967" s="2"/>
      <c r="H1967" s="2"/>
      <c r="I1967" s="2"/>
      <c r="J1967" s="2"/>
      <c r="K1967" s="2"/>
    </row>
    <row r="1968" spans="4:11" x14ac:dyDescent="0.2">
      <c r="D1968" s="2"/>
      <c r="E1968" s="2"/>
      <c r="F1968" s="2"/>
      <c r="G1968" s="2"/>
      <c r="H1968" s="2"/>
      <c r="I1968" s="2"/>
      <c r="J1968" s="2"/>
      <c r="K1968" s="2"/>
    </row>
    <row r="1969" spans="4:11" x14ac:dyDescent="0.2">
      <c r="D1969" s="2"/>
      <c r="E1969" s="2"/>
      <c r="F1969" s="2"/>
      <c r="G1969" s="2"/>
      <c r="H1969" s="2"/>
      <c r="I1969" s="2"/>
      <c r="J1969" s="2"/>
      <c r="K1969" s="2"/>
    </row>
    <row r="1970" spans="4:11" x14ac:dyDescent="0.2">
      <c r="D1970" s="2"/>
      <c r="E1970" s="2"/>
      <c r="F1970" s="2"/>
      <c r="G1970" s="2"/>
      <c r="H1970" s="2"/>
      <c r="I1970" s="2"/>
      <c r="J1970" s="2"/>
      <c r="K1970" s="2"/>
    </row>
    <row r="1971" spans="4:11" x14ac:dyDescent="0.2">
      <c r="D1971" s="2"/>
      <c r="E1971" s="2"/>
      <c r="F1971" s="2"/>
      <c r="G1971" s="2"/>
      <c r="H1971" s="2"/>
      <c r="I1971" s="2"/>
      <c r="J1971" s="2"/>
      <c r="K1971" s="2"/>
    </row>
    <row r="1972" spans="4:11" x14ac:dyDescent="0.2">
      <c r="D1972" s="2"/>
      <c r="E1972" s="2"/>
      <c r="F1972" s="2"/>
      <c r="G1972" s="2"/>
      <c r="H1972" s="2"/>
      <c r="I1972" s="2"/>
      <c r="J1972" s="2"/>
      <c r="K1972" s="2"/>
    </row>
    <row r="1973" spans="4:11" x14ac:dyDescent="0.2">
      <c r="D1973" s="2"/>
      <c r="E1973" s="2"/>
      <c r="F1973" s="2"/>
      <c r="G1973" s="2"/>
      <c r="H1973" s="2"/>
      <c r="I1973" s="2"/>
      <c r="J1973" s="2"/>
      <c r="K1973" s="2"/>
    </row>
    <row r="1974" spans="4:11" x14ac:dyDescent="0.2">
      <c r="D1974" s="2"/>
      <c r="E1974" s="2"/>
      <c r="F1974" s="2"/>
      <c r="G1974" s="2"/>
      <c r="H1974" s="2"/>
      <c r="I1974" s="2"/>
      <c r="J1974" s="2"/>
      <c r="K1974" s="2"/>
    </row>
    <row r="1975" spans="4:11" x14ac:dyDescent="0.2">
      <c r="D1975" s="2"/>
      <c r="E1975" s="2"/>
      <c r="F1975" s="2"/>
      <c r="G1975" s="2"/>
      <c r="H1975" s="2"/>
      <c r="I1975" s="2"/>
      <c r="J1975" s="2"/>
      <c r="K1975" s="2"/>
    </row>
    <row r="1976" spans="4:11" x14ac:dyDescent="0.2">
      <c r="D1976" s="2"/>
      <c r="E1976" s="2"/>
      <c r="F1976" s="2"/>
      <c r="G1976" s="2"/>
      <c r="H1976" s="2"/>
      <c r="I1976" s="2"/>
      <c r="J1976" s="2"/>
      <c r="K1976" s="2"/>
    </row>
    <row r="1977" spans="4:11" x14ac:dyDescent="0.2">
      <c r="D1977" s="2"/>
      <c r="E1977" s="2"/>
      <c r="F1977" s="2"/>
      <c r="G1977" s="2"/>
      <c r="H1977" s="2"/>
      <c r="I1977" s="2"/>
      <c r="J1977" s="2"/>
      <c r="K1977" s="2"/>
    </row>
    <row r="1978" spans="4:11" x14ac:dyDescent="0.2">
      <c r="D1978" s="2"/>
      <c r="E1978" s="2"/>
      <c r="F1978" s="2"/>
      <c r="G1978" s="2"/>
      <c r="H1978" s="2"/>
      <c r="I1978" s="2"/>
      <c r="J1978" s="2"/>
      <c r="K1978" s="2"/>
    </row>
    <row r="1979" spans="4:11" x14ac:dyDescent="0.2">
      <c r="D1979" s="2"/>
      <c r="E1979" s="2"/>
      <c r="F1979" s="2"/>
      <c r="G1979" s="2"/>
      <c r="H1979" s="2"/>
      <c r="I1979" s="2"/>
      <c r="J1979" s="2"/>
      <c r="K1979" s="2"/>
    </row>
    <row r="1980" spans="4:11" x14ac:dyDescent="0.2">
      <c r="D1980" s="2"/>
      <c r="E1980" s="2"/>
      <c r="F1980" s="2"/>
      <c r="G1980" s="2"/>
      <c r="H1980" s="2"/>
      <c r="I1980" s="2"/>
      <c r="J1980" s="2"/>
      <c r="K1980" s="2"/>
    </row>
    <row r="1981" spans="4:11" x14ac:dyDescent="0.2">
      <c r="D1981" s="2"/>
      <c r="E1981" s="2"/>
      <c r="F1981" s="2"/>
      <c r="G1981" s="2"/>
      <c r="H1981" s="2"/>
      <c r="I1981" s="2"/>
      <c r="J1981" s="2"/>
      <c r="K1981" s="2"/>
    </row>
    <row r="1982" spans="4:11" x14ac:dyDescent="0.2">
      <c r="D1982" s="2"/>
      <c r="E1982" s="2"/>
      <c r="F1982" s="2"/>
      <c r="G1982" s="2"/>
      <c r="H1982" s="2"/>
      <c r="I1982" s="2"/>
      <c r="J1982" s="2"/>
      <c r="K1982" s="2"/>
    </row>
    <row r="1983" spans="4:11" x14ac:dyDescent="0.2">
      <c r="D1983" s="2"/>
      <c r="E1983" s="2"/>
      <c r="F1983" s="2"/>
      <c r="G1983" s="2"/>
      <c r="H1983" s="2"/>
      <c r="I1983" s="2"/>
      <c r="J1983" s="2"/>
      <c r="K1983" s="2"/>
    </row>
    <row r="1984" spans="4:11" x14ac:dyDescent="0.2">
      <c r="D1984" s="2"/>
      <c r="E1984" s="2"/>
      <c r="F1984" s="2"/>
      <c r="G1984" s="2"/>
      <c r="H1984" s="2"/>
      <c r="I1984" s="2"/>
      <c r="J1984" s="2"/>
      <c r="K1984" s="2"/>
    </row>
    <row r="1985" spans="4:11" x14ac:dyDescent="0.2">
      <c r="D1985" s="2"/>
      <c r="E1985" s="2"/>
      <c r="F1985" s="2"/>
      <c r="G1985" s="2"/>
      <c r="H1985" s="2"/>
      <c r="I1985" s="2"/>
      <c r="J1985" s="2"/>
      <c r="K1985" s="2"/>
    </row>
    <row r="1986" spans="4:11" x14ac:dyDescent="0.2">
      <c r="D1986" s="2"/>
      <c r="E1986" s="2"/>
      <c r="F1986" s="2"/>
      <c r="G1986" s="2"/>
      <c r="H1986" s="2"/>
      <c r="I1986" s="2"/>
      <c r="J1986" s="2"/>
      <c r="K1986" s="2"/>
    </row>
    <row r="1987" spans="4:11" x14ac:dyDescent="0.2">
      <c r="D1987" s="2"/>
      <c r="E1987" s="2"/>
      <c r="F1987" s="2"/>
      <c r="G1987" s="2"/>
      <c r="H1987" s="2"/>
      <c r="I1987" s="2"/>
      <c r="J1987" s="2"/>
      <c r="K1987" s="2"/>
    </row>
    <row r="1988" spans="4:11" x14ac:dyDescent="0.2">
      <c r="D1988" s="2"/>
      <c r="E1988" s="2"/>
      <c r="F1988" s="2"/>
      <c r="G1988" s="2"/>
      <c r="H1988" s="2"/>
      <c r="I1988" s="2"/>
      <c r="J1988" s="2"/>
      <c r="K1988" s="2"/>
    </row>
    <row r="1989" spans="4:11" x14ac:dyDescent="0.2">
      <c r="D1989" s="2"/>
      <c r="E1989" s="2"/>
      <c r="F1989" s="2"/>
      <c r="G1989" s="2"/>
      <c r="H1989" s="2"/>
      <c r="I1989" s="2"/>
      <c r="J1989" s="2"/>
      <c r="K1989" s="2"/>
    </row>
    <row r="1990" spans="4:11" x14ac:dyDescent="0.2">
      <c r="D1990" s="2"/>
      <c r="E1990" s="2"/>
      <c r="F1990" s="2"/>
      <c r="G1990" s="2"/>
      <c r="H1990" s="2"/>
      <c r="I1990" s="2"/>
      <c r="J1990" s="2"/>
      <c r="K1990" s="2"/>
    </row>
    <row r="1991" spans="4:11" x14ac:dyDescent="0.2">
      <c r="D1991" s="2"/>
      <c r="E1991" s="2"/>
      <c r="F1991" s="2"/>
      <c r="G1991" s="2"/>
      <c r="H1991" s="2"/>
      <c r="I1991" s="2"/>
      <c r="J1991" s="2"/>
      <c r="K1991" s="2"/>
    </row>
    <row r="1992" spans="4:11" x14ac:dyDescent="0.2">
      <c r="D1992" s="2"/>
      <c r="E1992" s="2"/>
      <c r="F1992" s="2"/>
      <c r="G1992" s="2"/>
      <c r="H1992" s="2"/>
      <c r="I1992" s="2"/>
      <c r="J1992" s="2"/>
      <c r="K1992" s="2"/>
    </row>
    <row r="1993" spans="4:11" x14ac:dyDescent="0.2">
      <c r="D1993" s="2"/>
      <c r="E1993" s="2"/>
      <c r="F1993" s="2"/>
      <c r="G1993" s="2"/>
      <c r="H1993" s="2"/>
      <c r="I1993" s="2"/>
      <c r="J1993" s="2"/>
      <c r="K1993" s="2"/>
    </row>
    <row r="1994" spans="4:11" x14ac:dyDescent="0.2">
      <c r="D1994" s="2"/>
      <c r="E1994" s="2"/>
      <c r="F1994" s="2"/>
      <c r="G1994" s="2"/>
      <c r="H1994" s="2"/>
      <c r="I1994" s="2"/>
      <c r="J1994" s="2"/>
      <c r="K1994" s="2"/>
    </row>
    <row r="1995" spans="4:11" x14ac:dyDescent="0.2">
      <c r="D1995" s="2"/>
      <c r="E1995" s="2"/>
      <c r="F1995" s="2"/>
      <c r="G1995" s="2"/>
      <c r="H1995" s="2"/>
      <c r="I1995" s="2"/>
      <c r="J1995" s="2"/>
      <c r="K1995" s="2"/>
    </row>
    <row r="1996" spans="4:11" x14ac:dyDescent="0.2">
      <c r="D1996" s="2"/>
      <c r="E1996" s="2"/>
      <c r="F1996" s="2"/>
      <c r="G1996" s="2"/>
      <c r="H1996" s="2"/>
      <c r="I1996" s="2"/>
      <c r="J1996" s="2"/>
      <c r="K1996" s="2"/>
    </row>
    <row r="1997" spans="4:11" x14ac:dyDescent="0.2">
      <c r="D1997" s="2"/>
      <c r="E1997" s="2"/>
      <c r="F1997" s="2"/>
      <c r="G1997" s="2"/>
      <c r="H1997" s="2"/>
      <c r="I1997" s="2"/>
      <c r="J1997" s="2"/>
      <c r="K1997" s="2"/>
    </row>
    <row r="1998" spans="4:11" x14ac:dyDescent="0.2">
      <c r="D1998" s="2"/>
      <c r="E1998" s="2"/>
      <c r="F1998" s="2"/>
      <c r="G1998" s="2"/>
      <c r="H1998" s="2"/>
      <c r="I1998" s="2"/>
      <c r="J1998" s="2"/>
      <c r="K1998" s="2"/>
    </row>
    <row r="1999" spans="4:11" x14ac:dyDescent="0.2">
      <c r="D1999" s="2"/>
      <c r="E1999" s="2"/>
      <c r="F1999" s="2"/>
      <c r="G1999" s="2"/>
      <c r="H1999" s="2"/>
      <c r="I1999" s="2"/>
      <c r="J1999" s="2"/>
      <c r="K1999" s="2"/>
    </row>
    <row r="2000" spans="4:11" x14ac:dyDescent="0.2">
      <c r="D2000" s="2"/>
      <c r="E2000" s="2"/>
      <c r="F2000" s="2"/>
      <c r="G2000" s="2"/>
      <c r="H2000" s="2"/>
      <c r="I2000" s="2"/>
      <c r="J2000" s="2"/>
      <c r="K2000" s="2"/>
    </row>
    <row r="2001" spans="4:11" x14ac:dyDescent="0.2">
      <c r="D2001" s="2"/>
      <c r="E2001" s="2"/>
      <c r="F2001" s="2"/>
      <c r="G2001" s="2"/>
      <c r="H2001" s="2"/>
      <c r="I2001" s="2"/>
      <c r="J2001" s="2"/>
      <c r="K2001" s="2"/>
    </row>
    <row r="2002" spans="4:11" x14ac:dyDescent="0.2">
      <c r="D2002" s="2"/>
      <c r="E2002" s="2"/>
      <c r="F2002" s="2"/>
      <c r="G2002" s="2"/>
      <c r="H2002" s="2"/>
      <c r="I2002" s="2"/>
      <c r="J2002" s="2"/>
      <c r="K2002" s="2"/>
    </row>
    <row r="2003" spans="4:11" x14ac:dyDescent="0.2">
      <c r="D2003" s="2"/>
      <c r="E2003" s="2"/>
      <c r="F2003" s="2"/>
      <c r="G2003" s="2"/>
      <c r="H2003" s="2"/>
      <c r="I2003" s="2"/>
      <c r="J2003" s="2"/>
      <c r="K2003" s="2"/>
    </row>
    <row r="2004" spans="4:11" x14ac:dyDescent="0.2">
      <c r="D2004" s="2"/>
      <c r="E2004" s="2"/>
      <c r="F2004" s="2"/>
      <c r="G2004" s="2"/>
      <c r="H2004" s="2"/>
      <c r="I2004" s="2"/>
      <c r="J2004" s="2"/>
      <c r="K2004" s="2"/>
    </row>
    <row r="2005" spans="4:11" x14ac:dyDescent="0.2">
      <c r="D2005" s="2"/>
      <c r="E2005" s="2"/>
      <c r="F2005" s="2"/>
      <c r="G2005" s="2"/>
      <c r="H2005" s="2"/>
      <c r="I2005" s="2"/>
      <c r="J2005" s="2"/>
      <c r="K2005" s="2"/>
    </row>
    <row r="2006" spans="4:11" x14ac:dyDescent="0.2">
      <c r="D2006" s="2"/>
      <c r="E2006" s="2"/>
      <c r="F2006" s="2"/>
      <c r="G2006" s="2"/>
      <c r="H2006" s="2"/>
      <c r="I2006" s="2"/>
      <c r="J2006" s="2"/>
      <c r="K2006" s="2"/>
    </row>
    <row r="2007" spans="4:11" x14ac:dyDescent="0.2">
      <c r="D2007" s="2"/>
      <c r="E2007" s="2"/>
      <c r="F2007" s="2"/>
      <c r="G2007" s="2"/>
      <c r="H2007" s="2"/>
      <c r="I2007" s="2"/>
      <c r="J2007" s="2"/>
      <c r="K2007" s="2"/>
    </row>
    <row r="2008" spans="4:11" x14ac:dyDescent="0.2">
      <c r="D2008" s="2"/>
      <c r="E2008" s="2"/>
      <c r="F2008" s="2"/>
      <c r="G2008" s="2"/>
      <c r="H2008" s="2"/>
      <c r="I2008" s="2"/>
      <c r="J2008" s="2"/>
      <c r="K2008" s="2"/>
    </row>
    <row r="2009" spans="4:11" x14ac:dyDescent="0.2">
      <c r="D2009" s="2"/>
      <c r="E2009" s="2"/>
      <c r="F2009" s="2"/>
      <c r="G2009" s="2"/>
      <c r="H2009" s="2"/>
      <c r="I2009" s="2"/>
      <c r="J2009" s="2"/>
      <c r="K2009" s="2"/>
    </row>
    <row r="2010" spans="4:11" x14ac:dyDescent="0.2">
      <c r="D2010" s="2"/>
      <c r="E2010" s="2"/>
      <c r="F2010" s="2"/>
      <c r="G2010" s="2"/>
      <c r="H2010" s="2"/>
      <c r="I2010" s="2"/>
      <c r="J2010" s="2"/>
      <c r="K2010" s="2"/>
    </row>
    <row r="2011" spans="4:11" x14ac:dyDescent="0.2">
      <c r="D2011" s="2"/>
      <c r="E2011" s="2"/>
      <c r="F2011" s="2"/>
      <c r="G2011" s="2"/>
      <c r="H2011" s="2"/>
      <c r="I2011" s="2"/>
      <c r="J2011" s="2"/>
      <c r="K2011" s="2"/>
    </row>
    <row r="2012" spans="4:11" x14ac:dyDescent="0.2">
      <c r="D2012" s="2"/>
      <c r="E2012" s="2"/>
      <c r="F2012" s="2"/>
      <c r="G2012" s="2"/>
      <c r="H2012" s="2"/>
      <c r="I2012" s="2"/>
      <c r="J2012" s="2"/>
      <c r="K2012" s="2"/>
    </row>
    <row r="2013" spans="4:11" x14ac:dyDescent="0.2">
      <c r="D2013" s="2"/>
      <c r="E2013" s="2"/>
      <c r="F2013" s="2"/>
      <c r="G2013" s="2"/>
      <c r="H2013" s="2"/>
      <c r="I2013" s="2"/>
      <c r="J2013" s="2"/>
      <c r="K2013" s="2"/>
    </row>
    <row r="2014" spans="4:11" x14ac:dyDescent="0.2">
      <c r="D2014" s="2"/>
      <c r="E2014" s="2"/>
      <c r="F2014" s="2"/>
      <c r="G2014" s="2"/>
      <c r="H2014" s="2"/>
      <c r="I2014" s="2"/>
      <c r="J2014" s="2"/>
      <c r="K2014" s="2"/>
    </row>
    <row r="2015" spans="4:11" x14ac:dyDescent="0.2">
      <c r="D2015" s="2"/>
      <c r="E2015" s="2"/>
      <c r="F2015" s="2"/>
      <c r="G2015" s="2"/>
      <c r="H2015" s="2"/>
      <c r="I2015" s="2"/>
      <c r="J2015" s="2"/>
      <c r="K2015" s="2"/>
    </row>
    <row r="2016" spans="4:11" x14ac:dyDescent="0.2">
      <c r="D2016" s="2"/>
      <c r="E2016" s="2"/>
      <c r="F2016" s="2"/>
      <c r="G2016" s="2"/>
      <c r="H2016" s="2"/>
      <c r="I2016" s="2"/>
      <c r="J2016" s="2"/>
      <c r="K2016" s="2"/>
    </row>
    <row r="2017" spans="4:11" x14ac:dyDescent="0.2">
      <c r="D2017" s="2"/>
      <c r="E2017" s="2"/>
      <c r="F2017" s="2"/>
      <c r="G2017" s="2"/>
      <c r="H2017" s="2"/>
      <c r="I2017" s="2"/>
      <c r="J2017" s="2"/>
      <c r="K2017" s="2"/>
    </row>
    <row r="2018" spans="4:11" x14ac:dyDescent="0.2">
      <c r="D2018" s="2"/>
      <c r="E2018" s="2"/>
      <c r="F2018" s="2"/>
      <c r="G2018" s="2"/>
      <c r="H2018" s="2"/>
      <c r="I2018" s="2"/>
      <c r="J2018" s="2"/>
      <c r="K2018" s="2"/>
    </row>
    <row r="2019" spans="4:11" x14ac:dyDescent="0.2">
      <c r="D2019" s="2"/>
      <c r="E2019" s="2"/>
      <c r="F2019" s="2"/>
      <c r="G2019" s="2"/>
      <c r="H2019" s="2"/>
      <c r="I2019" s="2"/>
      <c r="J2019" s="2"/>
      <c r="K2019" s="2"/>
    </row>
    <row r="2020" spans="4:11" x14ac:dyDescent="0.2">
      <c r="D2020" s="2"/>
      <c r="E2020" s="2"/>
      <c r="F2020" s="2"/>
      <c r="G2020" s="2"/>
      <c r="H2020" s="2"/>
      <c r="I2020" s="2"/>
      <c r="J2020" s="2"/>
      <c r="K2020" s="2"/>
    </row>
    <row r="2021" spans="4:11" x14ac:dyDescent="0.2">
      <c r="D2021" s="2"/>
      <c r="E2021" s="2"/>
      <c r="F2021" s="2"/>
      <c r="G2021" s="2"/>
      <c r="H2021" s="2"/>
      <c r="I2021" s="2"/>
      <c r="J2021" s="2"/>
      <c r="K2021" s="2"/>
    </row>
    <row r="2022" spans="4:11" x14ac:dyDescent="0.2">
      <c r="D2022" s="2"/>
      <c r="E2022" s="2"/>
      <c r="F2022" s="2"/>
      <c r="G2022" s="2"/>
      <c r="H2022" s="2"/>
      <c r="I2022" s="2"/>
      <c r="J2022" s="2"/>
      <c r="K2022" s="2"/>
    </row>
    <row r="2023" spans="4:11" x14ac:dyDescent="0.2">
      <c r="D2023" s="2"/>
      <c r="E2023" s="2"/>
      <c r="F2023" s="2"/>
      <c r="G2023" s="2"/>
      <c r="H2023" s="2"/>
      <c r="I2023" s="2"/>
      <c r="J2023" s="2"/>
      <c r="K2023" s="2"/>
    </row>
    <row r="2024" spans="4:11" x14ac:dyDescent="0.2">
      <c r="D2024" s="2"/>
      <c r="E2024" s="2"/>
      <c r="F2024" s="2"/>
      <c r="G2024" s="2"/>
      <c r="H2024" s="2"/>
      <c r="I2024" s="2"/>
      <c r="J2024" s="2"/>
      <c r="K2024" s="2"/>
    </row>
    <row r="2025" spans="4:11" x14ac:dyDescent="0.2">
      <c r="D2025" s="2"/>
      <c r="E2025" s="2"/>
      <c r="F2025" s="2"/>
      <c r="G2025" s="2"/>
      <c r="H2025" s="2"/>
      <c r="I2025" s="2"/>
      <c r="J2025" s="2"/>
      <c r="K2025" s="2"/>
    </row>
    <row r="2026" spans="4:11" x14ac:dyDescent="0.2">
      <c r="D2026" s="2"/>
      <c r="E2026" s="2"/>
      <c r="F2026" s="2"/>
      <c r="G2026" s="2"/>
      <c r="H2026" s="2"/>
      <c r="I2026" s="2"/>
      <c r="J2026" s="2"/>
      <c r="K2026" s="2"/>
    </row>
    <row r="2027" spans="4:11" x14ac:dyDescent="0.2">
      <c r="D2027" s="2"/>
      <c r="E2027" s="2"/>
      <c r="F2027" s="2"/>
      <c r="G2027" s="2"/>
      <c r="H2027" s="2"/>
      <c r="I2027" s="2"/>
      <c r="J2027" s="2"/>
      <c r="K2027" s="2"/>
    </row>
    <row r="2028" spans="4:11" x14ac:dyDescent="0.2">
      <c r="D2028" s="2"/>
      <c r="E2028" s="2"/>
      <c r="F2028" s="2"/>
      <c r="G2028" s="2"/>
      <c r="H2028" s="2"/>
      <c r="I2028" s="2"/>
      <c r="J2028" s="2"/>
      <c r="K2028" s="2"/>
    </row>
    <row r="2029" spans="4:11" x14ac:dyDescent="0.2">
      <c r="D2029" s="2"/>
      <c r="E2029" s="2"/>
      <c r="F2029" s="2"/>
      <c r="G2029" s="2"/>
      <c r="H2029" s="2"/>
      <c r="I2029" s="2"/>
      <c r="J2029" s="2"/>
      <c r="K2029" s="2"/>
    </row>
    <row r="2030" spans="4:11" x14ac:dyDescent="0.2">
      <c r="D2030" s="2"/>
      <c r="E2030" s="2"/>
      <c r="F2030" s="2"/>
      <c r="G2030" s="2"/>
      <c r="H2030" s="2"/>
      <c r="I2030" s="2"/>
      <c r="J2030" s="2"/>
      <c r="K2030" s="2"/>
    </row>
    <row r="2031" spans="4:11" x14ac:dyDescent="0.2">
      <c r="D2031" s="2"/>
      <c r="E2031" s="2"/>
      <c r="F2031" s="2"/>
      <c r="G2031" s="2"/>
      <c r="H2031" s="2"/>
      <c r="I2031" s="2"/>
      <c r="J2031" s="2"/>
      <c r="K2031" s="2"/>
    </row>
    <row r="2032" spans="4:11" x14ac:dyDescent="0.2">
      <c r="D2032" s="2"/>
      <c r="E2032" s="2"/>
      <c r="F2032" s="2"/>
      <c r="G2032" s="2"/>
      <c r="H2032" s="2"/>
      <c r="I2032" s="2"/>
      <c r="J2032" s="2"/>
      <c r="K2032" s="2"/>
    </row>
    <row r="2033" spans="4:11" x14ac:dyDescent="0.2">
      <c r="D2033" s="2"/>
      <c r="E2033" s="2"/>
      <c r="F2033" s="2"/>
      <c r="G2033" s="2"/>
      <c r="H2033" s="2"/>
      <c r="I2033" s="2"/>
      <c r="J2033" s="2"/>
      <c r="K2033" s="2"/>
    </row>
    <row r="2034" spans="4:11" x14ac:dyDescent="0.2">
      <c r="D2034" s="2"/>
      <c r="E2034" s="2"/>
      <c r="F2034" s="2"/>
      <c r="G2034" s="2"/>
      <c r="H2034" s="2"/>
      <c r="I2034" s="2"/>
      <c r="J2034" s="2"/>
      <c r="K2034" s="2"/>
    </row>
    <row r="2035" spans="4:11" x14ac:dyDescent="0.2">
      <c r="D2035" s="2"/>
      <c r="E2035" s="2"/>
      <c r="F2035" s="2"/>
      <c r="G2035" s="2"/>
      <c r="H2035" s="2"/>
      <c r="I2035" s="2"/>
      <c r="J2035" s="2"/>
      <c r="K2035" s="2"/>
    </row>
    <row r="2036" spans="4:11" x14ac:dyDescent="0.2">
      <c r="D2036" s="2"/>
      <c r="E2036" s="2"/>
      <c r="F2036" s="2"/>
      <c r="G2036" s="2"/>
      <c r="H2036" s="2"/>
      <c r="I2036" s="2"/>
      <c r="J2036" s="2"/>
      <c r="K2036" s="2"/>
    </row>
    <row r="2037" spans="4:11" x14ac:dyDescent="0.2">
      <c r="D2037" s="2"/>
      <c r="E2037" s="2"/>
      <c r="F2037" s="2"/>
      <c r="G2037" s="2"/>
      <c r="H2037" s="2"/>
      <c r="I2037" s="2"/>
      <c r="J2037" s="2"/>
      <c r="K2037" s="2"/>
    </row>
    <row r="2038" spans="4:11" x14ac:dyDescent="0.2">
      <c r="D2038" s="2"/>
      <c r="E2038" s="2"/>
      <c r="F2038" s="2"/>
      <c r="G2038" s="2"/>
      <c r="H2038" s="2"/>
      <c r="I2038" s="2"/>
      <c r="J2038" s="2"/>
      <c r="K2038" s="2"/>
    </row>
    <row r="2039" spans="4:11" x14ac:dyDescent="0.2">
      <c r="D2039" s="2"/>
      <c r="E2039" s="2"/>
      <c r="F2039" s="2"/>
      <c r="G2039" s="2"/>
      <c r="H2039" s="2"/>
      <c r="I2039" s="2"/>
      <c r="J2039" s="2"/>
      <c r="K2039" s="2"/>
    </row>
    <row r="2040" spans="4:11" x14ac:dyDescent="0.2">
      <c r="D2040" s="2"/>
      <c r="E2040" s="2"/>
      <c r="F2040" s="2"/>
      <c r="G2040" s="2"/>
      <c r="H2040" s="2"/>
      <c r="I2040" s="2"/>
      <c r="J2040" s="2"/>
      <c r="K2040" s="2"/>
    </row>
    <row r="2041" spans="4:11" x14ac:dyDescent="0.2">
      <c r="D2041" s="2"/>
      <c r="E2041" s="2"/>
      <c r="F2041" s="2"/>
      <c r="G2041" s="2"/>
      <c r="H2041" s="2"/>
      <c r="I2041" s="2"/>
      <c r="J2041" s="2"/>
      <c r="K2041" s="2"/>
    </row>
    <row r="2042" spans="4:11" x14ac:dyDescent="0.2">
      <c r="D2042" s="2"/>
      <c r="E2042" s="2"/>
      <c r="F2042" s="2"/>
      <c r="G2042" s="2"/>
      <c r="H2042" s="2"/>
      <c r="I2042" s="2"/>
      <c r="J2042" s="2"/>
      <c r="K2042" s="2"/>
    </row>
    <row r="2043" spans="4:11" x14ac:dyDescent="0.2">
      <c r="D2043" s="2"/>
      <c r="E2043" s="2"/>
      <c r="F2043" s="2"/>
      <c r="G2043" s="2"/>
      <c r="H2043" s="2"/>
      <c r="I2043" s="2"/>
      <c r="J2043" s="2"/>
      <c r="K2043" s="2"/>
    </row>
    <row r="2044" spans="4:11" x14ac:dyDescent="0.2">
      <c r="D2044" s="2"/>
      <c r="E2044" s="2"/>
      <c r="F2044" s="2"/>
      <c r="G2044" s="2"/>
      <c r="H2044" s="2"/>
      <c r="I2044" s="2"/>
      <c r="J2044" s="2"/>
      <c r="K2044" s="2"/>
    </row>
    <row r="2045" spans="4:11" x14ac:dyDescent="0.2">
      <c r="D2045" s="2"/>
      <c r="E2045" s="2"/>
      <c r="F2045" s="2"/>
      <c r="G2045" s="2"/>
      <c r="H2045" s="2"/>
      <c r="I2045" s="2"/>
      <c r="J2045" s="2"/>
      <c r="K2045" s="2"/>
    </row>
    <row r="2046" spans="4:11" x14ac:dyDescent="0.2">
      <c r="D2046" s="2"/>
      <c r="E2046" s="2"/>
      <c r="F2046" s="2"/>
      <c r="G2046" s="2"/>
      <c r="H2046" s="2"/>
      <c r="I2046" s="2"/>
      <c r="J2046" s="2"/>
      <c r="K2046" s="2"/>
    </row>
    <row r="2047" spans="4:11" x14ac:dyDescent="0.2">
      <c r="D2047" s="2"/>
      <c r="E2047" s="2"/>
      <c r="F2047" s="2"/>
      <c r="G2047" s="2"/>
      <c r="H2047" s="2"/>
      <c r="I2047" s="2"/>
      <c r="J2047" s="2"/>
      <c r="K2047" s="2"/>
    </row>
    <row r="2048" spans="4:11" x14ac:dyDescent="0.2">
      <c r="D2048" s="2"/>
      <c r="E2048" s="2"/>
      <c r="F2048" s="2"/>
      <c r="G2048" s="2"/>
      <c r="H2048" s="2"/>
      <c r="I2048" s="2"/>
      <c r="J2048" s="2"/>
      <c r="K2048" s="2"/>
    </row>
    <row r="2049" spans="4:11" x14ac:dyDescent="0.2">
      <c r="D2049" s="2"/>
      <c r="E2049" s="2"/>
      <c r="F2049" s="2"/>
      <c r="G2049" s="2"/>
      <c r="H2049" s="2"/>
      <c r="I2049" s="2"/>
      <c r="J2049" s="2"/>
      <c r="K2049" s="2"/>
    </row>
    <row r="2050" spans="4:11" x14ac:dyDescent="0.2">
      <c r="D2050" s="2"/>
      <c r="E2050" s="2"/>
      <c r="F2050" s="2"/>
      <c r="G2050" s="2"/>
      <c r="H2050" s="2"/>
      <c r="I2050" s="2"/>
      <c r="J2050" s="2"/>
      <c r="K2050" s="2"/>
    </row>
    <row r="2051" spans="4:11" x14ac:dyDescent="0.2">
      <c r="D2051" s="2"/>
      <c r="E2051" s="2"/>
      <c r="F2051" s="2"/>
      <c r="G2051" s="2"/>
      <c r="H2051" s="2"/>
      <c r="I2051" s="2"/>
      <c r="J2051" s="2"/>
      <c r="K2051" s="2"/>
    </row>
    <row r="2052" spans="4:11" x14ac:dyDescent="0.2">
      <c r="D2052" s="2"/>
      <c r="E2052" s="2"/>
      <c r="F2052" s="2"/>
      <c r="G2052" s="2"/>
      <c r="H2052" s="2"/>
      <c r="I2052" s="2"/>
      <c r="J2052" s="2"/>
      <c r="K2052" s="2"/>
    </row>
    <row r="2053" spans="4:11" x14ac:dyDescent="0.2">
      <c r="D2053" s="2"/>
      <c r="E2053" s="2"/>
      <c r="F2053" s="2"/>
      <c r="G2053" s="2"/>
      <c r="H2053" s="2"/>
      <c r="I2053" s="2"/>
      <c r="J2053" s="2"/>
      <c r="K2053" s="2"/>
    </row>
    <row r="2054" spans="4:11" x14ac:dyDescent="0.2">
      <c r="D2054" s="2"/>
      <c r="E2054" s="2"/>
      <c r="F2054" s="2"/>
      <c r="G2054" s="2"/>
      <c r="H2054" s="2"/>
      <c r="I2054" s="2"/>
      <c r="J2054" s="2"/>
      <c r="K2054" s="2"/>
    </row>
    <row r="2055" spans="4:11" x14ac:dyDescent="0.2">
      <c r="D2055" s="2"/>
      <c r="E2055" s="2"/>
      <c r="F2055" s="2"/>
      <c r="G2055" s="2"/>
      <c r="H2055" s="2"/>
      <c r="I2055" s="2"/>
      <c r="J2055" s="2"/>
      <c r="K2055" s="2"/>
    </row>
    <row r="2056" spans="4:11" x14ac:dyDescent="0.2">
      <c r="D2056" s="2"/>
      <c r="E2056" s="2"/>
      <c r="F2056" s="2"/>
      <c r="G2056" s="2"/>
      <c r="H2056" s="2"/>
      <c r="I2056" s="2"/>
      <c r="J2056" s="2"/>
      <c r="K2056" s="2"/>
    </row>
    <row r="2057" spans="4:11" x14ac:dyDescent="0.2">
      <c r="D2057" s="2"/>
      <c r="E2057" s="2"/>
      <c r="F2057" s="2"/>
      <c r="G2057" s="2"/>
      <c r="H2057" s="2"/>
      <c r="I2057" s="2"/>
      <c r="J2057" s="2"/>
      <c r="K2057" s="2"/>
    </row>
    <row r="2058" spans="4:11" x14ac:dyDescent="0.2">
      <c r="D2058" s="2"/>
      <c r="E2058" s="2"/>
      <c r="F2058" s="2"/>
      <c r="G2058" s="2"/>
      <c r="H2058" s="2"/>
      <c r="I2058" s="2"/>
      <c r="J2058" s="2"/>
      <c r="K2058" s="2"/>
    </row>
    <row r="2059" spans="4:11" x14ac:dyDescent="0.2">
      <c r="D2059" s="2"/>
      <c r="E2059" s="2"/>
      <c r="F2059" s="2"/>
      <c r="G2059" s="2"/>
      <c r="H2059" s="2"/>
      <c r="I2059" s="2"/>
      <c r="J2059" s="2"/>
      <c r="K2059" s="2"/>
    </row>
    <row r="2060" spans="4:11" x14ac:dyDescent="0.2">
      <c r="D2060" s="2"/>
      <c r="E2060" s="2"/>
      <c r="F2060" s="2"/>
      <c r="G2060" s="2"/>
      <c r="H2060" s="2"/>
      <c r="I2060" s="2"/>
      <c r="J2060" s="2"/>
      <c r="K2060" s="2"/>
    </row>
    <row r="2061" spans="4:11" x14ac:dyDescent="0.2">
      <c r="D2061" s="2"/>
      <c r="E2061" s="2"/>
      <c r="F2061" s="2"/>
      <c r="G2061" s="2"/>
      <c r="H2061" s="2"/>
      <c r="I2061" s="2"/>
      <c r="J2061" s="2"/>
      <c r="K2061" s="2"/>
    </row>
    <row r="2062" spans="4:11" x14ac:dyDescent="0.2">
      <c r="D2062" s="2"/>
      <c r="E2062" s="2"/>
      <c r="F2062" s="2"/>
      <c r="G2062" s="2"/>
      <c r="H2062" s="2"/>
      <c r="I2062" s="2"/>
      <c r="J2062" s="2"/>
      <c r="K2062" s="2"/>
    </row>
    <row r="2063" spans="4:11" x14ac:dyDescent="0.2">
      <c r="D2063" s="2"/>
      <c r="E2063" s="2"/>
      <c r="F2063" s="2"/>
      <c r="G2063" s="2"/>
      <c r="H2063" s="2"/>
      <c r="I2063" s="2"/>
      <c r="J2063" s="2"/>
      <c r="K2063" s="2"/>
    </row>
    <row r="2064" spans="4:11" x14ac:dyDescent="0.2">
      <c r="D2064" s="2"/>
      <c r="E2064" s="2"/>
      <c r="F2064" s="2"/>
      <c r="G2064" s="2"/>
      <c r="H2064" s="2"/>
      <c r="I2064" s="2"/>
      <c r="J2064" s="2"/>
      <c r="K2064" s="2"/>
    </row>
    <row r="2065" spans="4:11" x14ac:dyDescent="0.2">
      <c r="D2065" s="2"/>
      <c r="E2065" s="2"/>
      <c r="F2065" s="2"/>
      <c r="G2065" s="2"/>
      <c r="H2065" s="2"/>
      <c r="I2065" s="2"/>
      <c r="J2065" s="2"/>
      <c r="K2065" s="2"/>
    </row>
    <row r="2066" spans="4:11" x14ac:dyDescent="0.2">
      <c r="D2066" s="2"/>
      <c r="E2066" s="2"/>
      <c r="F2066" s="2"/>
      <c r="G2066" s="2"/>
      <c r="H2066" s="2"/>
      <c r="I2066" s="2"/>
      <c r="J2066" s="2"/>
      <c r="K2066" s="2"/>
    </row>
    <row r="2067" spans="4:11" x14ac:dyDescent="0.2">
      <c r="D2067" s="2"/>
      <c r="E2067" s="2"/>
      <c r="F2067" s="2"/>
      <c r="G2067" s="2"/>
      <c r="H2067" s="2"/>
      <c r="I2067" s="2"/>
      <c r="J2067" s="2"/>
      <c r="K2067" s="2"/>
    </row>
    <row r="2068" spans="4:11" x14ac:dyDescent="0.2">
      <c r="D2068" s="2"/>
      <c r="E2068" s="2"/>
      <c r="F2068" s="2"/>
      <c r="G2068" s="2"/>
      <c r="H2068" s="2"/>
      <c r="I2068" s="2"/>
      <c r="J2068" s="2"/>
      <c r="K2068" s="2"/>
    </row>
    <row r="2069" spans="4:11" x14ac:dyDescent="0.2">
      <c r="D2069" s="2"/>
      <c r="E2069" s="2"/>
      <c r="F2069" s="2"/>
      <c r="G2069" s="2"/>
      <c r="H2069" s="2"/>
      <c r="I2069" s="2"/>
      <c r="J2069" s="2"/>
      <c r="K2069" s="2"/>
    </row>
    <row r="2070" spans="4:11" x14ac:dyDescent="0.2">
      <c r="D2070" s="2"/>
      <c r="E2070" s="2"/>
      <c r="F2070" s="2"/>
      <c r="G2070" s="2"/>
      <c r="H2070" s="2"/>
      <c r="I2070" s="2"/>
      <c r="J2070" s="2"/>
      <c r="K2070" s="2"/>
    </row>
    <row r="2071" spans="4:11" x14ac:dyDescent="0.2">
      <c r="D2071" s="2"/>
      <c r="E2071" s="2"/>
      <c r="F2071" s="2"/>
      <c r="G2071" s="2"/>
      <c r="H2071" s="2"/>
      <c r="I2071" s="2"/>
      <c r="J2071" s="2"/>
      <c r="K2071" s="2"/>
    </row>
    <row r="2072" spans="4:11" x14ac:dyDescent="0.2">
      <c r="D2072" s="2"/>
      <c r="E2072" s="2"/>
      <c r="F2072" s="2"/>
      <c r="G2072" s="2"/>
      <c r="H2072" s="2"/>
      <c r="I2072" s="2"/>
      <c r="J2072" s="2"/>
      <c r="K2072" s="2"/>
    </row>
    <row r="2073" spans="4:11" x14ac:dyDescent="0.2">
      <c r="D2073" s="2"/>
      <c r="E2073" s="2"/>
      <c r="F2073" s="2"/>
      <c r="G2073" s="2"/>
      <c r="H2073" s="2"/>
      <c r="I2073" s="2"/>
      <c r="J2073" s="2"/>
      <c r="K2073" s="2"/>
    </row>
    <row r="2074" spans="4:11" x14ac:dyDescent="0.2">
      <c r="D2074" s="2"/>
      <c r="E2074" s="2"/>
      <c r="F2074" s="2"/>
      <c r="G2074" s="2"/>
      <c r="H2074" s="2"/>
      <c r="I2074" s="2"/>
      <c r="J2074" s="2"/>
      <c r="K2074" s="2"/>
    </row>
    <row r="2075" spans="4:11" x14ac:dyDescent="0.2">
      <c r="D2075" s="2"/>
      <c r="E2075" s="2"/>
      <c r="F2075" s="2"/>
      <c r="G2075" s="2"/>
      <c r="H2075" s="2"/>
      <c r="I2075" s="2"/>
      <c r="J2075" s="2"/>
      <c r="K2075" s="2"/>
    </row>
    <row r="2076" spans="4:11" x14ac:dyDescent="0.2">
      <c r="D2076" s="2"/>
      <c r="E2076" s="2"/>
      <c r="F2076" s="2"/>
      <c r="G2076" s="2"/>
      <c r="H2076" s="2"/>
      <c r="I2076" s="2"/>
      <c r="J2076" s="2"/>
      <c r="K2076" s="2"/>
    </row>
    <row r="2077" spans="4:11" x14ac:dyDescent="0.2">
      <c r="D2077" s="2"/>
      <c r="E2077" s="2"/>
      <c r="F2077" s="2"/>
      <c r="G2077" s="2"/>
      <c r="H2077" s="2"/>
      <c r="I2077" s="2"/>
      <c r="J2077" s="2"/>
      <c r="K2077" s="2"/>
    </row>
    <row r="2078" spans="4:11" x14ac:dyDescent="0.2">
      <c r="D2078" s="2"/>
      <c r="E2078" s="2"/>
      <c r="F2078" s="2"/>
      <c r="G2078" s="2"/>
      <c r="H2078" s="2"/>
      <c r="I2078" s="2"/>
      <c r="J2078" s="2"/>
      <c r="K2078" s="2"/>
    </row>
    <row r="2079" spans="4:11" x14ac:dyDescent="0.2">
      <c r="D2079" s="2"/>
      <c r="E2079" s="2"/>
      <c r="F2079" s="2"/>
      <c r="G2079" s="2"/>
      <c r="H2079" s="2"/>
      <c r="I2079" s="2"/>
      <c r="J2079" s="2"/>
      <c r="K2079" s="2"/>
    </row>
    <row r="2080" spans="4:11" x14ac:dyDescent="0.2">
      <c r="D2080" s="2"/>
      <c r="E2080" s="2"/>
      <c r="F2080" s="2"/>
      <c r="G2080" s="2"/>
      <c r="H2080" s="2"/>
      <c r="I2080" s="2"/>
      <c r="J2080" s="2"/>
      <c r="K2080" s="2"/>
    </row>
    <row r="2081" spans="4:11" x14ac:dyDescent="0.2">
      <c r="D2081" s="2"/>
      <c r="E2081" s="2"/>
      <c r="F2081" s="2"/>
      <c r="G2081" s="2"/>
      <c r="H2081" s="2"/>
      <c r="I2081" s="2"/>
      <c r="J2081" s="2"/>
      <c r="K2081" s="2"/>
    </row>
    <row r="2082" spans="4:11" x14ac:dyDescent="0.2">
      <c r="D2082" s="2"/>
      <c r="E2082" s="2"/>
      <c r="F2082" s="2"/>
      <c r="G2082" s="2"/>
      <c r="H2082" s="2"/>
      <c r="I2082" s="2"/>
      <c r="J2082" s="2"/>
      <c r="K2082" s="2"/>
    </row>
    <row r="2083" spans="4:11" x14ac:dyDescent="0.2">
      <c r="D2083" s="2"/>
      <c r="E2083" s="2"/>
      <c r="F2083" s="2"/>
      <c r="G2083" s="2"/>
      <c r="H2083" s="2"/>
      <c r="I2083" s="2"/>
      <c r="J2083" s="2"/>
      <c r="K2083" s="2"/>
    </row>
    <row r="2084" spans="4:11" x14ac:dyDescent="0.2">
      <c r="D2084" s="2"/>
      <c r="E2084" s="2"/>
      <c r="F2084" s="2"/>
      <c r="G2084" s="2"/>
      <c r="H2084" s="2"/>
      <c r="I2084" s="2"/>
      <c r="J2084" s="2"/>
      <c r="K2084" s="2"/>
    </row>
    <row r="2085" spans="4:11" x14ac:dyDescent="0.2">
      <c r="D2085" s="2"/>
      <c r="E2085" s="2"/>
      <c r="F2085" s="2"/>
      <c r="G2085" s="2"/>
      <c r="H2085" s="2"/>
      <c r="I2085" s="2"/>
      <c r="J2085" s="2"/>
      <c r="K2085" s="2"/>
    </row>
    <row r="2086" spans="4:11" x14ac:dyDescent="0.2">
      <c r="D2086" s="2"/>
      <c r="E2086" s="2"/>
      <c r="F2086" s="2"/>
      <c r="G2086" s="2"/>
      <c r="H2086" s="2"/>
      <c r="I2086" s="2"/>
      <c r="J2086" s="2"/>
      <c r="K2086" s="2"/>
    </row>
    <row r="2087" spans="4:11" x14ac:dyDescent="0.2">
      <c r="D2087" s="2"/>
      <c r="E2087" s="2"/>
      <c r="F2087" s="2"/>
      <c r="G2087" s="2"/>
      <c r="H2087" s="2"/>
      <c r="I2087" s="2"/>
      <c r="J2087" s="2"/>
      <c r="K2087" s="2"/>
    </row>
    <row r="2088" spans="4:11" x14ac:dyDescent="0.2">
      <c r="D2088" s="2"/>
      <c r="E2088" s="2"/>
      <c r="F2088" s="2"/>
      <c r="G2088" s="2"/>
      <c r="H2088" s="2"/>
      <c r="I2088" s="2"/>
      <c r="J2088" s="2"/>
      <c r="K2088" s="2"/>
    </row>
    <row r="2089" spans="4:11" x14ac:dyDescent="0.2">
      <c r="D2089" s="2"/>
      <c r="E2089" s="2"/>
      <c r="F2089" s="2"/>
      <c r="G2089" s="2"/>
      <c r="H2089" s="2"/>
      <c r="I2089" s="2"/>
      <c r="J2089" s="2"/>
      <c r="K2089" s="2"/>
    </row>
    <row r="2090" spans="4:11" x14ac:dyDescent="0.2">
      <c r="D2090" s="2"/>
      <c r="E2090" s="2"/>
      <c r="F2090" s="2"/>
      <c r="G2090" s="2"/>
      <c r="H2090" s="2"/>
      <c r="I2090" s="2"/>
      <c r="J2090" s="2"/>
      <c r="K2090" s="2"/>
    </row>
    <row r="2091" spans="4:11" x14ac:dyDescent="0.2">
      <c r="D2091" s="2"/>
      <c r="E2091" s="2"/>
      <c r="F2091" s="2"/>
      <c r="G2091" s="2"/>
      <c r="H2091" s="2"/>
      <c r="I2091" s="2"/>
      <c r="J2091" s="2"/>
      <c r="K2091" s="2"/>
    </row>
    <row r="2092" spans="4:11" x14ac:dyDescent="0.2">
      <c r="D2092" s="2"/>
      <c r="E2092" s="2"/>
      <c r="F2092" s="2"/>
      <c r="G2092" s="2"/>
      <c r="H2092" s="2"/>
      <c r="I2092" s="2"/>
      <c r="J2092" s="2"/>
      <c r="K2092" s="2"/>
    </row>
    <row r="2093" spans="4:11" x14ac:dyDescent="0.2">
      <c r="D2093" s="2"/>
      <c r="E2093" s="2"/>
      <c r="F2093" s="2"/>
      <c r="G2093" s="2"/>
      <c r="H2093" s="2"/>
      <c r="I2093" s="2"/>
      <c r="J2093" s="2"/>
      <c r="K2093" s="2"/>
    </row>
    <row r="2094" spans="4:11" x14ac:dyDescent="0.2">
      <c r="D2094" s="2"/>
      <c r="E2094" s="2"/>
      <c r="F2094" s="2"/>
      <c r="G2094" s="2"/>
      <c r="H2094" s="2"/>
      <c r="I2094" s="2"/>
      <c r="J2094" s="2"/>
      <c r="K2094" s="2"/>
    </row>
    <row r="2095" spans="4:11" x14ac:dyDescent="0.2">
      <c r="D2095" s="2"/>
      <c r="E2095" s="2"/>
      <c r="F2095" s="2"/>
      <c r="G2095" s="2"/>
      <c r="H2095" s="2"/>
      <c r="I2095" s="2"/>
      <c r="J2095" s="2"/>
      <c r="K2095" s="2"/>
    </row>
    <row r="2096" spans="4:11" x14ac:dyDescent="0.2">
      <c r="D2096" s="2"/>
      <c r="E2096" s="2"/>
      <c r="F2096" s="2"/>
      <c r="G2096" s="2"/>
      <c r="H2096" s="2"/>
      <c r="I2096" s="2"/>
      <c r="J2096" s="2"/>
      <c r="K2096" s="2"/>
    </row>
    <row r="2097" spans="4:11" x14ac:dyDescent="0.2">
      <c r="D2097" s="2"/>
      <c r="E2097" s="2"/>
      <c r="F2097" s="2"/>
      <c r="G2097" s="2"/>
      <c r="H2097" s="2"/>
      <c r="I2097" s="2"/>
      <c r="J2097" s="2"/>
      <c r="K2097" s="2"/>
    </row>
    <row r="2098" spans="4:11" x14ac:dyDescent="0.2">
      <c r="D2098" s="2"/>
      <c r="E2098" s="2"/>
      <c r="F2098" s="2"/>
      <c r="G2098" s="2"/>
      <c r="H2098" s="2"/>
      <c r="I2098" s="2"/>
      <c r="J2098" s="2"/>
      <c r="K2098" s="2"/>
    </row>
    <row r="2099" spans="4:11" x14ac:dyDescent="0.2">
      <c r="D2099" s="2"/>
      <c r="E2099" s="2"/>
      <c r="F2099" s="2"/>
      <c r="G2099" s="2"/>
      <c r="H2099" s="2"/>
      <c r="I2099" s="2"/>
      <c r="J2099" s="2"/>
      <c r="K2099" s="2"/>
    </row>
    <row r="2100" spans="4:11" x14ac:dyDescent="0.2">
      <c r="D2100" s="2"/>
      <c r="E2100" s="2"/>
      <c r="F2100" s="2"/>
      <c r="G2100" s="2"/>
      <c r="H2100" s="2"/>
      <c r="I2100" s="2"/>
      <c r="J2100" s="2"/>
      <c r="K2100" s="2"/>
    </row>
    <row r="2101" spans="4:11" x14ac:dyDescent="0.2">
      <c r="D2101" s="2"/>
      <c r="E2101" s="2"/>
      <c r="F2101" s="2"/>
      <c r="G2101" s="2"/>
      <c r="H2101" s="2"/>
      <c r="I2101" s="2"/>
      <c r="J2101" s="2"/>
      <c r="K2101" s="2"/>
    </row>
    <row r="2102" spans="4:11" x14ac:dyDescent="0.2">
      <c r="D2102" s="2"/>
      <c r="E2102" s="2"/>
      <c r="F2102" s="2"/>
      <c r="G2102" s="2"/>
      <c r="H2102" s="2"/>
      <c r="I2102" s="2"/>
      <c r="J2102" s="2"/>
      <c r="K2102" s="2"/>
    </row>
    <row r="2103" spans="4:11" x14ac:dyDescent="0.2">
      <c r="D2103" s="2"/>
      <c r="E2103" s="2"/>
      <c r="F2103" s="2"/>
      <c r="G2103" s="2"/>
      <c r="H2103" s="2"/>
      <c r="I2103" s="2"/>
      <c r="J2103" s="2"/>
      <c r="K2103" s="2"/>
    </row>
    <row r="2104" spans="4:11" x14ac:dyDescent="0.2">
      <c r="D2104" s="2"/>
      <c r="E2104" s="2"/>
      <c r="F2104" s="2"/>
      <c r="G2104" s="2"/>
      <c r="H2104" s="2"/>
      <c r="I2104" s="2"/>
      <c r="J2104" s="2"/>
      <c r="K2104" s="2"/>
    </row>
    <row r="2105" spans="4:11" x14ac:dyDescent="0.2">
      <c r="D2105" s="2"/>
      <c r="E2105" s="2"/>
      <c r="F2105" s="2"/>
      <c r="G2105" s="2"/>
      <c r="H2105" s="2"/>
      <c r="I2105" s="2"/>
      <c r="J2105" s="2"/>
      <c r="K2105" s="2"/>
    </row>
    <row r="2106" spans="4:11" x14ac:dyDescent="0.2">
      <c r="D2106" s="2"/>
      <c r="E2106" s="2"/>
      <c r="F2106" s="2"/>
      <c r="G2106" s="2"/>
      <c r="H2106" s="2"/>
      <c r="I2106" s="2"/>
      <c r="J2106" s="2"/>
      <c r="K2106" s="2"/>
    </row>
    <row r="2107" spans="4:11" x14ac:dyDescent="0.2">
      <c r="D2107" s="2"/>
      <c r="E2107" s="2"/>
      <c r="F2107" s="2"/>
      <c r="G2107" s="2"/>
      <c r="H2107" s="2"/>
      <c r="I2107" s="2"/>
      <c r="J2107" s="2"/>
      <c r="K2107" s="2"/>
    </row>
    <row r="2108" spans="4:11" x14ac:dyDescent="0.2">
      <c r="D2108" s="2"/>
      <c r="E2108" s="2"/>
      <c r="F2108" s="2"/>
      <c r="G2108" s="2"/>
      <c r="H2108" s="2"/>
      <c r="I2108" s="2"/>
      <c r="J2108" s="2"/>
      <c r="K2108" s="2"/>
    </row>
    <row r="2109" spans="4:11" x14ac:dyDescent="0.2">
      <c r="D2109" s="2"/>
      <c r="E2109" s="2"/>
      <c r="F2109" s="2"/>
      <c r="G2109" s="2"/>
      <c r="H2109" s="2"/>
      <c r="I2109" s="2"/>
      <c r="J2109" s="2"/>
      <c r="K2109" s="2"/>
    </row>
    <row r="2110" spans="4:11" x14ac:dyDescent="0.2">
      <c r="D2110" s="2"/>
      <c r="E2110" s="2"/>
      <c r="F2110" s="2"/>
      <c r="G2110" s="2"/>
      <c r="H2110" s="2"/>
      <c r="I2110" s="2"/>
      <c r="J2110" s="2"/>
      <c r="K2110" s="2"/>
    </row>
    <row r="2111" spans="4:11" x14ac:dyDescent="0.2">
      <c r="D2111" s="2"/>
      <c r="E2111" s="2"/>
      <c r="F2111" s="2"/>
      <c r="G2111" s="2"/>
      <c r="H2111" s="2"/>
      <c r="I2111" s="2"/>
      <c r="J2111" s="2"/>
      <c r="K2111" s="2"/>
    </row>
    <row r="2112" spans="4:11" x14ac:dyDescent="0.2">
      <c r="D2112" s="2"/>
      <c r="E2112" s="2"/>
      <c r="F2112" s="2"/>
      <c r="G2112" s="2"/>
      <c r="H2112" s="2"/>
      <c r="I2112" s="2"/>
      <c r="J2112" s="2"/>
      <c r="K2112" s="2"/>
    </row>
    <row r="2113" spans="4:11" x14ac:dyDescent="0.2">
      <c r="D2113" s="2"/>
      <c r="E2113" s="2"/>
      <c r="F2113" s="2"/>
      <c r="G2113" s="2"/>
      <c r="H2113" s="2"/>
      <c r="I2113" s="2"/>
      <c r="J2113" s="2"/>
      <c r="K2113" s="2"/>
    </row>
    <row r="2114" spans="4:11" x14ac:dyDescent="0.2">
      <c r="D2114" s="2"/>
      <c r="E2114" s="2"/>
      <c r="F2114" s="2"/>
      <c r="G2114" s="2"/>
      <c r="H2114" s="2"/>
      <c r="I2114" s="2"/>
      <c r="J2114" s="2"/>
      <c r="K2114" s="2"/>
    </row>
    <row r="2115" spans="4:11" x14ac:dyDescent="0.2">
      <c r="D2115" s="2"/>
      <c r="E2115" s="2"/>
      <c r="F2115" s="2"/>
      <c r="G2115" s="2"/>
      <c r="H2115" s="2"/>
      <c r="I2115" s="2"/>
      <c r="J2115" s="2"/>
      <c r="K2115" s="2"/>
    </row>
    <row r="2116" spans="4:11" x14ac:dyDescent="0.2">
      <c r="D2116" s="2"/>
      <c r="E2116" s="2"/>
      <c r="F2116" s="2"/>
      <c r="G2116" s="2"/>
      <c r="H2116" s="2"/>
      <c r="I2116" s="2"/>
      <c r="J2116" s="2"/>
      <c r="K2116" s="2"/>
    </row>
    <row r="2117" spans="4:11" x14ac:dyDescent="0.2">
      <c r="D2117" s="2"/>
      <c r="E2117" s="2"/>
      <c r="F2117" s="2"/>
      <c r="G2117" s="2"/>
      <c r="H2117" s="2"/>
      <c r="I2117" s="2"/>
      <c r="J2117" s="2"/>
      <c r="K2117" s="2"/>
    </row>
    <row r="2118" spans="4:11" x14ac:dyDescent="0.2">
      <c r="D2118" s="2"/>
      <c r="E2118" s="2"/>
      <c r="F2118" s="2"/>
      <c r="G2118" s="2"/>
      <c r="H2118" s="2"/>
      <c r="I2118" s="2"/>
      <c r="J2118" s="2"/>
      <c r="K2118" s="2"/>
    </row>
    <row r="2119" spans="4:11" x14ac:dyDescent="0.2">
      <c r="D2119" s="2"/>
      <c r="E2119" s="2"/>
      <c r="F2119" s="2"/>
      <c r="G2119" s="2"/>
      <c r="H2119" s="2"/>
      <c r="I2119" s="2"/>
      <c r="J2119" s="2"/>
      <c r="K2119" s="2"/>
    </row>
    <row r="2120" spans="4:11" x14ac:dyDescent="0.2">
      <c r="D2120" s="2"/>
      <c r="E2120" s="2"/>
      <c r="F2120" s="2"/>
      <c r="G2120" s="2"/>
      <c r="H2120" s="2"/>
      <c r="I2120" s="2"/>
      <c r="J2120" s="2"/>
      <c r="K2120" s="2"/>
    </row>
    <row r="2121" spans="4:11" x14ac:dyDescent="0.2">
      <c r="D2121" s="2"/>
      <c r="E2121" s="2"/>
      <c r="F2121" s="2"/>
      <c r="G2121" s="2"/>
      <c r="H2121" s="2"/>
      <c r="I2121" s="2"/>
      <c r="J2121" s="2"/>
      <c r="K2121" s="2"/>
    </row>
    <row r="2122" spans="4:11" x14ac:dyDescent="0.2">
      <c r="D2122" s="2"/>
      <c r="E2122" s="2"/>
      <c r="F2122" s="2"/>
      <c r="G2122" s="2"/>
      <c r="H2122" s="2"/>
      <c r="I2122" s="2"/>
      <c r="J2122" s="2"/>
      <c r="K2122" s="2"/>
    </row>
    <row r="2123" spans="4:11" x14ac:dyDescent="0.2">
      <c r="D2123" s="2"/>
      <c r="E2123" s="2"/>
      <c r="F2123" s="2"/>
      <c r="G2123" s="2"/>
      <c r="H2123" s="2"/>
      <c r="I2123" s="2"/>
      <c r="J2123" s="2"/>
      <c r="K2123" s="2"/>
    </row>
    <row r="2124" spans="4:11" x14ac:dyDescent="0.2">
      <c r="D2124" s="2"/>
      <c r="E2124" s="2"/>
      <c r="F2124" s="2"/>
      <c r="G2124" s="2"/>
      <c r="H2124" s="2"/>
      <c r="I2124" s="2"/>
      <c r="J2124" s="2"/>
      <c r="K2124" s="2"/>
    </row>
    <row r="2125" spans="4:11" x14ac:dyDescent="0.2">
      <c r="D2125" s="2"/>
      <c r="E2125" s="2"/>
      <c r="F2125" s="2"/>
      <c r="G2125" s="2"/>
      <c r="H2125" s="2"/>
      <c r="I2125" s="2"/>
      <c r="J2125" s="2"/>
      <c r="K2125" s="2"/>
    </row>
    <row r="2126" spans="4:11" x14ac:dyDescent="0.2">
      <c r="D2126" s="2"/>
      <c r="E2126" s="2"/>
      <c r="F2126" s="2"/>
      <c r="G2126" s="2"/>
      <c r="H2126" s="2"/>
      <c r="I2126" s="2"/>
      <c r="J2126" s="2"/>
      <c r="K2126" s="2"/>
    </row>
    <row r="2127" spans="4:11" x14ac:dyDescent="0.2">
      <c r="D2127" s="2"/>
      <c r="E2127" s="2"/>
      <c r="F2127" s="2"/>
      <c r="G2127" s="2"/>
      <c r="H2127" s="2"/>
      <c r="I2127" s="2"/>
      <c r="J2127" s="2"/>
      <c r="K2127" s="2"/>
    </row>
    <row r="2128" spans="4:11" x14ac:dyDescent="0.2">
      <c r="D2128" s="2"/>
      <c r="E2128" s="2"/>
      <c r="F2128" s="2"/>
      <c r="G2128" s="2"/>
      <c r="H2128" s="2"/>
      <c r="I2128" s="2"/>
      <c r="J2128" s="2"/>
      <c r="K2128" s="2"/>
    </row>
    <row r="2129" spans="4:11" x14ac:dyDescent="0.2">
      <c r="D2129" s="2"/>
      <c r="E2129" s="2"/>
      <c r="F2129" s="2"/>
      <c r="G2129" s="2"/>
      <c r="H2129" s="2"/>
      <c r="I2129" s="2"/>
      <c r="J2129" s="2"/>
      <c r="K2129" s="2"/>
    </row>
    <row r="2130" spans="4:11" x14ac:dyDescent="0.2">
      <c r="D2130" s="2"/>
      <c r="E2130" s="2"/>
      <c r="F2130" s="2"/>
      <c r="G2130" s="2"/>
      <c r="H2130" s="2"/>
      <c r="I2130" s="2"/>
      <c r="J2130" s="2"/>
      <c r="K2130" s="2"/>
    </row>
    <row r="2131" spans="4:11" x14ac:dyDescent="0.2">
      <c r="D2131" s="2"/>
      <c r="E2131" s="2"/>
      <c r="F2131" s="2"/>
      <c r="G2131" s="2"/>
      <c r="H2131" s="2"/>
      <c r="I2131" s="2"/>
      <c r="J2131" s="2"/>
      <c r="K2131" s="2"/>
    </row>
    <row r="2132" spans="4:11" x14ac:dyDescent="0.2">
      <c r="D2132" s="2"/>
      <c r="E2132" s="2"/>
      <c r="F2132" s="2"/>
      <c r="G2132" s="2"/>
      <c r="H2132" s="2"/>
      <c r="I2132" s="2"/>
      <c r="J2132" s="2"/>
      <c r="K2132" s="2"/>
    </row>
    <row r="2133" spans="4:11" x14ac:dyDescent="0.2">
      <c r="D2133" s="2"/>
      <c r="E2133" s="2"/>
      <c r="F2133" s="2"/>
      <c r="G2133" s="2"/>
      <c r="H2133" s="2"/>
      <c r="I2133" s="2"/>
      <c r="J2133" s="2"/>
      <c r="K2133" s="2"/>
    </row>
    <row r="2134" spans="4:11" x14ac:dyDescent="0.2">
      <c r="D2134" s="2"/>
      <c r="E2134" s="2"/>
      <c r="F2134" s="2"/>
      <c r="G2134" s="2"/>
      <c r="H2134" s="2"/>
      <c r="I2134" s="2"/>
      <c r="J2134" s="2"/>
      <c r="K2134" s="2"/>
    </row>
    <row r="2135" spans="4:11" x14ac:dyDescent="0.2">
      <c r="D2135" s="2"/>
      <c r="E2135" s="2"/>
      <c r="F2135" s="2"/>
      <c r="G2135" s="2"/>
      <c r="H2135" s="2"/>
      <c r="I2135" s="2"/>
      <c r="J2135" s="2"/>
      <c r="K2135" s="2"/>
    </row>
    <row r="2136" spans="4:11" x14ac:dyDescent="0.2">
      <c r="D2136" s="2"/>
      <c r="E2136" s="2"/>
      <c r="F2136" s="2"/>
      <c r="G2136" s="2"/>
      <c r="H2136" s="2"/>
      <c r="I2136" s="2"/>
      <c r="J2136" s="2"/>
      <c r="K2136" s="2"/>
    </row>
    <row r="2137" spans="4:11" x14ac:dyDescent="0.2">
      <c r="D2137" s="2"/>
      <c r="E2137" s="2"/>
      <c r="F2137" s="2"/>
      <c r="G2137" s="2"/>
      <c r="H2137" s="2"/>
      <c r="I2137" s="2"/>
      <c r="J2137" s="2"/>
      <c r="K2137" s="2"/>
    </row>
    <row r="2138" spans="4:11" x14ac:dyDescent="0.2">
      <c r="D2138" s="2"/>
      <c r="E2138" s="2"/>
      <c r="F2138" s="2"/>
      <c r="G2138" s="2"/>
      <c r="H2138" s="2"/>
      <c r="I2138" s="2"/>
      <c r="J2138" s="2"/>
      <c r="K2138" s="2"/>
    </row>
    <row r="2139" spans="4:11" x14ac:dyDescent="0.2">
      <c r="D2139" s="2"/>
      <c r="E2139" s="2"/>
      <c r="F2139" s="2"/>
      <c r="G2139" s="2"/>
      <c r="H2139" s="2"/>
      <c r="I2139" s="2"/>
      <c r="J2139" s="2"/>
      <c r="K2139" s="2"/>
    </row>
    <row r="2140" spans="4:11" x14ac:dyDescent="0.2">
      <c r="D2140" s="2"/>
      <c r="E2140" s="2"/>
      <c r="F2140" s="2"/>
      <c r="G2140" s="2"/>
      <c r="H2140" s="2"/>
      <c r="I2140" s="2"/>
      <c r="J2140" s="2"/>
      <c r="K2140" s="2"/>
    </row>
    <row r="2141" spans="4:11" x14ac:dyDescent="0.2">
      <c r="D2141" s="2"/>
      <c r="E2141" s="2"/>
      <c r="F2141" s="2"/>
      <c r="G2141" s="2"/>
      <c r="H2141" s="2"/>
      <c r="I2141" s="2"/>
      <c r="J2141" s="2"/>
      <c r="K2141" s="2"/>
    </row>
    <row r="2142" spans="4:11" x14ac:dyDescent="0.2">
      <c r="D2142" s="2"/>
      <c r="E2142" s="2"/>
      <c r="F2142" s="2"/>
      <c r="G2142" s="2"/>
      <c r="H2142" s="2"/>
      <c r="I2142" s="2"/>
      <c r="J2142" s="2"/>
      <c r="K2142" s="2"/>
    </row>
    <row r="2143" spans="4:11" x14ac:dyDescent="0.2">
      <c r="D2143" s="2"/>
      <c r="E2143" s="2"/>
      <c r="F2143" s="2"/>
      <c r="G2143" s="2"/>
      <c r="H2143" s="2"/>
      <c r="I2143" s="2"/>
      <c r="J2143" s="2"/>
      <c r="K2143" s="2"/>
    </row>
    <row r="2144" spans="4:11" x14ac:dyDescent="0.2">
      <c r="D2144" s="2"/>
      <c r="E2144" s="2"/>
      <c r="F2144" s="2"/>
      <c r="G2144" s="2"/>
      <c r="H2144" s="2"/>
      <c r="I2144" s="2"/>
      <c r="J2144" s="2"/>
      <c r="K2144" s="2"/>
    </row>
    <row r="2145" spans="4:11" x14ac:dyDescent="0.2">
      <c r="D2145" s="2"/>
      <c r="E2145" s="2"/>
      <c r="F2145" s="2"/>
      <c r="G2145" s="2"/>
      <c r="H2145" s="2"/>
      <c r="I2145" s="2"/>
      <c r="J2145" s="2"/>
      <c r="K2145" s="2"/>
    </row>
    <row r="2146" spans="4:11" x14ac:dyDescent="0.2">
      <c r="D2146" s="2"/>
      <c r="E2146" s="2"/>
      <c r="F2146" s="2"/>
      <c r="G2146" s="2"/>
      <c r="H2146" s="2"/>
      <c r="I2146" s="2"/>
      <c r="J2146" s="2"/>
      <c r="K2146" s="2"/>
    </row>
    <row r="2147" spans="4:11" x14ac:dyDescent="0.2">
      <c r="D2147" s="2"/>
      <c r="E2147" s="2"/>
      <c r="F2147" s="2"/>
      <c r="G2147" s="2"/>
      <c r="H2147" s="2"/>
      <c r="I2147" s="2"/>
      <c r="J2147" s="2"/>
      <c r="K2147" s="2"/>
    </row>
    <row r="2148" spans="4:11" x14ac:dyDescent="0.2">
      <c r="D2148" s="2"/>
      <c r="E2148" s="2"/>
      <c r="F2148" s="2"/>
      <c r="G2148" s="2"/>
      <c r="H2148" s="2"/>
      <c r="I2148" s="2"/>
      <c r="J2148" s="2"/>
      <c r="K2148" s="2"/>
    </row>
    <row r="2149" spans="4:11" x14ac:dyDescent="0.2">
      <c r="D2149" s="2"/>
      <c r="E2149" s="2"/>
      <c r="F2149" s="2"/>
      <c r="G2149" s="2"/>
      <c r="H2149" s="2"/>
      <c r="I2149" s="2"/>
      <c r="J2149" s="2"/>
      <c r="K2149" s="2"/>
    </row>
    <row r="2150" spans="4:11" x14ac:dyDescent="0.2">
      <c r="D2150" s="2"/>
      <c r="E2150" s="2"/>
      <c r="F2150" s="2"/>
      <c r="G2150" s="2"/>
      <c r="H2150" s="2"/>
      <c r="I2150" s="2"/>
      <c r="J2150" s="2"/>
      <c r="K2150" s="2"/>
    </row>
    <row r="2151" spans="4:11" x14ac:dyDescent="0.2">
      <c r="D2151" s="2"/>
      <c r="E2151" s="2"/>
      <c r="F2151" s="2"/>
      <c r="G2151" s="2"/>
      <c r="H2151" s="2"/>
      <c r="I2151" s="2"/>
      <c r="J2151" s="2"/>
      <c r="K2151" s="2"/>
    </row>
    <row r="2152" spans="4:11" x14ac:dyDescent="0.2">
      <c r="D2152" s="2"/>
      <c r="E2152" s="2"/>
      <c r="F2152" s="2"/>
      <c r="G2152" s="2"/>
      <c r="H2152" s="2"/>
      <c r="I2152" s="2"/>
      <c r="J2152" s="2"/>
      <c r="K2152" s="2"/>
    </row>
    <row r="2153" spans="4:11" x14ac:dyDescent="0.2">
      <c r="D2153" s="2"/>
      <c r="E2153" s="2"/>
      <c r="F2153" s="2"/>
      <c r="G2153" s="2"/>
      <c r="H2153" s="2"/>
      <c r="I2153" s="2"/>
      <c r="J2153" s="2"/>
      <c r="K2153" s="2"/>
    </row>
    <row r="2154" spans="4:11" x14ac:dyDescent="0.2">
      <c r="D2154" s="2"/>
      <c r="E2154" s="2"/>
      <c r="F2154" s="2"/>
      <c r="G2154" s="2"/>
      <c r="H2154" s="2"/>
      <c r="I2154" s="2"/>
      <c r="J2154" s="2"/>
      <c r="K2154" s="2"/>
    </row>
    <row r="2155" spans="4:11" x14ac:dyDescent="0.2">
      <c r="D2155" s="2"/>
      <c r="E2155" s="2"/>
      <c r="F2155" s="2"/>
      <c r="G2155" s="2"/>
      <c r="H2155" s="2"/>
      <c r="I2155" s="2"/>
      <c r="J2155" s="2"/>
      <c r="K2155" s="2"/>
    </row>
    <row r="2156" spans="4:11" x14ac:dyDescent="0.2">
      <c r="D2156" s="2"/>
      <c r="E2156" s="2"/>
      <c r="F2156" s="2"/>
      <c r="G2156" s="2"/>
      <c r="H2156" s="2"/>
      <c r="I2156" s="2"/>
      <c r="J2156" s="2"/>
      <c r="K2156" s="2"/>
    </row>
    <row r="2157" spans="4:11" x14ac:dyDescent="0.2">
      <c r="D2157" s="2"/>
      <c r="E2157" s="2"/>
      <c r="F2157" s="2"/>
      <c r="G2157" s="2"/>
      <c r="H2157" s="2"/>
      <c r="I2157" s="2"/>
      <c r="J2157" s="2"/>
      <c r="K2157" s="2"/>
    </row>
    <row r="2158" spans="4:11" x14ac:dyDescent="0.2">
      <c r="D2158" s="2"/>
      <c r="E2158" s="2"/>
      <c r="F2158" s="2"/>
      <c r="G2158" s="2"/>
      <c r="H2158" s="2"/>
      <c r="I2158" s="2"/>
      <c r="J2158" s="2"/>
      <c r="K2158" s="2"/>
    </row>
    <row r="2159" spans="4:11" x14ac:dyDescent="0.2">
      <c r="D2159" s="2"/>
      <c r="E2159" s="2"/>
      <c r="F2159" s="2"/>
      <c r="G2159" s="2"/>
      <c r="H2159" s="2"/>
      <c r="I2159" s="2"/>
      <c r="J2159" s="2"/>
      <c r="K2159" s="2"/>
    </row>
    <row r="2160" spans="4:11" x14ac:dyDescent="0.2">
      <c r="D2160" s="2"/>
      <c r="E2160" s="2"/>
      <c r="F2160" s="2"/>
      <c r="G2160" s="2"/>
      <c r="H2160" s="2"/>
      <c r="I2160" s="2"/>
      <c r="J2160" s="2"/>
      <c r="K2160" s="2"/>
    </row>
    <row r="2161" spans="4:11" x14ac:dyDescent="0.2">
      <c r="D2161" s="2"/>
      <c r="E2161" s="2"/>
      <c r="F2161" s="2"/>
      <c r="G2161" s="2"/>
      <c r="H2161" s="2"/>
      <c r="I2161" s="2"/>
      <c r="J2161" s="2"/>
      <c r="K2161" s="2"/>
    </row>
    <row r="2162" spans="4:11" x14ac:dyDescent="0.2">
      <c r="D2162" s="2"/>
      <c r="E2162" s="2"/>
      <c r="F2162" s="2"/>
      <c r="G2162" s="2"/>
      <c r="H2162" s="2"/>
      <c r="I2162" s="2"/>
      <c r="J2162" s="2"/>
      <c r="K2162" s="2"/>
    </row>
    <row r="2163" spans="4:11" x14ac:dyDescent="0.2">
      <c r="D2163" s="2"/>
      <c r="E2163" s="2"/>
      <c r="F2163" s="2"/>
      <c r="G2163" s="2"/>
      <c r="H2163" s="2"/>
      <c r="I2163" s="2"/>
      <c r="J2163" s="2"/>
      <c r="K2163" s="2"/>
    </row>
    <row r="2164" spans="4:11" x14ac:dyDescent="0.2">
      <c r="D2164" s="2"/>
      <c r="E2164" s="2"/>
      <c r="F2164" s="2"/>
      <c r="G2164" s="2"/>
      <c r="H2164" s="2"/>
      <c r="I2164" s="2"/>
      <c r="J2164" s="2"/>
      <c r="K2164" s="2"/>
    </row>
    <row r="2165" spans="4:11" x14ac:dyDescent="0.2">
      <c r="D2165" s="2"/>
      <c r="E2165" s="2"/>
      <c r="F2165" s="2"/>
      <c r="G2165" s="2"/>
      <c r="H2165" s="2"/>
      <c r="I2165" s="2"/>
      <c r="J2165" s="2"/>
      <c r="K2165" s="2"/>
    </row>
    <row r="2166" spans="4:11" x14ac:dyDescent="0.2">
      <c r="D2166" s="2"/>
      <c r="E2166" s="2"/>
      <c r="F2166" s="2"/>
      <c r="G2166" s="2"/>
      <c r="H2166" s="2"/>
      <c r="I2166" s="2"/>
      <c r="J2166" s="2"/>
      <c r="K2166" s="2"/>
    </row>
    <row r="2167" spans="4:11" x14ac:dyDescent="0.2">
      <c r="D2167" s="2"/>
      <c r="E2167" s="2"/>
      <c r="F2167" s="2"/>
      <c r="G2167" s="2"/>
      <c r="H2167" s="2"/>
      <c r="I2167" s="2"/>
      <c r="J2167" s="2"/>
      <c r="K2167" s="2"/>
    </row>
    <row r="2168" spans="4:11" x14ac:dyDescent="0.2">
      <c r="D2168" s="2"/>
      <c r="E2168" s="2"/>
      <c r="F2168" s="2"/>
      <c r="G2168" s="2"/>
      <c r="H2168" s="2"/>
      <c r="I2168" s="2"/>
      <c r="J2168" s="2"/>
      <c r="K2168" s="2"/>
    </row>
    <row r="2169" spans="4:11" x14ac:dyDescent="0.2">
      <c r="D2169" s="2"/>
      <c r="E2169" s="2"/>
      <c r="F2169" s="2"/>
      <c r="G2169" s="2"/>
      <c r="H2169" s="2"/>
      <c r="I2169" s="2"/>
      <c r="J2169" s="2"/>
      <c r="K2169" s="2"/>
    </row>
    <row r="2170" spans="4:11" x14ac:dyDescent="0.2">
      <c r="D2170" s="2"/>
      <c r="E2170" s="2"/>
      <c r="F2170" s="2"/>
      <c r="G2170" s="2"/>
      <c r="H2170" s="2"/>
      <c r="I2170" s="2"/>
      <c r="J2170" s="2"/>
      <c r="K2170" s="2"/>
    </row>
    <row r="2171" spans="4:11" x14ac:dyDescent="0.2">
      <c r="D2171" s="2"/>
      <c r="E2171" s="2"/>
      <c r="F2171" s="2"/>
      <c r="G2171" s="2"/>
      <c r="H2171" s="2"/>
      <c r="I2171" s="2"/>
      <c r="J2171" s="2"/>
      <c r="K2171" s="2"/>
    </row>
    <row r="2172" spans="4:11" x14ac:dyDescent="0.2">
      <c r="D2172" s="2"/>
      <c r="E2172" s="2"/>
      <c r="F2172" s="2"/>
      <c r="G2172" s="2"/>
      <c r="H2172" s="2"/>
      <c r="I2172" s="2"/>
      <c r="J2172" s="2"/>
      <c r="K2172" s="2"/>
    </row>
    <row r="2173" spans="4:11" x14ac:dyDescent="0.2">
      <c r="D2173" s="2"/>
      <c r="E2173" s="2"/>
      <c r="F2173" s="2"/>
      <c r="G2173" s="2"/>
      <c r="H2173" s="2"/>
      <c r="I2173" s="2"/>
      <c r="J2173" s="2"/>
      <c r="K2173" s="2"/>
    </row>
    <row r="2174" spans="4:11" x14ac:dyDescent="0.2">
      <c r="D2174" s="2"/>
      <c r="E2174" s="2"/>
      <c r="F2174" s="2"/>
      <c r="G2174" s="2"/>
      <c r="H2174" s="2"/>
      <c r="I2174" s="2"/>
      <c r="J2174" s="2"/>
      <c r="K2174" s="2"/>
    </row>
    <row r="2175" spans="4:11" x14ac:dyDescent="0.2">
      <c r="D2175" s="2"/>
      <c r="E2175" s="2"/>
      <c r="F2175" s="2"/>
      <c r="G2175" s="2"/>
      <c r="H2175" s="2"/>
      <c r="I2175" s="2"/>
      <c r="J2175" s="2"/>
      <c r="K2175" s="2"/>
    </row>
    <row r="2176" spans="4:11" x14ac:dyDescent="0.2">
      <c r="D2176" s="2"/>
      <c r="E2176" s="2"/>
      <c r="F2176" s="2"/>
      <c r="G2176" s="2"/>
      <c r="H2176" s="2"/>
      <c r="I2176" s="2"/>
      <c r="J2176" s="2"/>
      <c r="K2176" s="2"/>
    </row>
    <row r="2177" spans="4:11" x14ac:dyDescent="0.2">
      <c r="D2177" s="2"/>
      <c r="E2177" s="2"/>
      <c r="F2177" s="2"/>
      <c r="G2177" s="2"/>
      <c r="H2177" s="2"/>
      <c r="I2177" s="2"/>
      <c r="J2177" s="2"/>
      <c r="K2177" s="2"/>
    </row>
    <row r="2178" spans="4:11" x14ac:dyDescent="0.2">
      <c r="D2178" s="2"/>
      <c r="E2178" s="2"/>
      <c r="F2178" s="2"/>
      <c r="G2178" s="2"/>
      <c r="H2178" s="2"/>
      <c r="I2178" s="2"/>
      <c r="J2178" s="2"/>
      <c r="K2178" s="2"/>
    </row>
    <row r="2179" spans="4:11" x14ac:dyDescent="0.2">
      <c r="D2179" s="2"/>
      <c r="E2179" s="2"/>
      <c r="F2179" s="2"/>
      <c r="G2179" s="2"/>
      <c r="H2179" s="2"/>
      <c r="I2179" s="2"/>
      <c r="J2179" s="2"/>
      <c r="K2179" s="2"/>
    </row>
    <row r="2180" spans="4:11" x14ac:dyDescent="0.2">
      <c r="D2180" s="2"/>
      <c r="E2180" s="2"/>
      <c r="F2180" s="2"/>
      <c r="G2180" s="2"/>
      <c r="H2180" s="2"/>
      <c r="I2180" s="2"/>
      <c r="J2180" s="2"/>
      <c r="K2180" s="2"/>
    </row>
    <row r="2181" spans="4:11" x14ac:dyDescent="0.2">
      <c r="D2181" s="2"/>
      <c r="E2181" s="2"/>
      <c r="F2181" s="2"/>
      <c r="G2181" s="2"/>
      <c r="H2181" s="2"/>
      <c r="I2181" s="2"/>
      <c r="J2181" s="2"/>
      <c r="K2181" s="2"/>
    </row>
    <row r="2182" spans="4:11" x14ac:dyDescent="0.2">
      <c r="D2182" s="2"/>
      <c r="E2182" s="2"/>
      <c r="F2182" s="2"/>
      <c r="G2182" s="2"/>
      <c r="H2182" s="2"/>
      <c r="I2182" s="2"/>
      <c r="J2182" s="2"/>
      <c r="K2182" s="2"/>
    </row>
    <row r="2183" spans="4:11" x14ac:dyDescent="0.2">
      <c r="D2183" s="2"/>
      <c r="E2183" s="2"/>
      <c r="F2183" s="2"/>
      <c r="G2183" s="2"/>
      <c r="H2183" s="2"/>
      <c r="I2183" s="2"/>
      <c r="J2183" s="2"/>
      <c r="K2183" s="2"/>
    </row>
    <row r="2184" spans="4:11" x14ac:dyDescent="0.2">
      <c r="D2184" s="2"/>
      <c r="E2184" s="2"/>
      <c r="F2184" s="2"/>
      <c r="G2184" s="2"/>
      <c r="H2184" s="2"/>
      <c r="I2184" s="2"/>
      <c r="J2184" s="2"/>
      <c r="K2184" s="2"/>
    </row>
    <row r="2185" spans="4:11" x14ac:dyDescent="0.2">
      <c r="D2185" s="2"/>
      <c r="E2185" s="2"/>
      <c r="F2185" s="2"/>
      <c r="G2185" s="2"/>
      <c r="H2185" s="2"/>
      <c r="I2185" s="2"/>
      <c r="J2185" s="2"/>
      <c r="K2185" s="2"/>
    </row>
    <row r="2186" spans="4:11" x14ac:dyDescent="0.2">
      <c r="D2186" s="2"/>
      <c r="E2186" s="2"/>
      <c r="F2186" s="2"/>
      <c r="G2186" s="2"/>
      <c r="H2186" s="2"/>
      <c r="I2186" s="2"/>
      <c r="J2186" s="2"/>
      <c r="K2186" s="2"/>
    </row>
    <row r="2187" spans="4:11" x14ac:dyDescent="0.2">
      <c r="D2187" s="2"/>
      <c r="E2187" s="2"/>
      <c r="F2187" s="2"/>
      <c r="G2187" s="2"/>
      <c r="H2187" s="2"/>
      <c r="I2187" s="2"/>
      <c r="J2187" s="2"/>
      <c r="K2187" s="2"/>
    </row>
    <row r="2188" spans="4:11" x14ac:dyDescent="0.2">
      <c r="D2188" s="2"/>
      <c r="E2188" s="2"/>
      <c r="F2188" s="2"/>
      <c r="G2188" s="2"/>
      <c r="H2188" s="2"/>
      <c r="I2188" s="2"/>
      <c r="J2188" s="2"/>
      <c r="K2188" s="2"/>
    </row>
    <row r="2189" spans="4:11" x14ac:dyDescent="0.2">
      <c r="D2189" s="2"/>
      <c r="E2189" s="2"/>
      <c r="F2189" s="2"/>
      <c r="G2189" s="2"/>
      <c r="H2189" s="2"/>
      <c r="I2189" s="2"/>
      <c r="J2189" s="2"/>
      <c r="K2189" s="2"/>
    </row>
    <row r="2190" spans="4:11" x14ac:dyDescent="0.2">
      <c r="D2190" s="2"/>
      <c r="E2190" s="2"/>
      <c r="F2190" s="2"/>
      <c r="G2190" s="2"/>
      <c r="H2190" s="2"/>
      <c r="I2190" s="2"/>
      <c r="J2190" s="2"/>
      <c r="K2190" s="2"/>
    </row>
    <row r="2191" spans="4:11" x14ac:dyDescent="0.2">
      <c r="D2191" s="2"/>
      <c r="E2191" s="2"/>
      <c r="F2191" s="2"/>
      <c r="G2191" s="2"/>
      <c r="H2191" s="2"/>
      <c r="I2191" s="2"/>
      <c r="J2191" s="2"/>
      <c r="K2191" s="2"/>
    </row>
    <row r="2192" spans="4:11" x14ac:dyDescent="0.2">
      <c r="D2192" s="2"/>
      <c r="E2192" s="2"/>
      <c r="F2192" s="2"/>
      <c r="G2192" s="2"/>
      <c r="H2192" s="2"/>
      <c r="I2192" s="2"/>
      <c r="J2192" s="2"/>
      <c r="K2192" s="2"/>
    </row>
    <row r="2193" spans="4:11" x14ac:dyDescent="0.2">
      <c r="D2193" s="2"/>
      <c r="E2193" s="2"/>
      <c r="F2193" s="2"/>
      <c r="G2193" s="2"/>
      <c r="H2193" s="2"/>
      <c r="I2193" s="2"/>
      <c r="J2193" s="2"/>
      <c r="K2193" s="2"/>
    </row>
    <row r="2194" spans="4:11" x14ac:dyDescent="0.2">
      <c r="D2194" s="2"/>
      <c r="E2194" s="2"/>
      <c r="F2194" s="2"/>
      <c r="G2194" s="2"/>
      <c r="H2194" s="2"/>
      <c r="I2194" s="2"/>
      <c r="J2194" s="2"/>
      <c r="K2194" s="2"/>
    </row>
    <row r="2195" spans="4:11" x14ac:dyDescent="0.2">
      <c r="D2195" s="2"/>
      <c r="E2195" s="2"/>
      <c r="F2195" s="2"/>
      <c r="G2195" s="2"/>
      <c r="H2195" s="2"/>
      <c r="I2195" s="2"/>
      <c r="J2195" s="2"/>
      <c r="K2195" s="2"/>
    </row>
    <row r="2196" spans="4:11" x14ac:dyDescent="0.2">
      <c r="D2196" s="2"/>
      <c r="E2196" s="2"/>
      <c r="F2196" s="2"/>
      <c r="G2196" s="2"/>
      <c r="H2196" s="2"/>
      <c r="I2196" s="2"/>
      <c r="J2196" s="2"/>
      <c r="K2196" s="2"/>
    </row>
    <row r="2197" spans="4:11" x14ac:dyDescent="0.2">
      <c r="D2197" s="2"/>
      <c r="E2197" s="2"/>
      <c r="F2197" s="2"/>
      <c r="G2197" s="2"/>
      <c r="H2197" s="2"/>
      <c r="I2197" s="2"/>
      <c r="J2197" s="2"/>
      <c r="K2197" s="2"/>
    </row>
    <row r="2198" spans="4:11" x14ac:dyDescent="0.2">
      <c r="D2198" s="2"/>
      <c r="E2198" s="2"/>
      <c r="F2198" s="2"/>
      <c r="G2198" s="2"/>
      <c r="H2198" s="2"/>
      <c r="I2198" s="2"/>
      <c r="J2198" s="2"/>
      <c r="K2198" s="2"/>
    </row>
    <row r="2199" spans="4:11" x14ac:dyDescent="0.2">
      <c r="D2199" s="2"/>
      <c r="E2199" s="2"/>
      <c r="F2199" s="2"/>
      <c r="G2199" s="2"/>
      <c r="H2199" s="2"/>
      <c r="I2199" s="2"/>
      <c r="J2199" s="2"/>
      <c r="K2199" s="2"/>
    </row>
    <row r="2200" spans="4:11" x14ac:dyDescent="0.2">
      <c r="D2200" s="2"/>
      <c r="E2200" s="2"/>
      <c r="F2200" s="2"/>
      <c r="G2200" s="2"/>
      <c r="H2200" s="2"/>
      <c r="I2200" s="2"/>
      <c r="J2200" s="2"/>
      <c r="K2200" s="2"/>
    </row>
    <row r="2201" spans="4:11" x14ac:dyDescent="0.2">
      <c r="D2201" s="2"/>
      <c r="E2201" s="2"/>
      <c r="F2201" s="2"/>
      <c r="G2201" s="2"/>
      <c r="H2201" s="2"/>
      <c r="I2201" s="2"/>
      <c r="J2201" s="2"/>
      <c r="K2201" s="2"/>
    </row>
    <row r="2202" spans="4:11" x14ac:dyDescent="0.2">
      <c r="D2202" s="2"/>
      <c r="E2202" s="2"/>
      <c r="F2202" s="2"/>
      <c r="G2202" s="2"/>
      <c r="H2202" s="2"/>
      <c r="I2202" s="2"/>
      <c r="J2202" s="2"/>
      <c r="K2202" s="2"/>
    </row>
    <row r="2203" spans="4:11" x14ac:dyDescent="0.2">
      <c r="D2203" s="2"/>
      <c r="E2203" s="2"/>
      <c r="F2203" s="2"/>
      <c r="G2203" s="2"/>
      <c r="H2203" s="2"/>
      <c r="I2203" s="2"/>
      <c r="J2203" s="2"/>
      <c r="K2203" s="2"/>
    </row>
    <row r="2204" spans="4:11" x14ac:dyDescent="0.2">
      <c r="D2204" s="2"/>
      <c r="E2204" s="2"/>
      <c r="F2204" s="2"/>
      <c r="G2204" s="2"/>
      <c r="H2204" s="2"/>
      <c r="I2204" s="2"/>
      <c r="J2204" s="2"/>
      <c r="K2204" s="2"/>
    </row>
    <row r="2205" spans="4:11" x14ac:dyDescent="0.2">
      <c r="D2205" s="2"/>
      <c r="E2205" s="2"/>
      <c r="F2205" s="2"/>
      <c r="G2205" s="2"/>
      <c r="H2205" s="2"/>
      <c r="I2205" s="2"/>
      <c r="J2205" s="2"/>
      <c r="K2205" s="2"/>
    </row>
    <row r="2206" spans="4:11" x14ac:dyDescent="0.2">
      <c r="D2206" s="2"/>
      <c r="E2206" s="2"/>
      <c r="F2206" s="2"/>
      <c r="G2206" s="2"/>
      <c r="H2206" s="2"/>
      <c r="I2206" s="2"/>
      <c r="J2206" s="2"/>
      <c r="K2206" s="2"/>
    </row>
    <row r="2207" spans="4:11" x14ac:dyDescent="0.2">
      <c r="D2207" s="2"/>
      <c r="E2207" s="2"/>
      <c r="F2207" s="2"/>
      <c r="G2207" s="2"/>
      <c r="H2207" s="2"/>
      <c r="I2207" s="2"/>
      <c r="J2207" s="2"/>
      <c r="K2207" s="2"/>
    </row>
    <row r="2208" spans="4:11" x14ac:dyDescent="0.2">
      <c r="D2208" s="2"/>
      <c r="E2208" s="2"/>
      <c r="F2208" s="2"/>
      <c r="G2208" s="2"/>
      <c r="H2208" s="2"/>
      <c r="I2208" s="2"/>
      <c r="J2208" s="2"/>
      <c r="K2208" s="2"/>
    </row>
    <row r="2209" spans="4:11" x14ac:dyDescent="0.2">
      <c r="D2209" s="2"/>
      <c r="E2209" s="2"/>
      <c r="F2209" s="2"/>
      <c r="G2209" s="2"/>
      <c r="H2209" s="2"/>
      <c r="I2209" s="2"/>
      <c r="J2209" s="2"/>
      <c r="K2209" s="2"/>
    </row>
    <row r="2210" spans="4:11" x14ac:dyDescent="0.2">
      <c r="D2210" s="2"/>
      <c r="E2210" s="2"/>
      <c r="F2210" s="2"/>
      <c r="G2210" s="2"/>
      <c r="H2210" s="2"/>
      <c r="I2210" s="2"/>
      <c r="J2210" s="2"/>
      <c r="K2210" s="2"/>
    </row>
    <row r="2211" spans="4:11" x14ac:dyDescent="0.2">
      <c r="D2211" s="2"/>
      <c r="E2211" s="2"/>
      <c r="F2211" s="2"/>
      <c r="G2211" s="2"/>
      <c r="H2211" s="2"/>
      <c r="I2211" s="2"/>
      <c r="J2211" s="2"/>
      <c r="K2211" s="2"/>
    </row>
    <row r="2212" spans="4:11" x14ac:dyDescent="0.2">
      <c r="D2212" s="2"/>
      <c r="E2212" s="2"/>
      <c r="F2212" s="2"/>
      <c r="G2212" s="2"/>
      <c r="H2212" s="2"/>
      <c r="I2212" s="2"/>
      <c r="J2212" s="2"/>
      <c r="K2212" s="2"/>
    </row>
    <row r="2213" spans="4:11" x14ac:dyDescent="0.2">
      <c r="D2213" s="2"/>
      <c r="E2213" s="2"/>
      <c r="F2213" s="2"/>
      <c r="G2213" s="2"/>
      <c r="H2213" s="2"/>
      <c r="I2213" s="2"/>
      <c r="J2213" s="2"/>
      <c r="K2213" s="2"/>
    </row>
    <row r="2214" spans="4:11" x14ac:dyDescent="0.2">
      <c r="D2214" s="2"/>
      <c r="E2214" s="2"/>
      <c r="F2214" s="2"/>
      <c r="G2214" s="2"/>
      <c r="H2214" s="2"/>
      <c r="I2214" s="2"/>
      <c r="J2214" s="2"/>
      <c r="K2214" s="2"/>
    </row>
    <row r="2215" spans="4:11" x14ac:dyDescent="0.2">
      <c r="D2215" s="2"/>
      <c r="E2215" s="2"/>
      <c r="F2215" s="2"/>
      <c r="G2215" s="2"/>
      <c r="H2215" s="2"/>
      <c r="I2215" s="2"/>
      <c r="J2215" s="2"/>
      <c r="K2215" s="2"/>
    </row>
    <row r="2216" spans="4:11" x14ac:dyDescent="0.2">
      <c r="D2216" s="2"/>
      <c r="E2216" s="2"/>
      <c r="F2216" s="2"/>
      <c r="G2216" s="2"/>
      <c r="H2216" s="2"/>
      <c r="I2216" s="2"/>
      <c r="J2216" s="2"/>
      <c r="K2216" s="2"/>
    </row>
    <row r="2217" spans="4:11" x14ac:dyDescent="0.2">
      <c r="D2217" s="2"/>
      <c r="E2217" s="2"/>
      <c r="F2217" s="2"/>
      <c r="G2217" s="2"/>
      <c r="H2217" s="2"/>
      <c r="I2217" s="2"/>
      <c r="J2217" s="2"/>
      <c r="K2217" s="2"/>
    </row>
    <row r="2218" spans="4:11" x14ac:dyDescent="0.2">
      <c r="D2218" s="2"/>
      <c r="E2218" s="2"/>
      <c r="F2218" s="2"/>
      <c r="G2218" s="2"/>
      <c r="H2218" s="2"/>
      <c r="I2218" s="2"/>
      <c r="J2218" s="2"/>
      <c r="K2218" s="2"/>
    </row>
    <row r="2219" spans="4:11" x14ac:dyDescent="0.2">
      <c r="D2219" s="2"/>
      <c r="E2219" s="2"/>
      <c r="F2219" s="2"/>
      <c r="G2219" s="2"/>
      <c r="H2219" s="2"/>
      <c r="I2219" s="2"/>
      <c r="J2219" s="2"/>
      <c r="K2219" s="2"/>
    </row>
    <row r="2220" spans="4:11" x14ac:dyDescent="0.2">
      <c r="D2220" s="2"/>
      <c r="E2220" s="2"/>
      <c r="F2220" s="2"/>
      <c r="G2220" s="2"/>
      <c r="H2220" s="2"/>
      <c r="I2220" s="2"/>
      <c r="J2220" s="2"/>
      <c r="K2220" s="2"/>
    </row>
    <row r="2221" spans="4:11" x14ac:dyDescent="0.2">
      <c r="D2221" s="2"/>
      <c r="E2221" s="2"/>
      <c r="F2221" s="2"/>
      <c r="G2221" s="2"/>
      <c r="H2221" s="2"/>
      <c r="I2221" s="2"/>
      <c r="J2221" s="2"/>
      <c r="K2221" s="2"/>
    </row>
    <row r="2222" spans="4:11" x14ac:dyDescent="0.2">
      <c r="D2222" s="2"/>
      <c r="E2222" s="2"/>
      <c r="F2222" s="2"/>
      <c r="G2222" s="2"/>
      <c r="H2222" s="2"/>
      <c r="I2222" s="2"/>
      <c r="J2222" s="2"/>
      <c r="K2222" s="2"/>
    </row>
    <row r="2223" spans="4:11" x14ac:dyDescent="0.2">
      <c r="D2223" s="2"/>
      <c r="E2223" s="2"/>
      <c r="F2223" s="2"/>
      <c r="G2223" s="2"/>
      <c r="H2223" s="2"/>
      <c r="I2223" s="2"/>
      <c r="J2223" s="2"/>
      <c r="K2223" s="2"/>
    </row>
    <row r="2224" spans="4:11" x14ac:dyDescent="0.2">
      <c r="D2224" s="2"/>
      <c r="E2224" s="2"/>
      <c r="F2224" s="2"/>
      <c r="G2224" s="2"/>
      <c r="H2224" s="2"/>
      <c r="I2224" s="2"/>
      <c r="J2224" s="2"/>
      <c r="K2224" s="2"/>
    </row>
    <row r="2225" spans="4:11" x14ac:dyDescent="0.2">
      <c r="D2225" s="2"/>
      <c r="E2225" s="2"/>
      <c r="F2225" s="2"/>
      <c r="G2225" s="2"/>
      <c r="H2225" s="2"/>
      <c r="I2225" s="2"/>
      <c r="J2225" s="2"/>
      <c r="K2225" s="2"/>
    </row>
    <row r="2226" spans="4:11" x14ac:dyDescent="0.2">
      <c r="D2226" s="2"/>
      <c r="E2226" s="2"/>
      <c r="F2226" s="2"/>
      <c r="G2226" s="2"/>
      <c r="H2226" s="2"/>
      <c r="I2226" s="2"/>
      <c r="J2226" s="2"/>
      <c r="K2226" s="2"/>
    </row>
    <row r="2227" spans="4:11" x14ac:dyDescent="0.2">
      <c r="D2227" s="2"/>
      <c r="E2227" s="2"/>
      <c r="F2227" s="2"/>
      <c r="G2227" s="2"/>
      <c r="H2227" s="2"/>
      <c r="I2227" s="2"/>
      <c r="J2227" s="2"/>
      <c r="K2227" s="2"/>
    </row>
    <row r="2228" spans="4:11" x14ac:dyDescent="0.2">
      <c r="D2228" s="2"/>
      <c r="E2228" s="2"/>
      <c r="F2228" s="2"/>
      <c r="G2228" s="2"/>
      <c r="H2228" s="2"/>
      <c r="I2228" s="2"/>
      <c r="J2228" s="2"/>
      <c r="K2228" s="2"/>
    </row>
    <row r="2229" spans="4:11" x14ac:dyDescent="0.2">
      <c r="D2229" s="2"/>
      <c r="E2229" s="2"/>
      <c r="F2229" s="2"/>
      <c r="G2229" s="2"/>
      <c r="H2229" s="2"/>
      <c r="I2229" s="2"/>
      <c r="J2229" s="2"/>
      <c r="K2229" s="2"/>
    </row>
    <row r="2230" spans="4:11" x14ac:dyDescent="0.2">
      <c r="D2230" s="2"/>
      <c r="E2230" s="2"/>
      <c r="F2230" s="2"/>
      <c r="G2230" s="2"/>
      <c r="H2230" s="2"/>
      <c r="I2230" s="2"/>
      <c r="J2230" s="2"/>
      <c r="K2230" s="2"/>
    </row>
    <row r="2231" spans="4:11" x14ac:dyDescent="0.2">
      <c r="D2231" s="2"/>
      <c r="E2231" s="2"/>
      <c r="F2231" s="2"/>
      <c r="G2231" s="2"/>
      <c r="H2231" s="2"/>
      <c r="I2231" s="2"/>
      <c r="J2231" s="2"/>
      <c r="K2231" s="2"/>
    </row>
    <row r="2232" spans="4:11" x14ac:dyDescent="0.2">
      <c r="D2232" s="2"/>
      <c r="E2232" s="2"/>
      <c r="F2232" s="2"/>
      <c r="G2232" s="2"/>
      <c r="H2232" s="2"/>
      <c r="I2232" s="2"/>
      <c r="J2232" s="2"/>
      <c r="K2232" s="2"/>
    </row>
    <row r="2233" spans="4:11" x14ac:dyDescent="0.2">
      <c r="D2233" s="2"/>
      <c r="E2233" s="2"/>
      <c r="F2233" s="2"/>
      <c r="G2233" s="2"/>
      <c r="H2233" s="2"/>
      <c r="I2233" s="2"/>
      <c r="J2233" s="2"/>
      <c r="K2233" s="2"/>
    </row>
    <row r="2234" spans="4:11" x14ac:dyDescent="0.2">
      <c r="D2234" s="2"/>
      <c r="E2234" s="2"/>
      <c r="F2234" s="2"/>
      <c r="G2234" s="2"/>
      <c r="H2234" s="2"/>
      <c r="I2234" s="2"/>
      <c r="J2234" s="2"/>
      <c r="K2234" s="2"/>
    </row>
    <row r="2235" spans="4:11" x14ac:dyDescent="0.2">
      <c r="D2235" s="2"/>
      <c r="E2235" s="2"/>
      <c r="F2235" s="2"/>
      <c r="G2235" s="2"/>
      <c r="H2235" s="2"/>
      <c r="I2235" s="2"/>
      <c r="J2235" s="2"/>
      <c r="K2235" s="2"/>
    </row>
    <row r="2236" spans="4:11" x14ac:dyDescent="0.2">
      <c r="D2236" s="2"/>
      <c r="E2236" s="2"/>
      <c r="F2236" s="2"/>
      <c r="G2236" s="2"/>
      <c r="H2236" s="2"/>
      <c r="I2236" s="2"/>
      <c r="J2236" s="2"/>
      <c r="K2236" s="2"/>
    </row>
    <row r="2237" spans="4:11" x14ac:dyDescent="0.2">
      <c r="D2237" s="2"/>
      <c r="E2237" s="2"/>
      <c r="F2237" s="2"/>
      <c r="G2237" s="2"/>
      <c r="H2237" s="2"/>
      <c r="I2237" s="2"/>
      <c r="J2237" s="2"/>
      <c r="K2237" s="2"/>
    </row>
    <row r="2238" spans="4:11" x14ac:dyDescent="0.2">
      <c r="D2238" s="2"/>
      <c r="E2238" s="2"/>
      <c r="F2238" s="2"/>
      <c r="G2238" s="2"/>
      <c r="H2238" s="2"/>
      <c r="I2238" s="2"/>
      <c r="J2238" s="2"/>
      <c r="K2238" s="2"/>
    </row>
    <row r="2239" spans="4:11" x14ac:dyDescent="0.2">
      <c r="D2239" s="2"/>
      <c r="E2239" s="2"/>
      <c r="F2239" s="2"/>
      <c r="G2239" s="2"/>
      <c r="H2239" s="2"/>
      <c r="I2239" s="2"/>
      <c r="J2239" s="2"/>
      <c r="K2239" s="2"/>
    </row>
    <row r="2240" spans="4:11" x14ac:dyDescent="0.2">
      <c r="D2240" s="2"/>
      <c r="E2240" s="2"/>
      <c r="F2240" s="2"/>
      <c r="G2240" s="2"/>
      <c r="H2240" s="2"/>
      <c r="I2240" s="2"/>
      <c r="J2240" s="2"/>
      <c r="K2240" s="2"/>
    </row>
    <row r="2241" spans="4:11" x14ac:dyDescent="0.2">
      <c r="D2241" s="2"/>
      <c r="E2241" s="2"/>
      <c r="F2241" s="2"/>
      <c r="G2241" s="2"/>
      <c r="H2241" s="2"/>
      <c r="I2241" s="2"/>
      <c r="J2241" s="2"/>
      <c r="K2241" s="2"/>
    </row>
    <row r="2242" spans="4:11" x14ac:dyDescent="0.2">
      <c r="D2242" s="2"/>
      <c r="E2242" s="2"/>
      <c r="F2242" s="2"/>
      <c r="G2242" s="2"/>
      <c r="H2242" s="2"/>
      <c r="I2242" s="2"/>
      <c r="J2242" s="2"/>
      <c r="K2242" s="2"/>
    </row>
    <row r="2243" spans="4:11" x14ac:dyDescent="0.2">
      <c r="D2243" s="2"/>
      <c r="E2243" s="2"/>
      <c r="F2243" s="2"/>
      <c r="G2243" s="2"/>
      <c r="H2243" s="2"/>
      <c r="I2243" s="2"/>
      <c r="J2243" s="2"/>
      <c r="K2243" s="2"/>
    </row>
    <row r="2244" spans="4:11" x14ac:dyDescent="0.2">
      <c r="D2244" s="2"/>
      <c r="E2244" s="2"/>
      <c r="F2244" s="2"/>
      <c r="G2244" s="2"/>
      <c r="H2244" s="2"/>
      <c r="I2244" s="2"/>
      <c r="J2244" s="2"/>
      <c r="K2244" s="2"/>
    </row>
    <row r="2245" spans="4:11" x14ac:dyDescent="0.2">
      <c r="D2245" s="2"/>
      <c r="E2245" s="2"/>
      <c r="F2245" s="2"/>
      <c r="G2245" s="2"/>
      <c r="H2245" s="2"/>
      <c r="I2245" s="2"/>
      <c r="J2245" s="2"/>
      <c r="K2245" s="2"/>
    </row>
    <row r="2246" spans="4:11" x14ac:dyDescent="0.2">
      <c r="D2246" s="2"/>
      <c r="E2246" s="2"/>
      <c r="F2246" s="2"/>
      <c r="G2246" s="2"/>
      <c r="H2246" s="2"/>
      <c r="I2246" s="2"/>
      <c r="J2246" s="2"/>
      <c r="K2246" s="2"/>
    </row>
    <row r="2247" spans="4:11" x14ac:dyDescent="0.2">
      <c r="D2247" s="2"/>
      <c r="E2247" s="2"/>
      <c r="F2247" s="2"/>
      <c r="G2247" s="2"/>
      <c r="H2247" s="2"/>
      <c r="I2247" s="2"/>
      <c r="J2247" s="2"/>
      <c r="K2247" s="2"/>
    </row>
    <row r="2248" spans="4:11" x14ac:dyDescent="0.2">
      <c r="D2248" s="2"/>
      <c r="E2248" s="2"/>
      <c r="F2248" s="2"/>
      <c r="G2248" s="2"/>
      <c r="H2248" s="2"/>
      <c r="I2248" s="2"/>
      <c r="J2248" s="2"/>
      <c r="K2248" s="2"/>
    </row>
    <row r="2249" spans="4:11" x14ac:dyDescent="0.2">
      <c r="D2249" s="2"/>
      <c r="E2249" s="2"/>
      <c r="F2249" s="2"/>
      <c r="G2249" s="2"/>
      <c r="H2249" s="2"/>
      <c r="I2249" s="2"/>
      <c r="J2249" s="2"/>
      <c r="K2249" s="2"/>
    </row>
    <row r="2250" spans="4:11" x14ac:dyDescent="0.2">
      <c r="D2250" s="2"/>
      <c r="E2250" s="2"/>
      <c r="F2250" s="2"/>
      <c r="G2250" s="2"/>
      <c r="H2250" s="2"/>
      <c r="I2250" s="2"/>
      <c r="J2250" s="2"/>
      <c r="K2250" s="2"/>
    </row>
    <row r="2251" spans="4:11" x14ac:dyDescent="0.2">
      <c r="D2251" s="2"/>
      <c r="E2251" s="2"/>
      <c r="F2251" s="2"/>
      <c r="G2251" s="2"/>
      <c r="H2251" s="2"/>
      <c r="I2251" s="2"/>
      <c r="J2251" s="2"/>
      <c r="K2251" s="2"/>
    </row>
    <row r="2252" spans="4:11" x14ac:dyDescent="0.2">
      <c r="D2252" s="2"/>
      <c r="E2252" s="2"/>
      <c r="F2252" s="2"/>
      <c r="G2252" s="2"/>
      <c r="H2252" s="2"/>
      <c r="I2252" s="2"/>
      <c r="J2252" s="2"/>
      <c r="K2252" s="2"/>
    </row>
    <row r="2253" spans="4:11" x14ac:dyDescent="0.2">
      <c r="D2253" s="2"/>
      <c r="E2253" s="2"/>
      <c r="F2253" s="2"/>
      <c r="G2253" s="2"/>
      <c r="H2253" s="2"/>
      <c r="I2253" s="2"/>
      <c r="J2253" s="2"/>
      <c r="K2253" s="2"/>
    </row>
    <row r="2254" spans="4:11" x14ac:dyDescent="0.2">
      <c r="D2254" s="2"/>
      <c r="E2254" s="2"/>
      <c r="F2254" s="2"/>
      <c r="G2254" s="2"/>
      <c r="H2254" s="2"/>
      <c r="I2254" s="2"/>
      <c r="J2254" s="2"/>
      <c r="K2254" s="2"/>
    </row>
    <row r="2255" spans="4:11" x14ac:dyDescent="0.2">
      <c r="D2255" s="2"/>
      <c r="E2255" s="2"/>
      <c r="F2255" s="2"/>
      <c r="G2255" s="2"/>
      <c r="H2255" s="2"/>
      <c r="I2255" s="2"/>
      <c r="J2255" s="2"/>
      <c r="K2255" s="2"/>
    </row>
    <row r="2256" spans="4:11" x14ac:dyDescent="0.2">
      <c r="D2256" s="2"/>
      <c r="E2256" s="2"/>
      <c r="F2256" s="2"/>
      <c r="G2256" s="2"/>
      <c r="H2256" s="2"/>
      <c r="I2256" s="2"/>
      <c r="J2256" s="2"/>
      <c r="K2256" s="2"/>
    </row>
    <row r="2257" spans="4:11" x14ac:dyDescent="0.2">
      <c r="D2257" s="2"/>
      <c r="E2257" s="2"/>
      <c r="F2257" s="2"/>
      <c r="G2257" s="2"/>
      <c r="H2257" s="2"/>
      <c r="I2257" s="2"/>
      <c r="J2257" s="2"/>
      <c r="K2257" s="2"/>
    </row>
    <row r="2258" spans="4:11" x14ac:dyDescent="0.2">
      <c r="D2258" s="2"/>
      <c r="E2258" s="2"/>
      <c r="F2258" s="2"/>
      <c r="G2258" s="2"/>
      <c r="H2258" s="2"/>
      <c r="I2258" s="2"/>
      <c r="J2258" s="2"/>
      <c r="K2258" s="2"/>
    </row>
    <row r="2259" spans="4:11" x14ac:dyDescent="0.2">
      <c r="D2259" s="2"/>
      <c r="E2259" s="2"/>
      <c r="F2259" s="2"/>
      <c r="G2259" s="2"/>
      <c r="H2259" s="2"/>
      <c r="I2259" s="2"/>
      <c r="J2259" s="2"/>
      <c r="K2259" s="2"/>
    </row>
    <row r="2260" spans="4:11" x14ac:dyDescent="0.2">
      <c r="D2260" s="2"/>
      <c r="E2260" s="2"/>
      <c r="F2260" s="2"/>
      <c r="G2260" s="2"/>
      <c r="H2260" s="2"/>
      <c r="I2260" s="2"/>
      <c r="J2260" s="2"/>
      <c r="K2260" s="2"/>
    </row>
    <row r="2261" spans="4:11" x14ac:dyDescent="0.2">
      <c r="D2261" s="2"/>
      <c r="E2261" s="2"/>
      <c r="F2261" s="2"/>
      <c r="G2261" s="2"/>
      <c r="H2261" s="2"/>
      <c r="I2261" s="2"/>
      <c r="J2261" s="2"/>
      <c r="K2261" s="2"/>
    </row>
    <row r="2262" spans="4:11" x14ac:dyDescent="0.2">
      <c r="D2262" s="2"/>
      <c r="E2262" s="2"/>
      <c r="F2262" s="2"/>
      <c r="G2262" s="2"/>
      <c r="H2262" s="2"/>
      <c r="I2262" s="2"/>
      <c r="J2262" s="2"/>
      <c r="K2262" s="2"/>
    </row>
    <row r="2263" spans="4:11" x14ac:dyDescent="0.2">
      <c r="D2263" s="2"/>
      <c r="E2263" s="2"/>
      <c r="F2263" s="2"/>
      <c r="G2263" s="2"/>
      <c r="H2263" s="2"/>
      <c r="I2263" s="2"/>
      <c r="J2263" s="2"/>
      <c r="K2263" s="2"/>
    </row>
    <row r="2264" spans="4:11" x14ac:dyDescent="0.2">
      <c r="D2264" s="2"/>
      <c r="E2264" s="2"/>
      <c r="F2264" s="2"/>
      <c r="G2264" s="2"/>
      <c r="H2264" s="2"/>
      <c r="I2264" s="2"/>
      <c r="J2264" s="2"/>
      <c r="K2264" s="2"/>
    </row>
    <row r="2265" spans="4:11" x14ac:dyDescent="0.2">
      <c r="D2265" s="2"/>
      <c r="E2265" s="2"/>
      <c r="F2265" s="2"/>
      <c r="G2265" s="2"/>
      <c r="H2265" s="2"/>
      <c r="I2265" s="2"/>
      <c r="J2265" s="2"/>
      <c r="K2265" s="2"/>
    </row>
    <row r="2266" spans="4:11" x14ac:dyDescent="0.2">
      <c r="D2266" s="2"/>
      <c r="E2266" s="2"/>
      <c r="F2266" s="2"/>
      <c r="G2266" s="2"/>
      <c r="H2266" s="2"/>
      <c r="I2266" s="2"/>
      <c r="J2266" s="2"/>
      <c r="K2266" s="2"/>
    </row>
    <row r="2267" spans="4:11" x14ac:dyDescent="0.2">
      <c r="D2267" s="2"/>
      <c r="E2267" s="2"/>
      <c r="F2267" s="2"/>
      <c r="G2267" s="2"/>
      <c r="H2267" s="2"/>
      <c r="I2267" s="2"/>
      <c r="J2267" s="2"/>
      <c r="K2267" s="2"/>
    </row>
    <row r="2268" spans="4:11" x14ac:dyDescent="0.2">
      <c r="D2268" s="2"/>
      <c r="E2268" s="2"/>
      <c r="F2268" s="2"/>
      <c r="G2268" s="2"/>
      <c r="H2268" s="2"/>
      <c r="I2268" s="2"/>
      <c r="J2268" s="2"/>
      <c r="K2268" s="2"/>
    </row>
    <row r="2269" spans="4:11" x14ac:dyDescent="0.2">
      <c r="D2269" s="2"/>
      <c r="E2269" s="2"/>
      <c r="F2269" s="2"/>
      <c r="G2269" s="2"/>
      <c r="H2269" s="2"/>
      <c r="I2269" s="2"/>
      <c r="J2269" s="2"/>
      <c r="K2269" s="2"/>
    </row>
    <row r="2270" spans="4:11" x14ac:dyDescent="0.2">
      <c r="D2270" s="2"/>
      <c r="E2270" s="2"/>
      <c r="F2270" s="2"/>
      <c r="G2270" s="2"/>
      <c r="H2270" s="2"/>
      <c r="I2270" s="2"/>
      <c r="J2270" s="2"/>
      <c r="K2270" s="2"/>
    </row>
    <row r="2271" spans="4:11" x14ac:dyDescent="0.2">
      <c r="D2271" s="2"/>
      <c r="E2271" s="2"/>
      <c r="F2271" s="2"/>
      <c r="G2271" s="2"/>
      <c r="H2271" s="2"/>
      <c r="I2271" s="2"/>
      <c r="J2271" s="2"/>
      <c r="K2271" s="2"/>
    </row>
    <row r="2272" spans="4:11" x14ac:dyDescent="0.2">
      <c r="D2272" s="2"/>
      <c r="E2272" s="2"/>
      <c r="F2272" s="2"/>
      <c r="G2272" s="2"/>
      <c r="H2272" s="2"/>
      <c r="I2272" s="2"/>
      <c r="J2272" s="2"/>
      <c r="K2272" s="2"/>
    </row>
    <row r="2273" spans="4:11" x14ac:dyDescent="0.2">
      <c r="D2273" s="2"/>
      <c r="E2273" s="2"/>
      <c r="F2273" s="2"/>
      <c r="G2273" s="2"/>
      <c r="H2273" s="2"/>
      <c r="I2273" s="2"/>
      <c r="J2273" s="2"/>
      <c r="K2273" s="2"/>
    </row>
    <row r="2274" spans="4:11" x14ac:dyDescent="0.2">
      <c r="D2274" s="2"/>
      <c r="E2274" s="2"/>
      <c r="F2274" s="2"/>
      <c r="G2274" s="2"/>
      <c r="H2274" s="2"/>
      <c r="I2274" s="2"/>
      <c r="J2274" s="2"/>
      <c r="K2274" s="2"/>
    </row>
    <row r="2275" spans="4:11" x14ac:dyDescent="0.2">
      <c r="D2275" s="2"/>
      <c r="E2275" s="2"/>
      <c r="F2275" s="2"/>
      <c r="G2275" s="2"/>
      <c r="H2275" s="2"/>
      <c r="I2275" s="2"/>
      <c r="J2275" s="2"/>
      <c r="K2275" s="2"/>
    </row>
    <row r="2276" spans="4:11" x14ac:dyDescent="0.2">
      <c r="D2276" s="2"/>
      <c r="E2276" s="2"/>
      <c r="F2276" s="2"/>
      <c r="G2276" s="2"/>
      <c r="H2276" s="2"/>
      <c r="I2276" s="2"/>
      <c r="J2276" s="2"/>
      <c r="K2276" s="2"/>
    </row>
    <row r="2277" spans="4:11" x14ac:dyDescent="0.2">
      <c r="D2277" s="2"/>
      <c r="E2277" s="2"/>
      <c r="F2277" s="2"/>
      <c r="G2277" s="2"/>
      <c r="H2277" s="2"/>
      <c r="I2277" s="2"/>
      <c r="J2277" s="2"/>
      <c r="K2277" s="2"/>
    </row>
    <row r="2278" spans="4:11" x14ac:dyDescent="0.2">
      <c r="D2278" s="2"/>
      <c r="E2278" s="2"/>
      <c r="F2278" s="2"/>
      <c r="G2278" s="2"/>
      <c r="H2278" s="2"/>
      <c r="I2278" s="2"/>
      <c r="J2278" s="2"/>
      <c r="K2278" s="2"/>
    </row>
    <row r="2279" spans="4:11" x14ac:dyDescent="0.2">
      <c r="D2279" s="2"/>
      <c r="E2279" s="2"/>
      <c r="F2279" s="2"/>
      <c r="G2279" s="2"/>
      <c r="H2279" s="2"/>
      <c r="I2279" s="2"/>
      <c r="J2279" s="2"/>
      <c r="K2279" s="2"/>
    </row>
    <row r="2280" spans="4:11" x14ac:dyDescent="0.2">
      <c r="D2280" s="2"/>
      <c r="E2280" s="2"/>
      <c r="F2280" s="2"/>
      <c r="G2280" s="2"/>
      <c r="H2280" s="2"/>
      <c r="I2280" s="2"/>
      <c r="J2280" s="2"/>
      <c r="K2280" s="2"/>
    </row>
    <row r="2281" spans="4:11" x14ac:dyDescent="0.2">
      <c r="D2281" s="2"/>
      <c r="E2281" s="2"/>
      <c r="F2281" s="2"/>
      <c r="G2281" s="2"/>
      <c r="H2281" s="2"/>
      <c r="I2281" s="2"/>
      <c r="J2281" s="2"/>
      <c r="K2281" s="2"/>
    </row>
    <row r="2282" spans="4:11" x14ac:dyDescent="0.2">
      <c r="D2282" s="2"/>
      <c r="E2282" s="2"/>
      <c r="F2282" s="2"/>
      <c r="G2282" s="2"/>
      <c r="H2282" s="2"/>
      <c r="I2282" s="2"/>
      <c r="J2282" s="2"/>
      <c r="K2282" s="2"/>
    </row>
    <row r="2283" spans="4:11" x14ac:dyDescent="0.2">
      <c r="D2283" s="2"/>
      <c r="E2283" s="2"/>
      <c r="F2283" s="2"/>
      <c r="G2283" s="2"/>
      <c r="H2283" s="2"/>
      <c r="I2283" s="2"/>
      <c r="J2283" s="2"/>
      <c r="K2283" s="2"/>
    </row>
    <row r="2284" spans="4:11" x14ac:dyDescent="0.2">
      <c r="D2284" s="2"/>
      <c r="E2284" s="2"/>
      <c r="F2284" s="2"/>
      <c r="G2284" s="2"/>
      <c r="H2284" s="2"/>
      <c r="I2284" s="2"/>
      <c r="J2284" s="2"/>
      <c r="K2284" s="2"/>
    </row>
    <row r="2285" spans="4:11" x14ac:dyDescent="0.2">
      <c r="D2285" s="2"/>
      <c r="E2285" s="2"/>
      <c r="F2285" s="2"/>
      <c r="G2285" s="2"/>
      <c r="H2285" s="2"/>
      <c r="I2285" s="2"/>
      <c r="J2285" s="2"/>
      <c r="K2285" s="2"/>
    </row>
    <row r="2286" spans="4:11" x14ac:dyDescent="0.2">
      <c r="D2286" s="2"/>
      <c r="E2286" s="2"/>
      <c r="F2286" s="2"/>
      <c r="G2286" s="2"/>
      <c r="H2286" s="2"/>
      <c r="I2286" s="2"/>
      <c r="J2286" s="2"/>
      <c r="K2286" s="2"/>
    </row>
    <row r="2287" spans="4:11" x14ac:dyDescent="0.2">
      <c r="D2287" s="2"/>
      <c r="E2287" s="2"/>
      <c r="F2287" s="2"/>
      <c r="G2287" s="2"/>
      <c r="H2287" s="2"/>
      <c r="I2287" s="2"/>
      <c r="J2287" s="2"/>
      <c r="K2287" s="2"/>
    </row>
    <row r="2288" spans="4:11" x14ac:dyDescent="0.2">
      <c r="D2288" s="2"/>
      <c r="E2288" s="2"/>
      <c r="F2288" s="2"/>
      <c r="G2288" s="2"/>
      <c r="H2288" s="2"/>
      <c r="I2288" s="2"/>
      <c r="J2288" s="2"/>
      <c r="K2288" s="2"/>
    </row>
    <row r="2289" spans="4:11" x14ac:dyDescent="0.2">
      <c r="D2289" s="2"/>
      <c r="E2289" s="2"/>
      <c r="F2289" s="2"/>
      <c r="G2289" s="2"/>
      <c r="H2289" s="2"/>
      <c r="I2289" s="2"/>
      <c r="J2289" s="2"/>
      <c r="K2289" s="2"/>
    </row>
    <row r="2290" spans="4:11" x14ac:dyDescent="0.2">
      <c r="D2290" s="2"/>
      <c r="E2290" s="2"/>
      <c r="F2290" s="2"/>
      <c r="G2290" s="2"/>
      <c r="H2290" s="2"/>
      <c r="I2290" s="2"/>
      <c r="J2290" s="2"/>
      <c r="K2290" s="2"/>
    </row>
    <row r="2291" spans="4:11" x14ac:dyDescent="0.2">
      <c r="D2291" s="2"/>
      <c r="E2291" s="2"/>
      <c r="F2291" s="2"/>
      <c r="G2291" s="2"/>
      <c r="H2291" s="2"/>
      <c r="I2291" s="2"/>
      <c r="J2291" s="2"/>
      <c r="K2291" s="2"/>
    </row>
    <row r="2292" spans="4:11" x14ac:dyDescent="0.2">
      <c r="D2292" s="2"/>
      <c r="E2292" s="2"/>
      <c r="F2292" s="2"/>
      <c r="G2292" s="2"/>
      <c r="H2292" s="2"/>
      <c r="I2292" s="2"/>
      <c r="J2292" s="2"/>
      <c r="K2292" s="2"/>
    </row>
    <row r="2293" spans="4:11" x14ac:dyDescent="0.2">
      <c r="D2293" s="2"/>
      <c r="E2293" s="2"/>
      <c r="F2293" s="2"/>
      <c r="G2293" s="2"/>
      <c r="H2293" s="2"/>
      <c r="I2293" s="2"/>
      <c r="J2293" s="2"/>
      <c r="K2293" s="2"/>
    </row>
    <row r="2294" spans="4:11" x14ac:dyDescent="0.2">
      <c r="D2294" s="2"/>
      <c r="E2294" s="2"/>
      <c r="F2294" s="2"/>
      <c r="G2294" s="2"/>
      <c r="H2294" s="2"/>
      <c r="I2294" s="2"/>
      <c r="J2294" s="2"/>
      <c r="K2294" s="2"/>
    </row>
    <row r="2295" spans="4:11" x14ac:dyDescent="0.2">
      <c r="D2295" s="2"/>
      <c r="E2295" s="2"/>
      <c r="F2295" s="2"/>
      <c r="G2295" s="2"/>
      <c r="H2295" s="2"/>
      <c r="I2295" s="2"/>
      <c r="J2295" s="2"/>
      <c r="K2295" s="2"/>
    </row>
    <row r="2296" spans="4:11" x14ac:dyDescent="0.2">
      <c r="D2296" s="2"/>
      <c r="E2296" s="2"/>
      <c r="F2296" s="2"/>
      <c r="G2296" s="2"/>
      <c r="H2296" s="2"/>
      <c r="I2296" s="2"/>
      <c r="J2296" s="2"/>
      <c r="K2296" s="2"/>
    </row>
    <row r="2297" spans="4:11" x14ac:dyDescent="0.2">
      <c r="D2297" s="2"/>
      <c r="E2297" s="2"/>
      <c r="F2297" s="2"/>
      <c r="G2297" s="2"/>
      <c r="H2297" s="2"/>
      <c r="I2297" s="2"/>
      <c r="J2297" s="2"/>
      <c r="K2297" s="2"/>
    </row>
    <row r="2298" spans="4:11" x14ac:dyDescent="0.2">
      <c r="D2298" s="2"/>
      <c r="E2298" s="2"/>
      <c r="F2298" s="2"/>
      <c r="G2298" s="2"/>
      <c r="H2298" s="2"/>
      <c r="I2298" s="2"/>
      <c r="J2298" s="2"/>
      <c r="K2298" s="2"/>
    </row>
    <row r="2299" spans="4:11" x14ac:dyDescent="0.2">
      <c r="D2299" s="2"/>
      <c r="E2299" s="2"/>
      <c r="F2299" s="2"/>
      <c r="G2299" s="2"/>
      <c r="H2299" s="2"/>
      <c r="I2299" s="2"/>
      <c r="J2299" s="2"/>
      <c r="K2299" s="2"/>
    </row>
    <row r="2300" spans="4:11" x14ac:dyDescent="0.2">
      <c r="D2300" s="2"/>
      <c r="E2300" s="2"/>
      <c r="F2300" s="2"/>
      <c r="G2300" s="2"/>
      <c r="H2300" s="2"/>
      <c r="I2300" s="2"/>
      <c r="J2300" s="2"/>
      <c r="K2300" s="2"/>
    </row>
    <row r="2301" spans="4:11" x14ac:dyDescent="0.2">
      <c r="D2301" s="2"/>
      <c r="E2301" s="2"/>
      <c r="F2301" s="2"/>
      <c r="G2301" s="2"/>
      <c r="H2301" s="2"/>
      <c r="I2301" s="2"/>
      <c r="J2301" s="2"/>
      <c r="K2301" s="2"/>
    </row>
    <row r="2302" spans="4:11" x14ac:dyDescent="0.2">
      <c r="D2302" s="2"/>
      <c r="E2302" s="2"/>
      <c r="F2302" s="2"/>
      <c r="G2302" s="2"/>
      <c r="H2302" s="2"/>
      <c r="I2302" s="2"/>
      <c r="J2302" s="2"/>
      <c r="K2302" s="2"/>
    </row>
    <row r="2303" spans="4:11" x14ac:dyDescent="0.2">
      <c r="D2303" s="2"/>
      <c r="E2303" s="2"/>
      <c r="F2303" s="2"/>
      <c r="G2303" s="2"/>
      <c r="H2303" s="2"/>
      <c r="I2303" s="2"/>
      <c r="J2303" s="2"/>
      <c r="K2303" s="2"/>
    </row>
    <row r="2304" spans="4:11" x14ac:dyDescent="0.2">
      <c r="D2304" s="2"/>
      <c r="E2304" s="2"/>
      <c r="F2304" s="2"/>
      <c r="G2304" s="2"/>
      <c r="H2304" s="2"/>
      <c r="I2304" s="2"/>
      <c r="J2304" s="2"/>
      <c r="K2304" s="2"/>
    </row>
    <row r="2305" spans="4:11" x14ac:dyDescent="0.2">
      <c r="D2305" s="2"/>
      <c r="E2305" s="2"/>
      <c r="F2305" s="2"/>
      <c r="G2305" s="2"/>
      <c r="H2305" s="2"/>
      <c r="I2305" s="2"/>
      <c r="J2305" s="2"/>
      <c r="K2305" s="2"/>
    </row>
    <row r="2306" spans="4:11" x14ac:dyDescent="0.2">
      <c r="D2306" s="2"/>
      <c r="E2306" s="2"/>
      <c r="F2306" s="2"/>
      <c r="G2306" s="2"/>
      <c r="H2306" s="2"/>
      <c r="I2306" s="2"/>
      <c r="J2306" s="2"/>
      <c r="K2306" s="2"/>
    </row>
    <row r="2307" spans="4:11" x14ac:dyDescent="0.2">
      <c r="D2307" s="2"/>
      <c r="E2307" s="2"/>
      <c r="F2307" s="2"/>
      <c r="G2307" s="2"/>
      <c r="H2307" s="2"/>
      <c r="I2307" s="2"/>
      <c r="J2307" s="2"/>
      <c r="K2307" s="2"/>
    </row>
    <row r="2308" spans="4:11" x14ac:dyDescent="0.2">
      <c r="D2308" s="2"/>
      <c r="E2308" s="2"/>
      <c r="F2308" s="2"/>
      <c r="G2308" s="2"/>
      <c r="H2308" s="2"/>
      <c r="I2308" s="2"/>
      <c r="J2308" s="2"/>
      <c r="K2308" s="2"/>
    </row>
    <row r="2309" spans="4:11" x14ac:dyDescent="0.2">
      <c r="D2309" s="2"/>
      <c r="E2309" s="2"/>
      <c r="F2309" s="2"/>
      <c r="G2309" s="2"/>
      <c r="H2309" s="2"/>
      <c r="I2309" s="2"/>
      <c r="J2309" s="2"/>
      <c r="K2309" s="2"/>
    </row>
    <row r="2310" spans="4:11" x14ac:dyDescent="0.2">
      <c r="D2310" s="2"/>
      <c r="E2310" s="2"/>
      <c r="F2310" s="2"/>
      <c r="G2310" s="2"/>
      <c r="H2310" s="2"/>
      <c r="I2310" s="2"/>
      <c r="J2310" s="2"/>
      <c r="K2310" s="2"/>
    </row>
    <row r="2311" spans="4:11" x14ac:dyDescent="0.2">
      <c r="D2311" s="2"/>
      <c r="E2311" s="2"/>
      <c r="F2311" s="2"/>
      <c r="G2311" s="2"/>
      <c r="H2311" s="2"/>
      <c r="I2311" s="2"/>
      <c r="J2311" s="2"/>
      <c r="K2311" s="2"/>
    </row>
    <row r="2312" spans="4:11" x14ac:dyDescent="0.2">
      <c r="D2312" s="2"/>
      <c r="E2312" s="2"/>
      <c r="F2312" s="2"/>
      <c r="G2312" s="2"/>
      <c r="H2312" s="2"/>
      <c r="I2312" s="2"/>
      <c r="J2312" s="2"/>
      <c r="K2312" s="2"/>
    </row>
    <row r="2313" spans="4:11" x14ac:dyDescent="0.2">
      <c r="D2313" s="2"/>
      <c r="E2313" s="2"/>
      <c r="F2313" s="2"/>
      <c r="G2313" s="2"/>
      <c r="H2313" s="2"/>
      <c r="I2313" s="2"/>
      <c r="J2313" s="2"/>
      <c r="K2313" s="2"/>
    </row>
    <row r="2314" spans="4:11" x14ac:dyDescent="0.2">
      <c r="D2314" s="2"/>
      <c r="E2314" s="2"/>
      <c r="F2314" s="2"/>
      <c r="G2314" s="2"/>
      <c r="H2314" s="2"/>
      <c r="I2314" s="2"/>
      <c r="J2314" s="2"/>
      <c r="K2314" s="2"/>
    </row>
    <row r="2315" spans="4:11" x14ac:dyDescent="0.2">
      <c r="D2315" s="2"/>
      <c r="E2315" s="2"/>
      <c r="F2315" s="2"/>
      <c r="G2315" s="2"/>
      <c r="H2315" s="2"/>
      <c r="I2315" s="2"/>
      <c r="J2315" s="2"/>
      <c r="K2315" s="2"/>
    </row>
    <row r="2316" spans="4:11" x14ac:dyDescent="0.2">
      <c r="D2316" s="2"/>
      <c r="E2316" s="2"/>
      <c r="F2316" s="2"/>
      <c r="G2316" s="2"/>
      <c r="H2316" s="2"/>
      <c r="I2316" s="2"/>
      <c r="J2316" s="2"/>
      <c r="K2316" s="2"/>
    </row>
    <row r="2317" spans="4:11" x14ac:dyDescent="0.2">
      <c r="D2317" s="2"/>
      <c r="E2317" s="2"/>
      <c r="F2317" s="2"/>
      <c r="G2317" s="2"/>
      <c r="H2317" s="2"/>
      <c r="I2317" s="2"/>
      <c r="J2317" s="2"/>
      <c r="K2317" s="2"/>
    </row>
    <row r="2318" spans="4:11" x14ac:dyDescent="0.2">
      <c r="D2318" s="2"/>
      <c r="E2318" s="2"/>
      <c r="F2318" s="2"/>
      <c r="G2318" s="2"/>
      <c r="H2318" s="2"/>
      <c r="I2318" s="2"/>
      <c r="J2318" s="2"/>
      <c r="K2318" s="2"/>
    </row>
    <row r="2319" spans="4:11" x14ac:dyDescent="0.2">
      <c r="D2319" s="2"/>
      <c r="E2319" s="2"/>
      <c r="F2319" s="2"/>
      <c r="G2319" s="2"/>
      <c r="H2319" s="2"/>
      <c r="I2319" s="2"/>
      <c r="J2319" s="2"/>
      <c r="K2319" s="2"/>
    </row>
    <row r="2320" spans="4:11" x14ac:dyDescent="0.2">
      <c r="D2320" s="2"/>
      <c r="E2320" s="2"/>
      <c r="F2320" s="2"/>
      <c r="G2320" s="2"/>
      <c r="H2320" s="2"/>
      <c r="I2320" s="2"/>
      <c r="J2320" s="2"/>
      <c r="K2320" s="2"/>
    </row>
    <row r="2321" spans="4:11" x14ac:dyDescent="0.2">
      <c r="D2321" s="2"/>
      <c r="E2321" s="2"/>
      <c r="F2321" s="2"/>
      <c r="G2321" s="2"/>
      <c r="H2321" s="2"/>
      <c r="I2321" s="2"/>
      <c r="J2321" s="2"/>
      <c r="K2321" s="2"/>
    </row>
    <row r="2322" spans="4:11" x14ac:dyDescent="0.2">
      <c r="D2322" s="2"/>
      <c r="E2322" s="2"/>
      <c r="F2322" s="2"/>
      <c r="G2322" s="2"/>
      <c r="H2322" s="2"/>
      <c r="I2322" s="2"/>
      <c r="J2322" s="2"/>
      <c r="K2322" s="2"/>
    </row>
    <row r="2323" spans="4:11" x14ac:dyDescent="0.2">
      <c r="D2323" s="2"/>
      <c r="E2323" s="2"/>
      <c r="F2323" s="2"/>
      <c r="G2323" s="2"/>
      <c r="H2323" s="2"/>
      <c r="I2323" s="2"/>
      <c r="J2323" s="2"/>
      <c r="K2323" s="2"/>
    </row>
    <row r="2324" spans="4:11" x14ac:dyDescent="0.2">
      <c r="D2324" s="2"/>
      <c r="E2324" s="2"/>
      <c r="F2324" s="2"/>
      <c r="G2324" s="2"/>
      <c r="H2324" s="2"/>
      <c r="I2324" s="2"/>
      <c r="J2324" s="2"/>
      <c r="K2324" s="2"/>
    </row>
    <row r="2325" spans="4:11" x14ac:dyDescent="0.2">
      <c r="D2325" s="2"/>
      <c r="E2325" s="2"/>
      <c r="F2325" s="2"/>
      <c r="G2325" s="2"/>
      <c r="H2325" s="2"/>
      <c r="I2325" s="2"/>
      <c r="J2325" s="2"/>
      <c r="K2325" s="2"/>
    </row>
    <row r="2326" spans="4:11" x14ac:dyDescent="0.2">
      <c r="D2326" s="2"/>
      <c r="E2326" s="2"/>
      <c r="F2326" s="2"/>
      <c r="G2326" s="2"/>
      <c r="H2326" s="2"/>
      <c r="I2326" s="2"/>
      <c r="J2326" s="2"/>
      <c r="K2326" s="2"/>
    </row>
    <row r="2327" spans="4:11" x14ac:dyDescent="0.2">
      <c r="D2327" s="2"/>
      <c r="E2327" s="2"/>
      <c r="F2327" s="2"/>
      <c r="G2327" s="2"/>
      <c r="H2327" s="2"/>
      <c r="I2327" s="2"/>
      <c r="J2327" s="2"/>
      <c r="K2327" s="2"/>
    </row>
    <row r="2328" spans="4:11" x14ac:dyDescent="0.2">
      <c r="D2328" s="2"/>
      <c r="E2328" s="2"/>
      <c r="F2328" s="2"/>
      <c r="G2328" s="2"/>
      <c r="H2328" s="2"/>
      <c r="I2328" s="2"/>
      <c r="J2328" s="2"/>
      <c r="K2328" s="2"/>
    </row>
    <row r="2329" spans="4:11" x14ac:dyDescent="0.2">
      <c r="D2329" s="2"/>
      <c r="E2329" s="2"/>
      <c r="F2329" s="2"/>
      <c r="G2329" s="2"/>
      <c r="H2329" s="2"/>
      <c r="I2329" s="2"/>
      <c r="J2329" s="2"/>
      <c r="K2329" s="2"/>
    </row>
    <row r="2330" spans="4:11" x14ac:dyDescent="0.2">
      <c r="D2330" s="2"/>
      <c r="E2330" s="2"/>
      <c r="F2330" s="2"/>
      <c r="G2330" s="2"/>
      <c r="H2330" s="2"/>
      <c r="I2330" s="2"/>
      <c r="J2330" s="2"/>
      <c r="K2330" s="2"/>
    </row>
    <row r="2331" spans="4:11" x14ac:dyDescent="0.2">
      <c r="D2331" s="2"/>
      <c r="E2331" s="2"/>
      <c r="F2331" s="2"/>
      <c r="G2331" s="2"/>
      <c r="H2331" s="2"/>
      <c r="I2331" s="2"/>
      <c r="J2331" s="2"/>
      <c r="K2331" s="2"/>
    </row>
    <row r="2332" spans="4:11" x14ac:dyDescent="0.2">
      <c r="D2332" s="2"/>
      <c r="E2332" s="2"/>
      <c r="F2332" s="2"/>
      <c r="G2332" s="2"/>
      <c r="H2332" s="2"/>
      <c r="I2332" s="2"/>
      <c r="J2332" s="2"/>
      <c r="K2332" s="2"/>
    </row>
    <row r="2333" spans="4:11" x14ac:dyDescent="0.2">
      <c r="D2333" s="2"/>
      <c r="E2333" s="2"/>
      <c r="F2333" s="2"/>
      <c r="G2333" s="2"/>
      <c r="H2333" s="2"/>
      <c r="I2333" s="2"/>
      <c r="J2333" s="2"/>
      <c r="K2333" s="2"/>
    </row>
    <row r="2334" spans="4:11" x14ac:dyDescent="0.2">
      <c r="D2334" s="2"/>
      <c r="E2334" s="2"/>
      <c r="F2334" s="2"/>
      <c r="G2334" s="2"/>
      <c r="H2334" s="2"/>
      <c r="I2334" s="2"/>
      <c r="J2334" s="2"/>
      <c r="K2334" s="2"/>
    </row>
    <row r="2335" spans="4:11" x14ac:dyDescent="0.2">
      <c r="D2335" s="2"/>
      <c r="E2335" s="2"/>
      <c r="F2335" s="2"/>
      <c r="G2335" s="2"/>
      <c r="H2335" s="2"/>
      <c r="I2335" s="2"/>
      <c r="J2335" s="2"/>
      <c r="K2335" s="2"/>
    </row>
    <row r="2336" spans="4:11" x14ac:dyDescent="0.2">
      <c r="D2336" s="2"/>
      <c r="E2336" s="2"/>
      <c r="F2336" s="2"/>
      <c r="G2336" s="2"/>
      <c r="H2336" s="2"/>
      <c r="I2336" s="2"/>
      <c r="J2336" s="2"/>
      <c r="K2336" s="2"/>
    </row>
    <row r="2337" spans="4:11" x14ac:dyDescent="0.2">
      <c r="D2337" s="2"/>
      <c r="E2337" s="2"/>
      <c r="F2337" s="2"/>
      <c r="G2337" s="2"/>
      <c r="H2337" s="2"/>
      <c r="I2337" s="2"/>
      <c r="J2337" s="2"/>
      <c r="K2337" s="2"/>
    </row>
    <row r="2338" spans="4:11" x14ac:dyDescent="0.2">
      <c r="D2338" s="2"/>
      <c r="E2338" s="2"/>
      <c r="F2338" s="2"/>
      <c r="G2338" s="2"/>
      <c r="H2338" s="2"/>
      <c r="I2338" s="2"/>
      <c r="J2338" s="2"/>
      <c r="K2338" s="2"/>
    </row>
    <row r="2339" spans="4:11" x14ac:dyDescent="0.2">
      <c r="D2339" s="2"/>
      <c r="E2339" s="2"/>
      <c r="F2339" s="2"/>
      <c r="G2339" s="2"/>
      <c r="H2339" s="2"/>
      <c r="I2339" s="2"/>
      <c r="J2339" s="2"/>
      <c r="K2339" s="2"/>
    </row>
    <row r="2340" spans="4:11" x14ac:dyDescent="0.2">
      <c r="D2340" s="2"/>
      <c r="E2340" s="2"/>
      <c r="F2340" s="2"/>
      <c r="G2340" s="2"/>
      <c r="H2340" s="2"/>
      <c r="I2340" s="2"/>
      <c r="J2340" s="2"/>
      <c r="K2340" s="2"/>
    </row>
    <row r="2341" spans="4:11" x14ac:dyDescent="0.2">
      <c r="D2341" s="2"/>
      <c r="E2341" s="2"/>
      <c r="F2341" s="2"/>
      <c r="G2341" s="2"/>
      <c r="H2341" s="2"/>
      <c r="I2341" s="2"/>
      <c r="J2341" s="2"/>
      <c r="K2341" s="2"/>
    </row>
    <row r="2342" spans="4:11" x14ac:dyDescent="0.2">
      <c r="D2342" s="2"/>
      <c r="E2342" s="2"/>
      <c r="F2342" s="2"/>
      <c r="G2342" s="2"/>
      <c r="H2342" s="2"/>
      <c r="I2342" s="2"/>
      <c r="J2342" s="2"/>
      <c r="K2342" s="2"/>
    </row>
    <row r="2343" spans="4:11" x14ac:dyDescent="0.2">
      <c r="D2343" s="2"/>
      <c r="E2343" s="2"/>
      <c r="F2343" s="2"/>
      <c r="G2343" s="2"/>
      <c r="H2343" s="2"/>
      <c r="I2343" s="2"/>
      <c r="J2343" s="2"/>
      <c r="K2343" s="2"/>
    </row>
    <row r="2344" spans="4:11" x14ac:dyDescent="0.2">
      <c r="D2344" s="2"/>
      <c r="E2344" s="2"/>
      <c r="F2344" s="2"/>
      <c r="G2344" s="2"/>
      <c r="H2344" s="2"/>
      <c r="I2344" s="2"/>
      <c r="J2344" s="2"/>
      <c r="K2344" s="2"/>
    </row>
    <row r="2345" spans="4:11" x14ac:dyDescent="0.2">
      <c r="D2345" s="2"/>
      <c r="E2345" s="2"/>
      <c r="F2345" s="2"/>
      <c r="G2345" s="2"/>
      <c r="H2345" s="2"/>
      <c r="I2345" s="2"/>
      <c r="J2345" s="2"/>
      <c r="K2345" s="2"/>
    </row>
    <row r="2346" spans="4:11" x14ac:dyDescent="0.2">
      <c r="D2346" s="2"/>
      <c r="E2346" s="2"/>
      <c r="F2346" s="2"/>
      <c r="G2346" s="2"/>
      <c r="H2346" s="2"/>
      <c r="I2346" s="2"/>
      <c r="J2346" s="2"/>
      <c r="K2346" s="2"/>
    </row>
    <row r="2347" spans="4:11" x14ac:dyDescent="0.2">
      <c r="D2347" s="2"/>
      <c r="E2347" s="2"/>
      <c r="F2347" s="2"/>
      <c r="G2347" s="2"/>
      <c r="H2347" s="2"/>
      <c r="I2347" s="2"/>
      <c r="J2347" s="2"/>
      <c r="K2347" s="2"/>
    </row>
    <row r="2348" spans="4:11" x14ac:dyDescent="0.2">
      <c r="D2348" s="2"/>
      <c r="E2348" s="2"/>
      <c r="F2348" s="2"/>
      <c r="G2348" s="2"/>
      <c r="H2348" s="2"/>
      <c r="I2348" s="2"/>
      <c r="J2348" s="2"/>
      <c r="K2348" s="2"/>
    </row>
    <row r="2349" spans="4:11" x14ac:dyDescent="0.2">
      <c r="D2349" s="2"/>
      <c r="E2349" s="2"/>
      <c r="F2349" s="2"/>
      <c r="G2349" s="2"/>
      <c r="H2349" s="2"/>
      <c r="I2349" s="2"/>
      <c r="J2349" s="2"/>
      <c r="K2349" s="2"/>
    </row>
    <row r="2350" spans="4:11" x14ac:dyDescent="0.2">
      <c r="D2350" s="2"/>
      <c r="E2350" s="2"/>
      <c r="F2350" s="2"/>
      <c r="G2350" s="2"/>
      <c r="H2350" s="2"/>
      <c r="I2350" s="2"/>
      <c r="J2350" s="2"/>
      <c r="K2350" s="2"/>
    </row>
    <row r="2351" spans="4:11" x14ac:dyDescent="0.2">
      <c r="D2351" s="2"/>
      <c r="E2351" s="2"/>
      <c r="F2351" s="2"/>
      <c r="G2351" s="2"/>
      <c r="H2351" s="2"/>
      <c r="I2351" s="2"/>
      <c r="J2351" s="2"/>
      <c r="K2351" s="2"/>
    </row>
    <row r="2352" spans="4:11" x14ac:dyDescent="0.2">
      <c r="D2352" s="2"/>
      <c r="E2352" s="2"/>
      <c r="F2352" s="2"/>
      <c r="G2352" s="2"/>
      <c r="H2352" s="2"/>
      <c r="I2352" s="2"/>
      <c r="J2352" s="2"/>
      <c r="K2352" s="2"/>
    </row>
    <row r="2353" spans="4:11" x14ac:dyDescent="0.2">
      <c r="D2353" s="2"/>
      <c r="E2353" s="2"/>
      <c r="F2353" s="2"/>
      <c r="G2353" s="2"/>
      <c r="H2353" s="2"/>
      <c r="I2353" s="2"/>
      <c r="J2353" s="2"/>
      <c r="K2353" s="2"/>
    </row>
    <row r="2354" spans="4:11" x14ac:dyDescent="0.2">
      <c r="D2354" s="2"/>
      <c r="E2354" s="2"/>
      <c r="F2354" s="2"/>
      <c r="G2354" s="2"/>
      <c r="H2354" s="2"/>
      <c r="I2354" s="2"/>
      <c r="J2354" s="2"/>
      <c r="K2354" s="2"/>
    </row>
    <row r="2355" spans="4:11" x14ac:dyDescent="0.2">
      <c r="D2355" s="2"/>
      <c r="E2355" s="2"/>
      <c r="F2355" s="2"/>
      <c r="G2355" s="2"/>
      <c r="H2355" s="2"/>
      <c r="I2355" s="2"/>
      <c r="J2355" s="2"/>
      <c r="K2355" s="2"/>
    </row>
    <row r="2356" spans="4:11" x14ac:dyDescent="0.2">
      <c r="D2356" s="2"/>
      <c r="E2356" s="2"/>
      <c r="F2356" s="2"/>
      <c r="G2356" s="2"/>
      <c r="H2356" s="2"/>
      <c r="I2356" s="2"/>
      <c r="J2356" s="2"/>
      <c r="K2356" s="2"/>
    </row>
    <row r="2357" spans="4:11" x14ac:dyDescent="0.2">
      <c r="D2357" s="2"/>
      <c r="E2357" s="2"/>
      <c r="F2357" s="2"/>
      <c r="G2357" s="2"/>
      <c r="H2357" s="2"/>
      <c r="I2357" s="2"/>
      <c r="J2357" s="2"/>
      <c r="K2357" s="2"/>
    </row>
    <row r="2358" spans="4:11" x14ac:dyDescent="0.2">
      <c r="D2358" s="2"/>
      <c r="E2358" s="2"/>
      <c r="F2358" s="2"/>
      <c r="G2358" s="2"/>
      <c r="H2358" s="2"/>
      <c r="I2358" s="2"/>
      <c r="J2358" s="2"/>
      <c r="K2358" s="2"/>
    </row>
    <row r="2359" spans="4:11" x14ac:dyDescent="0.2">
      <c r="D2359" s="2"/>
      <c r="E2359" s="2"/>
      <c r="F2359" s="2"/>
      <c r="G2359" s="2"/>
      <c r="H2359" s="2"/>
      <c r="I2359" s="2"/>
      <c r="J2359" s="2"/>
      <c r="K2359" s="2"/>
    </row>
    <row r="2360" spans="4:11" x14ac:dyDescent="0.2">
      <c r="D2360" s="2"/>
      <c r="E2360" s="2"/>
      <c r="F2360" s="2"/>
      <c r="G2360" s="2"/>
      <c r="H2360" s="2"/>
      <c r="I2360" s="2"/>
      <c r="J2360" s="2"/>
      <c r="K2360" s="2"/>
    </row>
    <row r="2361" spans="4:11" x14ac:dyDescent="0.2">
      <c r="D2361" s="2"/>
      <c r="E2361" s="2"/>
      <c r="F2361" s="2"/>
      <c r="G2361" s="2"/>
      <c r="H2361" s="2"/>
      <c r="I2361" s="2"/>
      <c r="J2361" s="2"/>
      <c r="K2361" s="2"/>
    </row>
    <row r="2362" spans="4:11" x14ac:dyDescent="0.2">
      <c r="D2362" s="2"/>
      <c r="E2362" s="2"/>
      <c r="F2362" s="2"/>
      <c r="G2362" s="2"/>
      <c r="H2362" s="2"/>
      <c r="I2362" s="2"/>
      <c r="J2362" s="2"/>
      <c r="K2362" s="2"/>
    </row>
    <row r="2363" spans="4:11" x14ac:dyDescent="0.2">
      <c r="D2363" s="2"/>
      <c r="E2363" s="2"/>
      <c r="F2363" s="2"/>
      <c r="G2363" s="2"/>
      <c r="H2363" s="2"/>
      <c r="I2363" s="2"/>
      <c r="J2363" s="2"/>
      <c r="K2363" s="2"/>
    </row>
    <row r="2364" spans="4:11" x14ac:dyDescent="0.2">
      <c r="D2364" s="2"/>
      <c r="E2364" s="2"/>
      <c r="F2364" s="2"/>
      <c r="G2364" s="2"/>
      <c r="H2364" s="2"/>
      <c r="I2364" s="2"/>
      <c r="J2364" s="2"/>
      <c r="K2364" s="2"/>
    </row>
    <row r="2365" spans="4:11" x14ac:dyDescent="0.2">
      <c r="D2365" s="2"/>
      <c r="E2365" s="2"/>
      <c r="F2365" s="2"/>
      <c r="G2365" s="2"/>
      <c r="H2365" s="2"/>
      <c r="I2365" s="2"/>
      <c r="J2365" s="2"/>
      <c r="K2365" s="2"/>
    </row>
    <row r="2366" spans="4:11" x14ac:dyDescent="0.2">
      <c r="D2366" s="2"/>
      <c r="E2366" s="2"/>
      <c r="F2366" s="2"/>
      <c r="G2366" s="2"/>
      <c r="H2366" s="2"/>
      <c r="I2366" s="2"/>
      <c r="J2366" s="2"/>
      <c r="K2366" s="2"/>
    </row>
    <row r="2367" spans="4:11" x14ac:dyDescent="0.2">
      <c r="D2367" s="2"/>
      <c r="E2367" s="2"/>
      <c r="F2367" s="2"/>
      <c r="G2367" s="2"/>
      <c r="H2367" s="2"/>
      <c r="I2367" s="2"/>
      <c r="J2367" s="2"/>
      <c r="K2367" s="2"/>
    </row>
    <row r="2368" spans="4:11" x14ac:dyDescent="0.2">
      <c r="D2368" s="2"/>
      <c r="E2368" s="2"/>
      <c r="F2368" s="2"/>
      <c r="G2368" s="2"/>
      <c r="H2368" s="2"/>
      <c r="I2368" s="2"/>
      <c r="J2368" s="2"/>
      <c r="K2368" s="2"/>
    </row>
    <row r="2369" spans="4:11" x14ac:dyDescent="0.2">
      <c r="D2369" s="2"/>
      <c r="E2369" s="2"/>
      <c r="F2369" s="2"/>
      <c r="G2369" s="2"/>
      <c r="H2369" s="2"/>
      <c r="I2369" s="2"/>
      <c r="J2369" s="2"/>
      <c r="K2369" s="2"/>
    </row>
    <row r="2370" spans="4:11" x14ac:dyDescent="0.2">
      <c r="D2370" s="2"/>
      <c r="E2370" s="2"/>
      <c r="F2370" s="2"/>
      <c r="G2370" s="2"/>
      <c r="H2370" s="2"/>
      <c r="I2370" s="2"/>
      <c r="J2370" s="2"/>
      <c r="K2370" s="2"/>
    </row>
    <row r="2371" spans="4:11" x14ac:dyDescent="0.2">
      <c r="D2371" s="2"/>
      <c r="E2371" s="2"/>
      <c r="F2371" s="2"/>
      <c r="G2371" s="2"/>
      <c r="H2371" s="2"/>
      <c r="I2371" s="2"/>
      <c r="J2371" s="2"/>
      <c r="K2371" s="2"/>
    </row>
    <row r="2372" spans="4:11" x14ac:dyDescent="0.2">
      <c r="D2372" s="2"/>
      <c r="E2372" s="2"/>
      <c r="F2372" s="2"/>
      <c r="G2372" s="2"/>
      <c r="H2372" s="2"/>
      <c r="I2372" s="2"/>
      <c r="J2372" s="2"/>
      <c r="K2372" s="2"/>
    </row>
    <row r="2373" spans="4:11" x14ac:dyDescent="0.2">
      <c r="D2373" s="2"/>
      <c r="E2373" s="2"/>
      <c r="F2373" s="2"/>
      <c r="G2373" s="2"/>
      <c r="H2373" s="2"/>
      <c r="I2373" s="2"/>
      <c r="J2373" s="2"/>
      <c r="K2373" s="2"/>
    </row>
    <row r="2374" spans="4:11" x14ac:dyDescent="0.2">
      <c r="D2374" s="2"/>
      <c r="E2374" s="2"/>
      <c r="F2374" s="2"/>
      <c r="G2374" s="2"/>
      <c r="H2374" s="2"/>
      <c r="I2374" s="2"/>
      <c r="J2374" s="2"/>
      <c r="K2374" s="2"/>
    </row>
    <row r="2375" spans="4:11" x14ac:dyDescent="0.2">
      <c r="D2375" s="2"/>
      <c r="E2375" s="2"/>
      <c r="F2375" s="2"/>
      <c r="G2375" s="2"/>
      <c r="H2375" s="2"/>
      <c r="I2375" s="2"/>
      <c r="J2375" s="2"/>
      <c r="K2375" s="2"/>
    </row>
    <row r="2376" spans="4:11" x14ac:dyDescent="0.2">
      <c r="D2376" s="2"/>
      <c r="E2376" s="2"/>
      <c r="F2376" s="2"/>
      <c r="G2376" s="2"/>
      <c r="H2376" s="2"/>
      <c r="I2376" s="2"/>
      <c r="J2376" s="2"/>
      <c r="K2376" s="2"/>
    </row>
    <row r="2377" spans="4:11" x14ac:dyDescent="0.2">
      <c r="D2377" s="2"/>
      <c r="E2377" s="2"/>
      <c r="F2377" s="2"/>
      <c r="G2377" s="2"/>
      <c r="H2377" s="2"/>
      <c r="I2377" s="2"/>
      <c r="J2377" s="2"/>
      <c r="K2377" s="2"/>
    </row>
    <row r="2378" spans="4:11" x14ac:dyDescent="0.2">
      <c r="D2378" s="2"/>
      <c r="E2378" s="2"/>
      <c r="F2378" s="2"/>
      <c r="G2378" s="2"/>
      <c r="H2378" s="2"/>
      <c r="I2378" s="2"/>
      <c r="J2378" s="2"/>
      <c r="K2378" s="2"/>
    </row>
    <row r="2379" spans="4:11" x14ac:dyDescent="0.2">
      <c r="D2379" s="2"/>
      <c r="E2379" s="2"/>
      <c r="F2379" s="2"/>
      <c r="G2379" s="2"/>
      <c r="H2379" s="2"/>
      <c r="I2379" s="2"/>
      <c r="J2379" s="2"/>
      <c r="K2379" s="2"/>
    </row>
    <row r="2380" spans="4:11" x14ac:dyDescent="0.2">
      <c r="D2380" s="2"/>
      <c r="E2380" s="2"/>
      <c r="F2380" s="2"/>
      <c r="G2380" s="2"/>
      <c r="H2380" s="2"/>
      <c r="I2380" s="2"/>
      <c r="J2380" s="2"/>
      <c r="K2380" s="2"/>
    </row>
    <row r="2381" spans="4:11" x14ac:dyDescent="0.2">
      <c r="D2381" s="2"/>
      <c r="E2381" s="2"/>
      <c r="F2381" s="2"/>
      <c r="G2381" s="2"/>
      <c r="H2381" s="2"/>
      <c r="I2381" s="2"/>
      <c r="J2381" s="2"/>
      <c r="K2381" s="2"/>
    </row>
    <row r="2382" spans="4:11" x14ac:dyDescent="0.2">
      <c r="D2382" s="2"/>
      <c r="E2382" s="2"/>
      <c r="F2382" s="2"/>
      <c r="G2382" s="2"/>
      <c r="H2382" s="2"/>
      <c r="I2382" s="2"/>
      <c r="J2382" s="2"/>
      <c r="K2382" s="2"/>
    </row>
    <row r="2383" spans="4:11" x14ac:dyDescent="0.2">
      <c r="D2383" s="2"/>
      <c r="E2383" s="2"/>
      <c r="F2383" s="2"/>
      <c r="G2383" s="2"/>
      <c r="H2383" s="2"/>
      <c r="I2383" s="2"/>
      <c r="J2383" s="2"/>
      <c r="K2383" s="2"/>
    </row>
    <row r="2384" spans="4:11" x14ac:dyDescent="0.2">
      <c r="D2384" s="2"/>
      <c r="E2384" s="2"/>
      <c r="F2384" s="2"/>
      <c r="G2384" s="2"/>
      <c r="H2384" s="2"/>
      <c r="I2384" s="2"/>
      <c r="J2384" s="2"/>
      <c r="K2384" s="2"/>
    </row>
    <row r="2385" spans="4:11" x14ac:dyDescent="0.2">
      <c r="D2385" s="2"/>
      <c r="E2385" s="2"/>
      <c r="F2385" s="2"/>
      <c r="G2385" s="2"/>
      <c r="H2385" s="2"/>
      <c r="I2385" s="2"/>
      <c r="J2385" s="2"/>
      <c r="K2385" s="2"/>
    </row>
    <row r="2386" spans="4:11" x14ac:dyDescent="0.2">
      <c r="D2386" s="2"/>
      <c r="E2386" s="2"/>
      <c r="F2386" s="2"/>
      <c r="G2386" s="2"/>
      <c r="H2386" s="2"/>
      <c r="I2386" s="2"/>
      <c r="J2386" s="2"/>
      <c r="K2386" s="2"/>
    </row>
    <row r="2387" spans="4:11" x14ac:dyDescent="0.2">
      <c r="D2387" s="2"/>
      <c r="E2387" s="2"/>
      <c r="F2387" s="2"/>
      <c r="G2387" s="2"/>
      <c r="H2387" s="2"/>
      <c r="I2387" s="2"/>
      <c r="J2387" s="2"/>
      <c r="K2387" s="2"/>
    </row>
    <row r="2388" spans="4:11" x14ac:dyDescent="0.2">
      <c r="D2388" s="2"/>
      <c r="E2388" s="2"/>
      <c r="F2388" s="2"/>
      <c r="G2388" s="2"/>
      <c r="H2388" s="2"/>
      <c r="I2388" s="2"/>
      <c r="J2388" s="2"/>
      <c r="K2388" s="2"/>
    </row>
    <row r="2389" spans="4:11" x14ac:dyDescent="0.2">
      <c r="D2389" s="2"/>
      <c r="E2389" s="2"/>
      <c r="F2389" s="2"/>
      <c r="G2389" s="2"/>
      <c r="H2389" s="2"/>
      <c r="I2389" s="2"/>
      <c r="J2389" s="2"/>
      <c r="K2389" s="2"/>
    </row>
    <row r="2390" spans="4:11" x14ac:dyDescent="0.2">
      <c r="D2390" s="2"/>
      <c r="E2390" s="2"/>
      <c r="F2390" s="2"/>
      <c r="G2390" s="2"/>
      <c r="H2390" s="2"/>
      <c r="I2390" s="2"/>
      <c r="J2390" s="2"/>
      <c r="K2390" s="2"/>
    </row>
    <row r="2391" spans="4:11" x14ac:dyDescent="0.2">
      <c r="D2391" s="2"/>
      <c r="E2391" s="2"/>
      <c r="F2391" s="2"/>
      <c r="G2391" s="2"/>
      <c r="H2391" s="2"/>
      <c r="I2391" s="2"/>
      <c r="J2391" s="2"/>
      <c r="K2391" s="2"/>
    </row>
    <row r="2392" spans="4:11" x14ac:dyDescent="0.2">
      <c r="D2392" s="2"/>
      <c r="E2392" s="2"/>
      <c r="F2392" s="2"/>
      <c r="G2392" s="2"/>
      <c r="H2392" s="2"/>
      <c r="I2392" s="2"/>
      <c r="J2392" s="2"/>
      <c r="K2392" s="2"/>
    </row>
    <row r="2393" spans="4:11" x14ac:dyDescent="0.2">
      <c r="D2393" s="2"/>
      <c r="E2393" s="2"/>
      <c r="F2393" s="2"/>
      <c r="G2393" s="2"/>
      <c r="H2393" s="2"/>
      <c r="I2393" s="2"/>
      <c r="J2393" s="2"/>
      <c r="K2393" s="2"/>
    </row>
    <row r="2394" spans="4:11" x14ac:dyDescent="0.2">
      <c r="D2394" s="2"/>
      <c r="E2394" s="2"/>
      <c r="F2394" s="2"/>
      <c r="G2394" s="2"/>
      <c r="H2394" s="2"/>
      <c r="I2394" s="2"/>
      <c r="J2394" s="2"/>
      <c r="K2394" s="2"/>
    </row>
    <row r="2395" spans="4:11" x14ac:dyDescent="0.2">
      <c r="D2395" s="2"/>
      <c r="E2395" s="2"/>
      <c r="F2395" s="2"/>
      <c r="G2395" s="2"/>
      <c r="H2395" s="2"/>
      <c r="I2395" s="2"/>
      <c r="J2395" s="2"/>
      <c r="K2395" s="2"/>
    </row>
    <row r="2396" spans="4:11" x14ac:dyDescent="0.2">
      <c r="D2396" s="2"/>
      <c r="E2396" s="2"/>
      <c r="F2396" s="2"/>
      <c r="G2396" s="2"/>
      <c r="H2396" s="2"/>
      <c r="I2396" s="2"/>
      <c r="J2396" s="2"/>
      <c r="K2396" s="2"/>
    </row>
    <row r="2397" spans="4:11" x14ac:dyDescent="0.2">
      <c r="D2397" s="2"/>
      <c r="E2397" s="2"/>
      <c r="F2397" s="2"/>
      <c r="G2397" s="2"/>
      <c r="H2397" s="2"/>
      <c r="I2397" s="2"/>
      <c r="J2397" s="2"/>
      <c r="K2397" s="2"/>
    </row>
    <row r="2398" spans="4:11" x14ac:dyDescent="0.2">
      <c r="D2398" s="2"/>
      <c r="E2398" s="2"/>
      <c r="F2398" s="2"/>
      <c r="G2398" s="2"/>
      <c r="H2398" s="2"/>
      <c r="I2398" s="2"/>
      <c r="J2398" s="2"/>
      <c r="K2398" s="2"/>
    </row>
    <row r="2399" spans="4:11" x14ac:dyDescent="0.2">
      <c r="D2399" s="2"/>
      <c r="E2399" s="2"/>
      <c r="F2399" s="2"/>
      <c r="G2399" s="2"/>
      <c r="H2399" s="2"/>
      <c r="I2399" s="2"/>
      <c r="J2399" s="2"/>
      <c r="K2399" s="2"/>
    </row>
    <row r="2400" spans="4:11" x14ac:dyDescent="0.2">
      <c r="D2400" s="2"/>
      <c r="E2400" s="2"/>
      <c r="F2400" s="2"/>
      <c r="G2400" s="2"/>
      <c r="H2400" s="2"/>
      <c r="I2400" s="2"/>
      <c r="J2400" s="2"/>
      <c r="K2400" s="2"/>
    </row>
    <row r="2401" spans="4:11" x14ac:dyDescent="0.2">
      <c r="D2401" s="2"/>
      <c r="E2401" s="2"/>
      <c r="F2401" s="2"/>
      <c r="G2401" s="2"/>
      <c r="H2401" s="2"/>
      <c r="I2401" s="2"/>
      <c r="J2401" s="2"/>
      <c r="K2401" s="2"/>
    </row>
    <row r="2402" spans="4:11" x14ac:dyDescent="0.2">
      <c r="D2402" s="2"/>
      <c r="E2402" s="2"/>
      <c r="F2402" s="2"/>
      <c r="G2402" s="2"/>
      <c r="H2402" s="2"/>
      <c r="I2402" s="2"/>
      <c r="J2402" s="2"/>
      <c r="K2402" s="2"/>
    </row>
    <row r="2403" spans="4:11" x14ac:dyDescent="0.2">
      <c r="D2403" s="2"/>
      <c r="E2403" s="2"/>
      <c r="F2403" s="2"/>
      <c r="G2403" s="2"/>
      <c r="H2403" s="2"/>
      <c r="I2403" s="2"/>
      <c r="J2403" s="2"/>
      <c r="K2403" s="2"/>
    </row>
    <row r="2404" spans="4:11" x14ac:dyDescent="0.2">
      <c r="D2404" s="2"/>
      <c r="E2404" s="2"/>
      <c r="F2404" s="2"/>
      <c r="G2404" s="2"/>
      <c r="H2404" s="2"/>
      <c r="I2404" s="2"/>
      <c r="J2404" s="2"/>
      <c r="K2404" s="2"/>
    </row>
    <row r="2405" spans="4:11" x14ac:dyDescent="0.2">
      <c r="D2405" s="2"/>
      <c r="E2405" s="2"/>
      <c r="F2405" s="2"/>
      <c r="G2405" s="2"/>
      <c r="H2405" s="2"/>
      <c r="I2405" s="2"/>
      <c r="J2405" s="2"/>
      <c r="K2405" s="2"/>
    </row>
    <row r="2406" spans="4:11" x14ac:dyDescent="0.2">
      <c r="D2406" s="2"/>
      <c r="E2406" s="2"/>
      <c r="F2406" s="2"/>
      <c r="G2406" s="2"/>
      <c r="H2406" s="2"/>
      <c r="I2406" s="2"/>
      <c r="J2406" s="2"/>
      <c r="K2406" s="2"/>
    </row>
    <row r="2407" spans="4:11" x14ac:dyDescent="0.2">
      <c r="D2407" s="2"/>
      <c r="E2407" s="2"/>
      <c r="F2407" s="2"/>
      <c r="G2407" s="2"/>
      <c r="H2407" s="2"/>
      <c r="I2407" s="2"/>
      <c r="J2407" s="2"/>
      <c r="K2407" s="2"/>
    </row>
    <row r="2408" spans="4:11" x14ac:dyDescent="0.2">
      <c r="D2408" s="2"/>
      <c r="E2408" s="2"/>
      <c r="F2408" s="2"/>
      <c r="G2408" s="2"/>
      <c r="H2408" s="2"/>
      <c r="I2408" s="2"/>
      <c r="J2408" s="2"/>
      <c r="K2408" s="2"/>
    </row>
    <row r="2409" spans="4:11" x14ac:dyDescent="0.2">
      <c r="D2409" s="2"/>
      <c r="E2409" s="2"/>
      <c r="F2409" s="2"/>
      <c r="G2409" s="2"/>
      <c r="H2409" s="2"/>
      <c r="I2409" s="2"/>
      <c r="J2409" s="2"/>
      <c r="K2409" s="2"/>
    </row>
    <row r="2410" spans="4:11" x14ac:dyDescent="0.2">
      <c r="D2410" s="2"/>
      <c r="E2410" s="2"/>
      <c r="F2410" s="2"/>
      <c r="G2410" s="2"/>
      <c r="H2410" s="2"/>
      <c r="I2410" s="2"/>
      <c r="J2410" s="2"/>
      <c r="K2410" s="2"/>
    </row>
    <row r="2411" spans="4:11" x14ac:dyDescent="0.2">
      <c r="D2411" s="2"/>
      <c r="E2411" s="2"/>
      <c r="F2411" s="2"/>
      <c r="G2411" s="2"/>
      <c r="H2411" s="2"/>
      <c r="I2411" s="2"/>
      <c r="J2411" s="2"/>
      <c r="K2411" s="2"/>
    </row>
    <row r="2412" spans="4:11" x14ac:dyDescent="0.2">
      <c r="D2412" s="2"/>
      <c r="E2412" s="2"/>
      <c r="F2412" s="2"/>
      <c r="G2412" s="2"/>
      <c r="H2412" s="2"/>
      <c r="I2412" s="2"/>
      <c r="J2412" s="2"/>
      <c r="K2412" s="2"/>
    </row>
    <row r="2413" spans="4:11" x14ac:dyDescent="0.2">
      <c r="D2413" s="2"/>
      <c r="E2413" s="2"/>
      <c r="F2413" s="2"/>
      <c r="G2413" s="2"/>
      <c r="H2413" s="2"/>
      <c r="I2413" s="2"/>
      <c r="J2413" s="2"/>
      <c r="K2413" s="2"/>
    </row>
    <row r="2414" spans="4:11" x14ac:dyDescent="0.2">
      <c r="D2414" s="2"/>
      <c r="E2414" s="2"/>
      <c r="F2414" s="2"/>
      <c r="G2414" s="2"/>
      <c r="H2414" s="2"/>
      <c r="I2414" s="2"/>
      <c r="J2414" s="2"/>
      <c r="K2414" s="2"/>
    </row>
    <row r="2415" spans="4:11" x14ac:dyDescent="0.2">
      <c r="D2415" s="2"/>
      <c r="E2415" s="2"/>
      <c r="F2415" s="2"/>
      <c r="G2415" s="2"/>
      <c r="H2415" s="2"/>
      <c r="I2415" s="2"/>
      <c r="J2415" s="2"/>
      <c r="K2415" s="2"/>
    </row>
    <row r="2416" spans="4:11" x14ac:dyDescent="0.2">
      <c r="D2416" s="2"/>
      <c r="E2416" s="2"/>
      <c r="F2416" s="2"/>
      <c r="G2416" s="2"/>
      <c r="H2416" s="2"/>
      <c r="I2416" s="2"/>
      <c r="J2416" s="2"/>
      <c r="K2416" s="2"/>
    </row>
    <row r="2417" spans="4:11" x14ac:dyDescent="0.2">
      <c r="D2417" s="2"/>
      <c r="E2417" s="2"/>
      <c r="F2417" s="2"/>
      <c r="G2417" s="2"/>
      <c r="H2417" s="2"/>
      <c r="I2417" s="2"/>
      <c r="J2417" s="2"/>
      <c r="K2417" s="2"/>
    </row>
    <row r="2418" spans="4:11" x14ac:dyDescent="0.2">
      <c r="D2418" s="2"/>
      <c r="E2418" s="2"/>
      <c r="F2418" s="2"/>
      <c r="G2418" s="2"/>
      <c r="H2418" s="2"/>
      <c r="I2418" s="2"/>
      <c r="J2418" s="2"/>
      <c r="K2418" s="2"/>
    </row>
    <row r="2419" spans="4:11" x14ac:dyDescent="0.2">
      <c r="D2419" s="2"/>
      <c r="E2419" s="2"/>
      <c r="F2419" s="2"/>
      <c r="G2419" s="2"/>
      <c r="H2419" s="2"/>
      <c r="I2419" s="2"/>
      <c r="J2419" s="2"/>
      <c r="K2419" s="2"/>
    </row>
    <row r="2420" spans="4:11" x14ac:dyDescent="0.2">
      <c r="D2420" s="2"/>
      <c r="E2420" s="2"/>
      <c r="F2420" s="2"/>
      <c r="G2420" s="2"/>
      <c r="H2420" s="2"/>
      <c r="I2420" s="2"/>
      <c r="J2420" s="2"/>
      <c r="K2420" s="2"/>
    </row>
    <row r="2421" spans="4:11" x14ac:dyDescent="0.2">
      <c r="D2421" s="2"/>
      <c r="E2421" s="2"/>
      <c r="F2421" s="2"/>
      <c r="G2421" s="2"/>
      <c r="H2421" s="2"/>
      <c r="I2421" s="2"/>
      <c r="J2421" s="2"/>
      <c r="K2421" s="2"/>
    </row>
    <row r="2422" spans="4:11" x14ac:dyDescent="0.2">
      <c r="D2422" s="2"/>
      <c r="E2422" s="2"/>
      <c r="F2422" s="2"/>
      <c r="G2422" s="2"/>
      <c r="H2422" s="2"/>
      <c r="I2422" s="2"/>
      <c r="J2422" s="2"/>
      <c r="K2422" s="2"/>
    </row>
    <row r="2423" spans="4:11" x14ac:dyDescent="0.2">
      <c r="D2423" s="2"/>
      <c r="E2423" s="2"/>
      <c r="F2423" s="2"/>
      <c r="G2423" s="2"/>
      <c r="H2423" s="2"/>
      <c r="I2423" s="2"/>
      <c r="J2423" s="2"/>
      <c r="K2423" s="2"/>
    </row>
    <row r="2424" spans="4:11" x14ac:dyDescent="0.2">
      <c r="D2424" s="2"/>
      <c r="E2424" s="2"/>
      <c r="F2424" s="2"/>
      <c r="G2424" s="2"/>
      <c r="H2424" s="2"/>
      <c r="I2424" s="2"/>
      <c r="J2424" s="2"/>
      <c r="K2424" s="2"/>
    </row>
    <row r="2425" spans="4:11" x14ac:dyDescent="0.2">
      <c r="D2425" s="2"/>
      <c r="E2425" s="2"/>
      <c r="F2425" s="2"/>
      <c r="G2425" s="2"/>
      <c r="H2425" s="2"/>
      <c r="I2425" s="2"/>
      <c r="J2425" s="2"/>
      <c r="K2425" s="2"/>
    </row>
    <row r="2426" spans="4:11" x14ac:dyDescent="0.2">
      <c r="D2426" s="2"/>
      <c r="E2426" s="2"/>
      <c r="F2426" s="2"/>
      <c r="G2426" s="2"/>
      <c r="H2426" s="2"/>
      <c r="I2426" s="2"/>
      <c r="J2426" s="2"/>
      <c r="K2426" s="2"/>
    </row>
    <row r="2427" spans="4:11" x14ac:dyDescent="0.2">
      <c r="D2427" s="2"/>
      <c r="E2427" s="2"/>
      <c r="F2427" s="2"/>
      <c r="G2427" s="2"/>
      <c r="H2427" s="2"/>
      <c r="I2427" s="2"/>
      <c r="J2427" s="2"/>
      <c r="K2427" s="2"/>
    </row>
    <row r="2428" spans="4:11" x14ac:dyDescent="0.2">
      <c r="D2428" s="2"/>
      <c r="E2428" s="2"/>
      <c r="F2428" s="2"/>
      <c r="G2428" s="2"/>
      <c r="H2428" s="2"/>
      <c r="I2428" s="2"/>
      <c r="J2428" s="2"/>
      <c r="K2428" s="2"/>
    </row>
    <row r="2429" spans="4:11" x14ac:dyDescent="0.2">
      <c r="D2429" s="2"/>
      <c r="E2429" s="2"/>
      <c r="F2429" s="2"/>
      <c r="G2429" s="2"/>
      <c r="H2429" s="2"/>
      <c r="I2429" s="2"/>
      <c r="J2429" s="2"/>
      <c r="K2429" s="2"/>
    </row>
    <row r="2430" spans="4:11" x14ac:dyDescent="0.2">
      <c r="D2430" s="2"/>
      <c r="E2430" s="2"/>
      <c r="F2430" s="2"/>
      <c r="G2430" s="2"/>
      <c r="H2430" s="2"/>
      <c r="I2430" s="2"/>
      <c r="J2430" s="2"/>
      <c r="K2430" s="2"/>
    </row>
    <row r="2431" spans="4:11" x14ac:dyDescent="0.2">
      <c r="D2431" s="2"/>
      <c r="E2431" s="2"/>
      <c r="F2431" s="2"/>
      <c r="G2431" s="2"/>
      <c r="H2431" s="2"/>
      <c r="I2431" s="2"/>
      <c r="J2431" s="2"/>
      <c r="K2431" s="2"/>
    </row>
    <row r="2432" spans="4:11" x14ac:dyDescent="0.2">
      <c r="D2432" s="2"/>
      <c r="E2432" s="2"/>
      <c r="F2432" s="2"/>
      <c r="G2432" s="2"/>
      <c r="H2432" s="2"/>
      <c r="I2432" s="2"/>
      <c r="J2432" s="2"/>
      <c r="K2432" s="2"/>
    </row>
    <row r="2433" spans="4:11" x14ac:dyDescent="0.2">
      <c r="D2433" s="2"/>
      <c r="E2433" s="2"/>
      <c r="F2433" s="2"/>
      <c r="G2433" s="2"/>
      <c r="H2433" s="2"/>
      <c r="I2433" s="2"/>
      <c r="J2433" s="2"/>
      <c r="K2433" s="2"/>
    </row>
    <row r="2434" spans="4:11" x14ac:dyDescent="0.2">
      <c r="D2434" s="2"/>
      <c r="E2434" s="2"/>
      <c r="F2434" s="2"/>
      <c r="G2434" s="2"/>
      <c r="H2434" s="2"/>
      <c r="I2434" s="2"/>
      <c r="J2434" s="2"/>
      <c r="K2434" s="2"/>
    </row>
    <row r="2435" spans="4:11" x14ac:dyDescent="0.2">
      <c r="D2435" s="2"/>
      <c r="E2435" s="2"/>
      <c r="F2435" s="2"/>
      <c r="G2435" s="2"/>
      <c r="H2435" s="2"/>
      <c r="I2435" s="2"/>
      <c r="J2435" s="2"/>
      <c r="K2435" s="2"/>
    </row>
    <row r="2436" spans="4:11" x14ac:dyDescent="0.2">
      <c r="D2436" s="2"/>
      <c r="E2436" s="2"/>
      <c r="F2436" s="2"/>
      <c r="G2436" s="2"/>
      <c r="H2436" s="2"/>
      <c r="I2436" s="2"/>
      <c r="J2436" s="2"/>
      <c r="K2436" s="2"/>
    </row>
    <row r="2437" spans="4:11" x14ac:dyDescent="0.2">
      <c r="D2437" s="2"/>
      <c r="E2437" s="2"/>
      <c r="F2437" s="2"/>
      <c r="G2437" s="2"/>
      <c r="H2437" s="2"/>
      <c r="I2437" s="2"/>
      <c r="J2437" s="2"/>
      <c r="K2437" s="2"/>
    </row>
    <row r="2438" spans="4:11" x14ac:dyDescent="0.2">
      <c r="D2438" s="2"/>
      <c r="E2438" s="2"/>
      <c r="F2438" s="2"/>
      <c r="G2438" s="2"/>
      <c r="H2438" s="2"/>
      <c r="I2438" s="2"/>
      <c r="J2438" s="2"/>
      <c r="K2438" s="2"/>
    </row>
    <row r="2439" spans="4:11" x14ac:dyDescent="0.2">
      <c r="D2439" s="2"/>
      <c r="E2439" s="2"/>
      <c r="F2439" s="2"/>
      <c r="G2439" s="2"/>
      <c r="H2439" s="2"/>
      <c r="I2439" s="2"/>
      <c r="J2439" s="2"/>
      <c r="K2439" s="2"/>
    </row>
    <row r="2440" spans="4:11" x14ac:dyDescent="0.2">
      <c r="D2440" s="2"/>
      <c r="E2440" s="2"/>
      <c r="F2440" s="2"/>
      <c r="G2440" s="2"/>
      <c r="H2440" s="2"/>
      <c r="I2440" s="2"/>
      <c r="J2440" s="2"/>
      <c r="K2440" s="2"/>
    </row>
    <row r="2441" spans="4:11" x14ac:dyDescent="0.2">
      <c r="D2441" s="2"/>
      <c r="E2441" s="2"/>
      <c r="F2441" s="2"/>
      <c r="G2441" s="2"/>
      <c r="H2441" s="2"/>
      <c r="I2441" s="2"/>
      <c r="J2441" s="2"/>
      <c r="K2441" s="2"/>
    </row>
    <row r="2442" spans="4:11" x14ac:dyDescent="0.2">
      <c r="D2442" s="2"/>
      <c r="E2442" s="2"/>
      <c r="F2442" s="2"/>
      <c r="G2442" s="2"/>
      <c r="H2442" s="2"/>
      <c r="I2442" s="2"/>
      <c r="J2442" s="2"/>
      <c r="K2442" s="2"/>
    </row>
    <row r="2443" spans="4:11" x14ac:dyDescent="0.2">
      <c r="D2443" s="2"/>
      <c r="E2443" s="2"/>
      <c r="F2443" s="2"/>
      <c r="G2443" s="2"/>
      <c r="H2443" s="2"/>
      <c r="I2443" s="2"/>
      <c r="J2443" s="2"/>
      <c r="K2443" s="2"/>
    </row>
    <row r="2444" spans="4:11" x14ac:dyDescent="0.2">
      <c r="D2444" s="2"/>
      <c r="E2444" s="2"/>
      <c r="F2444" s="2"/>
      <c r="G2444" s="2"/>
      <c r="H2444" s="2"/>
      <c r="I2444" s="2"/>
      <c r="J2444" s="2"/>
      <c r="K2444" s="2"/>
    </row>
    <row r="2445" spans="4:11" x14ac:dyDescent="0.2">
      <c r="D2445" s="2"/>
      <c r="E2445" s="2"/>
      <c r="F2445" s="2"/>
      <c r="G2445" s="2"/>
      <c r="H2445" s="2"/>
      <c r="I2445" s="2"/>
      <c r="J2445" s="2"/>
      <c r="K2445" s="2"/>
    </row>
    <row r="2446" spans="4:11" x14ac:dyDescent="0.2">
      <c r="D2446" s="2"/>
      <c r="E2446" s="2"/>
      <c r="F2446" s="2"/>
      <c r="G2446" s="2"/>
      <c r="H2446" s="2"/>
      <c r="I2446" s="2"/>
      <c r="J2446" s="2"/>
      <c r="K2446" s="2"/>
    </row>
    <row r="2447" spans="4:11" x14ac:dyDescent="0.2">
      <c r="D2447" s="2"/>
      <c r="E2447" s="2"/>
      <c r="F2447" s="2"/>
      <c r="G2447" s="2"/>
      <c r="H2447" s="2"/>
      <c r="I2447" s="2"/>
      <c r="J2447" s="2"/>
      <c r="K2447" s="2"/>
    </row>
    <row r="2448" spans="4:11" x14ac:dyDescent="0.2">
      <c r="D2448" s="2"/>
      <c r="E2448" s="2"/>
      <c r="F2448" s="2"/>
      <c r="G2448" s="2"/>
      <c r="H2448" s="2"/>
      <c r="I2448" s="2"/>
      <c r="J2448" s="2"/>
      <c r="K2448" s="2"/>
    </row>
    <row r="2449" spans="4:11" x14ac:dyDescent="0.2">
      <c r="D2449" s="2"/>
      <c r="E2449" s="2"/>
      <c r="F2449" s="2"/>
      <c r="G2449" s="2"/>
      <c r="H2449" s="2"/>
      <c r="I2449" s="2"/>
      <c r="J2449" s="2"/>
      <c r="K2449" s="2"/>
    </row>
    <row r="2450" spans="4:11" x14ac:dyDescent="0.2">
      <c r="D2450" s="2"/>
      <c r="E2450" s="2"/>
      <c r="F2450" s="2"/>
      <c r="G2450" s="2"/>
      <c r="H2450" s="2"/>
      <c r="I2450" s="2"/>
      <c r="J2450" s="2"/>
      <c r="K2450" s="2"/>
    </row>
    <row r="2451" spans="4:11" x14ac:dyDescent="0.2">
      <c r="D2451" s="2"/>
      <c r="E2451" s="2"/>
      <c r="F2451" s="2"/>
      <c r="G2451" s="2"/>
      <c r="H2451" s="2"/>
      <c r="I2451" s="2"/>
      <c r="J2451" s="2"/>
      <c r="K2451" s="2"/>
    </row>
    <row r="2452" spans="4:11" x14ac:dyDescent="0.2">
      <c r="D2452" s="2"/>
      <c r="E2452" s="2"/>
      <c r="F2452" s="2"/>
      <c r="G2452" s="2"/>
      <c r="H2452" s="2"/>
      <c r="I2452" s="2"/>
      <c r="J2452" s="2"/>
      <c r="K2452" s="2"/>
    </row>
    <row r="2453" spans="4:11" x14ac:dyDescent="0.2">
      <c r="D2453" s="2"/>
      <c r="E2453" s="2"/>
      <c r="F2453" s="2"/>
      <c r="G2453" s="2"/>
      <c r="H2453" s="2"/>
      <c r="I2453" s="2"/>
      <c r="J2453" s="2"/>
      <c r="K2453" s="2"/>
    </row>
    <row r="2454" spans="4:11" x14ac:dyDescent="0.2">
      <c r="D2454" s="2"/>
      <c r="E2454" s="2"/>
      <c r="F2454" s="2"/>
      <c r="G2454" s="2"/>
      <c r="H2454" s="2"/>
      <c r="I2454" s="2"/>
      <c r="J2454" s="2"/>
      <c r="K2454" s="2"/>
    </row>
    <row r="2455" spans="4:11" x14ac:dyDescent="0.2">
      <c r="D2455" s="2"/>
      <c r="E2455" s="2"/>
      <c r="F2455" s="2"/>
      <c r="G2455" s="2"/>
      <c r="H2455" s="2"/>
      <c r="I2455" s="2"/>
      <c r="J2455" s="2"/>
      <c r="K2455" s="2"/>
    </row>
    <row r="2456" spans="4:11" x14ac:dyDescent="0.2">
      <c r="D2456" s="2"/>
      <c r="E2456" s="2"/>
      <c r="F2456" s="2"/>
      <c r="G2456" s="2"/>
      <c r="H2456" s="2"/>
      <c r="I2456" s="2"/>
      <c r="J2456" s="2"/>
      <c r="K2456" s="2"/>
    </row>
    <row r="2457" spans="4:11" x14ac:dyDescent="0.2">
      <c r="D2457" s="2"/>
      <c r="E2457" s="2"/>
      <c r="F2457" s="2"/>
      <c r="G2457" s="2"/>
      <c r="H2457" s="2"/>
      <c r="I2457" s="2"/>
      <c r="J2457" s="2"/>
      <c r="K2457" s="2"/>
    </row>
    <row r="2458" spans="4:11" x14ac:dyDescent="0.2">
      <c r="D2458" s="2"/>
      <c r="E2458" s="2"/>
      <c r="F2458" s="2"/>
      <c r="G2458" s="2"/>
      <c r="H2458" s="2"/>
      <c r="I2458" s="2"/>
      <c r="J2458" s="2"/>
      <c r="K2458" s="2"/>
    </row>
    <row r="2459" spans="4:11" x14ac:dyDescent="0.2">
      <c r="D2459" s="2"/>
      <c r="E2459" s="2"/>
      <c r="F2459" s="2"/>
      <c r="G2459" s="2"/>
      <c r="H2459" s="2"/>
      <c r="I2459" s="2"/>
      <c r="J2459" s="2"/>
      <c r="K2459" s="2"/>
    </row>
    <row r="2460" spans="4:11" x14ac:dyDescent="0.2">
      <c r="D2460" s="2"/>
      <c r="E2460" s="2"/>
      <c r="F2460" s="2"/>
      <c r="G2460" s="2"/>
      <c r="H2460" s="2"/>
      <c r="I2460" s="2"/>
      <c r="J2460" s="2"/>
      <c r="K2460" s="2"/>
    </row>
    <row r="2461" spans="4:11" x14ac:dyDescent="0.2">
      <c r="D2461" s="2"/>
      <c r="E2461" s="2"/>
      <c r="F2461" s="2"/>
      <c r="G2461" s="2"/>
      <c r="H2461" s="2"/>
      <c r="I2461" s="2"/>
      <c r="J2461" s="2"/>
      <c r="K2461" s="2"/>
    </row>
    <row r="2462" spans="4:11" x14ac:dyDescent="0.2">
      <c r="D2462" s="2"/>
      <c r="E2462" s="2"/>
      <c r="F2462" s="2"/>
      <c r="G2462" s="2"/>
      <c r="H2462" s="2"/>
      <c r="I2462" s="2"/>
      <c r="J2462" s="2"/>
      <c r="K2462" s="2"/>
    </row>
    <row r="2463" spans="4:11" x14ac:dyDescent="0.2">
      <c r="D2463" s="2"/>
      <c r="E2463" s="2"/>
      <c r="F2463" s="2"/>
      <c r="G2463" s="2"/>
      <c r="H2463" s="2"/>
      <c r="I2463" s="2"/>
      <c r="J2463" s="2"/>
      <c r="K2463" s="2"/>
    </row>
    <row r="2464" spans="4:11" x14ac:dyDescent="0.2">
      <c r="D2464" s="2"/>
      <c r="E2464" s="2"/>
      <c r="F2464" s="2"/>
      <c r="G2464" s="2"/>
      <c r="H2464" s="2"/>
      <c r="I2464" s="2"/>
      <c r="J2464" s="2"/>
      <c r="K2464" s="2"/>
    </row>
    <row r="2465" spans="4:11" x14ac:dyDescent="0.2">
      <c r="D2465" s="2"/>
      <c r="E2465" s="2"/>
      <c r="F2465" s="2"/>
      <c r="G2465" s="2"/>
      <c r="H2465" s="2"/>
      <c r="I2465" s="2"/>
      <c r="J2465" s="2"/>
      <c r="K2465" s="2"/>
    </row>
    <row r="2466" spans="4:11" x14ac:dyDescent="0.2">
      <c r="D2466" s="2"/>
      <c r="E2466" s="2"/>
      <c r="F2466" s="2"/>
      <c r="G2466" s="2"/>
      <c r="H2466" s="2"/>
      <c r="I2466" s="2"/>
      <c r="J2466" s="2"/>
      <c r="K2466" s="2"/>
    </row>
    <row r="2467" spans="4:11" x14ac:dyDescent="0.2">
      <c r="D2467" s="2"/>
      <c r="E2467" s="2"/>
      <c r="F2467" s="2"/>
      <c r="G2467" s="2"/>
      <c r="H2467" s="2"/>
      <c r="I2467" s="2"/>
      <c r="J2467" s="2"/>
      <c r="K2467" s="2"/>
    </row>
    <row r="2468" spans="4:11" x14ac:dyDescent="0.2">
      <c r="D2468" s="2"/>
      <c r="E2468" s="2"/>
      <c r="F2468" s="2"/>
      <c r="G2468" s="2"/>
      <c r="H2468" s="2"/>
      <c r="I2468" s="2"/>
      <c r="J2468" s="2"/>
      <c r="K2468" s="2"/>
    </row>
    <row r="2469" spans="4:11" x14ac:dyDescent="0.2">
      <c r="D2469" s="2"/>
      <c r="E2469" s="2"/>
      <c r="F2469" s="2"/>
      <c r="G2469" s="2"/>
      <c r="H2469" s="2"/>
      <c r="I2469" s="2"/>
      <c r="J2469" s="2"/>
      <c r="K2469" s="2"/>
    </row>
    <row r="2470" spans="4:11" x14ac:dyDescent="0.2">
      <c r="D2470" s="2"/>
      <c r="E2470" s="2"/>
      <c r="F2470" s="2"/>
      <c r="G2470" s="2"/>
      <c r="H2470" s="2"/>
      <c r="I2470" s="2"/>
      <c r="J2470" s="2"/>
      <c r="K2470" s="2"/>
    </row>
    <row r="2471" spans="4:11" x14ac:dyDescent="0.2">
      <c r="D2471" s="2"/>
      <c r="E2471" s="2"/>
      <c r="F2471" s="2"/>
      <c r="G2471" s="2"/>
      <c r="H2471" s="2"/>
      <c r="I2471" s="2"/>
      <c r="J2471" s="2"/>
      <c r="K2471" s="2"/>
    </row>
    <row r="2472" spans="4:11" x14ac:dyDescent="0.2">
      <c r="D2472" s="2"/>
      <c r="E2472" s="2"/>
      <c r="F2472" s="2"/>
      <c r="G2472" s="2"/>
      <c r="H2472" s="2"/>
      <c r="I2472" s="2"/>
      <c r="J2472" s="2"/>
      <c r="K2472" s="2"/>
    </row>
    <row r="2473" spans="4:11" x14ac:dyDescent="0.2">
      <c r="D2473" s="2"/>
      <c r="E2473" s="2"/>
      <c r="F2473" s="2"/>
      <c r="G2473" s="2"/>
      <c r="H2473" s="2"/>
      <c r="I2473" s="2"/>
      <c r="J2473" s="2"/>
      <c r="K2473" s="2"/>
    </row>
    <row r="2474" spans="4:11" x14ac:dyDescent="0.2">
      <c r="D2474" s="2"/>
      <c r="E2474" s="2"/>
      <c r="F2474" s="2"/>
      <c r="G2474" s="2"/>
      <c r="H2474" s="2"/>
      <c r="I2474" s="2"/>
      <c r="J2474" s="2"/>
      <c r="K2474" s="2"/>
    </row>
    <row r="2475" spans="4:11" x14ac:dyDescent="0.2">
      <c r="D2475" s="2"/>
      <c r="E2475" s="2"/>
      <c r="F2475" s="2"/>
      <c r="G2475" s="2"/>
      <c r="H2475" s="2"/>
      <c r="I2475" s="2"/>
      <c r="J2475" s="2"/>
      <c r="K2475" s="2"/>
    </row>
    <row r="2476" spans="4:11" x14ac:dyDescent="0.2">
      <c r="D2476" s="2"/>
      <c r="E2476" s="2"/>
      <c r="F2476" s="2"/>
      <c r="G2476" s="2"/>
      <c r="H2476" s="2"/>
      <c r="I2476" s="2"/>
      <c r="J2476" s="2"/>
      <c r="K2476" s="2"/>
    </row>
    <row r="2477" spans="4:11" x14ac:dyDescent="0.2">
      <c r="D2477" s="2"/>
      <c r="E2477" s="2"/>
      <c r="F2477" s="2"/>
      <c r="G2477" s="2"/>
      <c r="H2477" s="2"/>
      <c r="I2477" s="2"/>
      <c r="J2477" s="2"/>
      <c r="K2477" s="2"/>
    </row>
    <row r="2478" spans="4:11" x14ac:dyDescent="0.2">
      <c r="D2478" s="2"/>
      <c r="E2478" s="2"/>
      <c r="F2478" s="2"/>
      <c r="G2478" s="2"/>
      <c r="H2478" s="2"/>
      <c r="I2478" s="2"/>
      <c r="J2478" s="2"/>
      <c r="K2478" s="2"/>
    </row>
    <row r="2479" spans="4:11" x14ac:dyDescent="0.2">
      <c r="D2479" s="2"/>
      <c r="E2479" s="2"/>
      <c r="F2479" s="2"/>
      <c r="G2479" s="2"/>
      <c r="H2479" s="2"/>
      <c r="I2479" s="2"/>
      <c r="J2479" s="2"/>
      <c r="K2479" s="2"/>
    </row>
    <row r="2480" spans="4:11" x14ac:dyDescent="0.2">
      <c r="D2480" s="2"/>
      <c r="E2480" s="2"/>
      <c r="F2480" s="2"/>
      <c r="G2480" s="2"/>
      <c r="H2480" s="2"/>
      <c r="I2480" s="2"/>
      <c r="J2480" s="2"/>
      <c r="K2480" s="2"/>
    </row>
    <row r="2481" spans="4:11" x14ac:dyDescent="0.2">
      <c r="D2481" s="2"/>
      <c r="E2481" s="2"/>
      <c r="F2481" s="2"/>
      <c r="G2481" s="2"/>
      <c r="H2481" s="2"/>
      <c r="I2481" s="2"/>
      <c r="J2481" s="2"/>
      <c r="K2481" s="2"/>
    </row>
    <row r="2482" spans="4:11" x14ac:dyDescent="0.2">
      <c r="D2482" s="2"/>
      <c r="E2482" s="2"/>
      <c r="F2482" s="2"/>
      <c r="G2482" s="2"/>
      <c r="H2482" s="2"/>
      <c r="I2482" s="2"/>
      <c r="J2482" s="2"/>
      <c r="K2482" s="2"/>
    </row>
    <row r="2483" spans="4:11" x14ac:dyDescent="0.2">
      <c r="D2483" s="2"/>
      <c r="E2483" s="2"/>
      <c r="F2483" s="2"/>
      <c r="G2483" s="2"/>
      <c r="H2483" s="2"/>
      <c r="I2483" s="2"/>
      <c r="J2483" s="2"/>
      <c r="K2483" s="2"/>
    </row>
    <row r="2484" spans="4:11" x14ac:dyDescent="0.2">
      <c r="D2484" s="2"/>
      <c r="E2484" s="2"/>
      <c r="F2484" s="2"/>
      <c r="G2484" s="2"/>
      <c r="H2484" s="2"/>
      <c r="I2484" s="2"/>
      <c r="J2484" s="2"/>
      <c r="K2484" s="2"/>
    </row>
    <row r="2485" spans="4:11" x14ac:dyDescent="0.2">
      <c r="D2485" s="2"/>
      <c r="E2485" s="2"/>
      <c r="F2485" s="2"/>
      <c r="G2485" s="2"/>
      <c r="H2485" s="2"/>
      <c r="I2485" s="2"/>
      <c r="J2485" s="2"/>
      <c r="K2485" s="2"/>
    </row>
    <row r="2486" spans="4:11" x14ac:dyDescent="0.2">
      <c r="D2486" s="2"/>
      <c r="E2486" s="2"/>
      <c r="F2486" s="2"/>
      <c r="G2486" s="2"/>
      <c r="H2486" s="2"/>
      <c r="I2486" s="2"/>
      <c r="J2486" s="2"/>
      <c r="K2486" s="2"/>
    </row>
    <row r="2487" spans="4:11" x14ac:dyDescent="0.2">
      <c r="D2487" s="2"/>
      <c r="E2487" s="2"/>
      <c r="F2487" s="2"/>
      <c r="G2487" s="2"/>
      <c r="H2487" s="2"/>
      <c r="I2487" s="2"/>
      <c r="J2487" s="2"/>
      <c r="K2487" s="2"/>
    </row>
    <row r="2488" spans="4:11" x14ac:dyDescent="0.2">
      <c r="D2488" s="2"/>
      <c r="E2488" s="2"/>
      <c r="F2488" s="2"/>
      <c r="G2488" s="2"/>
      <c r="H2488" s="2"/>
      <c r="I2488" s="2"/>
      <c r="J2488" s="2"/>
      <c r="K2488" s="2"/>
    </row>
    <row r="2489" spans="4:11" x14ac:dyDescent="0.2">
      <c r="D2489" s="2"/>
      <c r="E2489" s="2"/>
      <c r="F2489" s="2"/>
      <c r="G2489" s="2"/>
      <c r="H2489" s="2"/>
      <c r="I2489" s="2"/>
      <c r="J2489" s="2"/>
      <c r="K2489" s="2"/>
    </row>
    <row r="2490" spans="4:11" x14ac:dyDescent="0.2">
      <c r="D2490" s="2"/>
      <c r="E2490" s="2"/>
      <c r="F2490" s="2"/>
      <c r="G2490" s="2"/>
      <c r="H2490" s="2"/>
      <c r="I2490" s="2"/>
      <c r="J2490" s="2"/>
      <c r="K2490" s="2"/>
    </row>
    <row r="2491" spans="4:11" x14ac:dyDescent="0.2">
      <c r="D2491" s="2"/>
      <c r="E2491" s="2"/>
      <c r="F2491" s="2"/>
      <c r="G2491" s="2"/>
      <c r="H2491" s="2"/>
      <c r="I2491" s="2"/>
      <c r="J2491" s="2"/>
      <c r="K2491" s="2"/>
    </row>
    <row r="2492" spans="4:11" x14ac:dyDescent="0.2">
      <c r="D2492" s="2"/>
      <c r="E2492" s="2"/>
      <c r="F2492" s="2"/>
      <c r="G2492" s="2"/>
      <c r="H2492" s="2"/>
      <c r="I2492" s="2"/>
      <c r="J2492" s="2"/>
      <c r="K2492" s="2"/>
    </row>
    <row r="2493" spans="4:11" x14ac:dyDescent="0.2">
      <c r="D2493" s="2"/>
      <c r="E2493" s="2"/>
      <c r="F2493" s="2"/>
      <c r="G2493" s="2"/>
      <c r="H2493" s="2"/>
      <c r="I2493" s="2"/>
      <c r="J2493" s="2"/>
      <c r="K2493" s="2"/>
    </row>
    <row r="2494" spans="4:11" x14ac:dyDescent="0.2">
      <c r="D2494" s="2"/>
      <c r="E2494" s="2"/>
      <c r="F2494" s="2"/>
      <c r="G2494" s="2"/>
      <c r="H2494" s="2"/>
      <c r="I2494" s="2"/>
      <c r="J2494" s="2"/>
      <c r="K2494" s="2"/>
    </row>
    <row r="2495" spans="4:11" x14ac:dyDescent="0.2">
      <c r="D2495" s="2"/>
      <c r="E2495" s="2"/>
      <c r="F2495" s="2"/>
      <c r="G2495" s="2"/>
      <c r="H2495" s="2"/>
      <c r="I2495" s="2"/>
      <c r="J2495" s="2"/>
      <c r="K2495" s="2"/>
    </row>
    <row r="2496" spans="4:11" x14ac:dyDescent="0.2">
      <c r="D2496" s="2"/>
      <c r="E2496" s="2"/>
      <c r="F2496" s="2"/>
      <c r="G2496" s="2"/>
      <c r="H2496" s="2"/>
      <c r="I2496" s="2"/>
      <c r="J2496" s="2"/>
      <c r="K2496" s="2"/>
    </row>
    <row r="2497" spans="4:11" x14ac:dyDescent="0.2">
      <c r="D2497" s="2"/>
      <c r="E2497" s="2"/>
      <c r="F2497" s="2"/>
      <c r="G2497" s="2"/>
      <c r="H2497" s="2"/>
      <c r="I2497" s="2"/>
      <c r="J2497" s="2"/>
      <c r="K2497" s="2"/>
    </row>
    <row r="2498" spans="4:11" x14ac:dyDescent="0.2">
      <c r="D2498" s="2"/>
      <c r="E2498" s="2"/>
      <c r="F2498" s="2"/>
      <c r="G2498" s="2"/>
      <c r="H2498" s="2"/>
      <c r="I2498" s="2"/>
      <c r="J2498" s="2"/>
      <c r="K2498" s="2"/>
    </row>
    <row r="2499" spans="4:11" x14ac:dyDescent="0.2">
      <c r="D2499" s="2"/>
      <c r="E2499" s="2"/>
      <c r="F2499" s="2"/>
      <c r="G2499" s="2"/>
      <c r="H2499" s="2"/>
      <c r="I2499" s="2"/>
      <c r="J2499" s="2"/>
      <c r="K2499" s="2"/>
    </row>
    <row r="2500" spans="4:11" x14ac:dyDescent="0.2">
      <c r="D2500" s="2"/>
      <c r="E2500" s="2"/>
      <c r="F2500" s="2"/>
      <c r="G2500" s="2"/>
      <c r="H2500" s="2"/>
      <c r="I2500" s="2"/>
      <c r="J2500" s="2"/>
      <c r="K2500" s="2"/>
    </row>
    <row r="2501" spans="4:11" x14ac:dyDescent="0.2">
      <c r="D2501" s="2"/>
      <c r="E2501" s="2"/>
      <c r="F2501" s="2"/>
      <c r="G2501" s="2"/>
      <c r="H2501" s="2"/>
      <c r="I2501" s="2"/>
      <c r="J2501" s="2"/>
      <c r="K2501" s="2"/>
    </row>
    <row r="2502" spans="4:11" x14ac:dyDescent="0.2">
      <c r="D2502" s="2"/>
      <c r="E2502" s="2"/>
      <c r="F2502" s="2"/>
      <c r="G2502" s="2"/>
      <c r="H2502" s="2"/>
      <c r="I2502" s="2"/>
      <c r="J2502" s="2"/>
      <c r="K2502" s="2"/>
    </row>
    <row r="2503" spans="4:11" x14ac:dyDescent="0.2">
      <c r="D2503" s="2"/>
      <c r="E2503" s="2"/>
      <c r="F2503" s="2"/>
      <c r="G2503" s="2"/>
      <c r="H2503" s="2"/>
      <c r="I2503" s="2"/>
      <c r="J2503" s="2"/>
      <c r="K2503" s="2"/>
    </row>
    <row r="2504" spans="4:11" x14ac:dyDescent="0.2">
      <c r="D2504" s="2"/>
      <c r="E2504" s="2"/>
      <c r="F2504" s="2"/>
      <c r="G2504" s="2"/>
      <c r="H2504" s="2"/>
      <c r="I2504" s="2"/>
      <c r="J2504" s="2"/>
      <c r="K2504" s="2"/>
    </row>
    <row r="2505" spans="4:11" x14ac:dyDescent="0.2">
      <c r="D2505" s="2"/>
      <c r="E2505" s="2"/>
      <c r="F2505" s="2"/>
      <c r="G2505" s="2"/>
      <c r="H2505" s="2"/>
      <c r="I2505" s="2"/>
      <c r="J2505" s="2"/>
      <c r="K2505" s="2"/>
    </row>
    <row r="2506" spans="4:11" x14ac:dyDescent="0.2">
      <c r="D2506" s="2"/>
      <c r="E2506" s="2"/>
      <c r="F2506" s="2"/>
      <c r="G2506" s="2"/>
      <c r="H2506" s="2"/>
      <c r="I2506" s="2"/>
      <c r="J2506" s="2"/>
      <c r="K2506" s="2"/>
    </row>
    <row r="2507" spans="4:11" x14ac:dyDescent="0.2">
      <c r="D2507" s="2"/>
      <c r="E2507" s="2"/>
      <c r="F2507" s="2"/>
      <c r="G2507" s="2"/>
      <c r="H2507" s="2"/>
      <c r="I2507" s="2"/>
      <c r="J2507" s="2"/>
      <c r="K2507" s="2"/>
    </row>
    <row r="2508" spans="4:11" x14ac:dyDescent="0.2">
      <c r="D2508" s="2"/>
      <c r="E2508" s="2"/>
      <c r="F2508" s="2"/>
      <c r="G2508" s="2"/>
      <c r="H2508" s="2"/>
      <c r="I2508" s="2"/>
      <c r="J2508" s="2"/>
      <c r="K2508" s="2"/>
    </row>
    <row r="2509" spans="4:11" x14ac:dyDescent="0.2">
      <c r="D2509" s="2"/>
      <c r="E2509" s="2"/>
      <c r="F2509" s="2"/>
      <c r="G2509" s="2"/>
      <c r="H2509" s="2"/>
      <c r="I2509" s="2"/>
      <c r="J2509" s="2"/>
      <c r="K2509" s="2"/>
    </row>
    <row r="2510" spans="4:11" x14ac:dyDescent="0.2">
      <c r="D2510" s="2"/>
      <c r="E2510" s="2"/>
      <c r="F2510" s="2"/>
      <c r="G2510" s="2"/>
      <c r="H2510" s="2"/>
      <c r="I2510" s="2"/>
      <c r="J2510" s="2"/>
      <c r="K2510" s="2"/>
    </row>
    <row r="2511" spans="4:11" x14ac:dyDescent="0.2">
      <c r="D2511" s="2"/>
      <c r="E2511" s="2"/>
      <c r="F2511" s="2"/>
      <c r="G2511" s="2"/>
      <c r="H2511" s="2"/>
      <c r="I2511" s="2"/>
      <c r="J2511" s="2"/>
      <c r="K2511" s="2"/>
    </row>
    <row r="2512" spans="4:11" x14ac:dyDescent="0.2">
      <c r="D2512" s="2"/>
      <c r="E2512" s="2"/>
      <c r="F2512" s="2"/>
      <c r="G2512" s="2"/>
      <c r="H2512" s="2"/>
      <c r="I2512" s="2"/>
      <c r="J2512" s="2"/>
      <c r="K2512" s="2"/>
    </row>
    <row r="2513" spans="4:11" x14ac:dyDescent="0.2">
      <c r="D2513" s="2"/>
      <c r="E2513" s="2"/>
      <c r="F2513" s="2"/>
      <c r="G2513" s="2"/>
      <c r="H2513" s="2"/>
      <c r="I2513" s="2"/>
      <c r="J2513" s="2"/>
      <c r="K2513" s="2"/>
    </row>
    <row r="2514" spans="4:11" x14ac:dyDescent="0.2">
      <c r="D2514" s="2"/>
      <c r="E2514" s="2"/>
      <c r="F2514" s="2"/>
      <c r="G2514" s="2"/>
      <c r="H2514" s="2"/>
      <c r="I2514" s="2"/>
      <c r="J2514" s="2"/>
      <c r="K2514" s="2"/>
    </row>
    <row r="2515" spans="4:11" x14ac:dyDescent="0.2">
      <c r="D2515" s="2"/>
      <c r="E2515" s="2"/>
      <c r="F2515" s="2"/>
      <c r="G2515" s="2"/>
      <c r="H2515" s="2"/>
      <c r="I2515" s="2"/>
      <c r="J2515" s="2"/>
      <c r="K2515" s="2"/>
    </row>
    <row r="2516" spans="4:11" x14ac:dyDescent="0.2">
      <c r="D2516" s="2"/>
      <c r="E2516" s="2"/>
      <c r="F2516" s="2"/>
      <c r="G2516" s="2"/>
      <c r="H2516" s="2"/>
      <c r="I2516" s="2"/>
      <c r="J2516" s="2"/>
      <c r="K2516" s="2"/>
    </row>
    <row r="2517" spans="4:11" x14ac:dyDescent="0.2">
      <c r="D2517" s="2"/>
      <c r="E2517" s="2"/>
      <c r="F2517" s="2"/>
      <c r="G2517" s="2"/>
      <c r="H2517" s="2"/>
      <c r="I2517" s="2"/>
      <c r="J2517" s="2"/>
      <c r="K2517" s="2"/>
    </row>
    <row r="2518" spans="4:11" x14ac:dyDescent="0.2">
      <c r="D2518" s="2"/>
      <c r="E2518" s="2"/>
      <c r="F2518" s="2"/>
      <c r="G2518" s="2"/>
      <c r="H2518" s="2"/>
      <c r="I2518" s="2"/>
      <c r="J2518" s="2"/>
      <c r="K2518" s="2"/>
    </row>
    <row r="2519" spans="4:11" x14ac:dyDescent="0.2">
      <c r="D2519" s="2"/>
      <c r="E2519" s="2"/>
      <c r="F2519" s="2"/>
      <c r="G2519" s="2"/>
      <c r="H2519" s="2"/>
      <c r="I2519" s="2"/>
      <c r="J2519" s="2"/>
      <c r="K2519" s="2"/>
    </row>
    <row r="2520" spans="4:11" x14ac:dyDescent="0.2">
      <c r="D2520" s="2"/>
      <c r="E2520" s="2"/>
      <c r="F2520" s="2"/>
      <c r="G2520" s="2"/>
      <c r="H2520" s="2"/>
      <c r="I2520" s="2"/>
      <c r="J2520" s="2"/>
      <c r="K2520" s="2"/>
    </row>
    <row r="2521" spans="4:11" x14ac:dyDescent="0.2">
      <c r="D2521" s="2"/>
      <c r="E2521" s="2"/>
      <c r="F2521" s="2"/>
      <c r="G2521" s="2"/>
      <c r="H2521" s="2"/>
      <c r="I2521" s="2"/>
      <c r="J2521" s="2"/>
      <c r="K2521" s="2"/>
    </row>
    <row r="2522" spans="4:11" x14ac:dyDescent="0.2">
      <c r="D2522" s="2"/>
      <c r="E2522" s="2"/>
      <c r="F2522" s="2"/>
      <c r="G2522" s="2"/>
      <c r="H2522" s="2"/>
      <c r="I2522" s="2"/>
      <c r="J2522" s="2"/>
      <c r="K2522" s="2"/>
    </row>
    <row r="2523" spans="4:11" x14ac:dyDescent="0.2">
      <c r="D2523" s="2"/>
      <c r="E2523" s="2"/>
      <c r="F2523" s="2"/>
      <c r="G2523" s="2"/>
      <c r="H2523" s="2"/>
      <c r="I2523" s="2"/>
      <c r="J2523" s="2"/>
      <c r="K2523" s="2"/>
    </row>
    <row r="2524" spans="4:11" x14ac:dyDescent="0.2">
      <c r="D2524" s="2"/>
      <c r="E2524" s="2"/>
      <c r="F2524" s="2"/>
      <c r="G2524" s="2"/>
      <c r="H2524" s="2"/>
      <c r="I2524" s="2"/>
      <c r="J2524" s="2"/>
      <c r="K2524" s="2"/>
    </row>
    <row r="2525" spans="4:11" x14ac:dyDescent="0.2">
      <c r="D2525" s="2"/>
      <c r="E2525" s="2"/>
      <c r="F2525" s="2"/>
      <c r="G2525" s="2"/>
      <c r="H2525" s="2"/>
      <c r="I2525" s="2"/>
      <c r="J2525" s="2"/>
      <c r="K2525" s="2"/>
    </row>
    <row r="2526" spans="4:11" x14ac:dyDescent="0.2">
      <c r="D2526" s="2"/>
      <c r="E2526" s="2"/>
      <c r="F2526" s="2"/>
      <c r="G2526" s="2"/>
      <c r="H2526" s="2"/>
      <c r="I2526" s="2"/>
      <c r="J2526" s="2"/>
      <c r="K2526" s="2"/>
    </row>
    <row r="2527" spans="4:11" x14ac:dyDescent="0.2">
      <c r="D2527" s="2"/>
      <c r="E2527" s="2"/>
      <c r="F2527" s="2"/>
      <c r="G2527" s="2"/>
      <c r="H2527" s="2"/>
      <c r="I2527" s="2"/>
      <c r="J2527" s="2"/>
      <c r="K2527" s="2"/>
    </row>
    <row r="2528" spans="4:11" x14ac:dyDescent="0.2">
      <c r="D2528" s="2"/>
      <c r="E2528" s="2"/>
      <c r="F2528" s="2"/>
      <c r="G2528" s="2"/>
      <c r="H2528" s="2"/>
      <c r="I2528" s="2"/>
      <c r="J2528" s="2"/>
      <c r="K2528" s="2"/>
    </row>
    <row r="2529" spans="4:11" x14ac:dyDescent="0.2">
      <c r="D2529" s="2"/>
      <c r="E2529" s="2"/>
      <c r="F2529" s="2"/>
      <c r="G2529" s="2"/>
      <c r="H2529" s="2"/>
      <c r="I2529" s="2"/>
      <c r="J2529" s="2"/>
      <c r="K2529" s="2"/>
    </row>
    <row r="2530" spans="4:11" x14ac:dyDescent="0.2">
      <c r="D2530" s="2"/>
      <c r="E2530" s="2"/>
      <c r="F2530" s="2"/>
      <c r="G2530" s="2"/>
      <c r="H2530" s="2"/>
      <c r="I2530" s="2"/>
      <c r="J2530" s="2"/>
      <c r="K2530" s="2"/>
    </row>
    <row r="2531" spans="4:11" x14ac:dyDescent="0.2">
      <c r="D2531" s="2"/>
      <c r="E2531" s="2"/>
      <c r="F2531" s="2"/>
      <c r="G2531" s="2"/>
      <c r="H2531" s="2"/>
      <c r="I2531" s="2"/>
      <c r="J2531" s="2"/>
      <c r="K2531" s="2"/>
    </row>
    <row r="2532" spans="4:11" x14ac:dyDescent="0.2">
      <c r="D2532" s="2"/>
      <c r="E2532" s="2"/>
      <c r="F2532" s="2"/>
      <c r="G2532" s="2"/>
      <c r="H2532" s="2"/>
      <c r="I2532" s="2"/>
      <c r="J2532" s="2"/>
      <c r="K2532" s="2"/>
    </row>
    <row r="2533" spans="4:11" x14ac:dyDescent="0.2">
      <c r="D2533" s="2"/>
      <c r="E2533" s="2"/>
      <c r="F2533" s="2"/>
      <c r="G2533" s="2"/>
      <c r="H2533" s="2"/>
      <c r="I2533" s="2"/>
      <c r="J2533" s="2"/>
      <c r="K2533" s="2"/>
    </row>
    <row r="2534" spans="4:11" x14ac:dyDescent="0.2">
      <c r="D2534" s="2"/>
      <c r="E2534" s="2"/>
      <c r="F2534" s="2"/>
      <c r="G2534" s="2"/>
      <c r="H2534" s="2"/>
      <c r="I2534" s="2"/>
      <c r="J2534" s="2"/>
      <c r="K2534" s="2"/>
    </row>
    <row r="2535" spans="4:11" x14ac:dyDescent="0.2">
      <c r="D2535" s="2"/>
      <c r="E2535" s="2"/>
      <c r="F2535" s="2"/>
      <c r="G2535" s="2"/>
      <c r="H2535" s="2"/>
      <c r="I2535" s="2"/>
      <c r="J2535" s="2"/>
      <c r="K2535" s="2"/>
    </row>
    <row r="2536" spans="4:11" x14ac:dyDescent="0.2">
      <c r="D2536" s="2"/>
      <c r="E2536" s="2"/>
      <c r="F2536" s="2"/>
      <c r="G2536" s="2"/>
      <c r="H2536" s="2"/>
      <c r="I2536" s="2"/>
      <c r="J2536" s="2"/>
      <c r="K2536" s="2"/>
    </row>
    <row r="2537" spans="4:11" x14ac:dyDescent="0.2">
      <c r="D2537" s="2"/>
      <c r="E2537" s="2"/>
      <c r="F2537" s="2"/>
      <c r="G2537" s="2"/>
      <c r="H2537" s="2"/>
      <c r="I2537" s="2"/>
      <c r="J2537" s="2"/>
      <c r="K2537" s="2"/>
    </row>
    <row r="2538" spans="4:11" x14ac:dyDescent="0.2">
      <c r="D2538" s="2"/>
      <c r="E2538" s="2"/>
      <c r="F2538" s="2"/>
      <c r="G2538" s="2"/>
      <c r="H2538" s="2"/>
      <c r="I2538" s="2"/>
      <c r="J2538" s="2"/>
      <c r="K2538" s="2"/>
    </row>
    <row r="2539" spans="4:11" x14ac:dyDescent="0.2">
      <c r="D2539" s="2"/>
      <c r="E2539" s="2"/>
      <c r="F2539" s="2"/>
      <c r="G2539" s="2"/>
      <c r="H2539" s="2"/>
      <c r="I2539" s="2"/>
      <c r="J2539" s="2"/>
      <c r="K2539" s="2"/>
    </row>
    <row r="2540" spans="4:11" x14ac:dyDescent="0.2">
      <c r="D2540" s="2"/>
      <c r="E2540" s="2"/>
      <c r="F2540" s="2"/>
      <c r="G2540" s="2"/>
      <c r="H2540" s="2"/>
      <c r="I2540" s="2"/>
      <c r="J2540" s="2"/>
      <c r="K2540" s="2"/>
    </row>
    <row r="2541" spans="4:11" x14ac:dyDescent="0.2">
      <c r="D2541" s="2"/>
      <c r="E2541" s="2"/>
      <c r="F2541" s="2"/>
      <c r="G2541" s="2"/>
      <c r="H2541" s="2"/>
      <c r="I2541" s="2"/>
      <c r="J2541" s="2"/>
      <c r="K2541" s="2"/>
    </row>
    <row r="2542" spans="4:11" x14ac:dyDescent="0.2">
      <c r="D2542" s="2"/>
      <c r="E2542" s="2"/>
      <c r="F2542" s="2"/>
      <c r="G2542" s="2"/>
      <c r="H2542" s="2"/>
      <c r="I2542" s="2"/>
      <c r="J2542" s="2"/>
      <c r="K2542" s="2"/>
    </row>
    <row r="2543" spans="4:11" x14ac:dyDescent="0.2">
      <c r="D2543" s="2"/>
      <c r="E2543" s="2"/>
      <c r="F2543" s="2"/>
      <c r="G2543" s="2"/>
      <c r="H2543" s="2"/>
      <c r="I2543" s="2"/>
      <c r="J2543" s="2"/>
      <c r="K2543" s="2"/>
    </row>
    <row r="2544" spans="4:11" x14ac:dyDescent="0.2">
      <c r="D2544" s="2"/>
      <c r="E2544" s="2"/>
      <c r="F2544" s="2"/>
      <c r="G2544" s="2"/>
      <c r="H2544" s="2"/>
      <c r="I2544" s="2"/>
      <c r="J2544" s="2"/>
      <c r="K2544" s="2"/>
    </row>
    <row r="2545" spans="4:11" x14ac:dyDescent="0.2">
      <c r="D2545" s="2"/>
      <c r="E2545" s="2"/>
      <c r="F2545" s="2"/>
      <c r="G2545" s="2"/>
      <c r="H2545" s="2"/>
      <c r="I2545" s="2"/>
      <c r="J2545" s="2"/>
      <c r="K2545" s="2"/>
    </row>
    <row r="2546" spans="4:11" x14ac:dyDescent="0.2">
      <c r="D2546" s="2"/>
      <c r="E2546" s="2"/>
      <c r="F2546" s="2"/>
      <c r="G2546" s="2"/>
      <c r="H2546" s="2"/>
      <c r="I2546" s="2"/>
      <c r="J2546" s="2"/>
      <c r="K2546" s="2"/>
    </row>
    <row r="2547" spans="4:11" x14ac:dyDescent="0.2">
      <c r="D2547" s="2"/>
      <c r="E2547" s="2"/>
      <c r="F2547" s="2"/>
      <c r="G2547" s="2"/>
      <c r="H2547" s="2"/>
      <c r="I2547" s="2"/>
      <c r="J2547" s="2"/>
      <c r="K2547" s="2"/>
    </row>
    <row r="2548" spans="4:11" x14ac:dyDescent="0.2">
      <c r="D2548" s="2"/>
      <c r="E2548" s="2"/>
      <c r="F2548" s="2"/>
      <c r="G2548" s="2"/>
      <c r="H2548" s="2"/>
      <c r="I2548" s="2"/>
      <c r="J2548" s="2"/>
      <c r="K2548" s="2"/>
    </row>
    <row r="2549" spans="4:11" x14ac:dyDescent="0.2">
      <c r="D2549" s="2"/>
      <c r="E2549" s="2"/>
      <c r="F2549" s="2"/>
      <c r="G2549" s="2"/>
      <c r="H2549" s="2"/>
      <c r="I2549" s="2"/>
      <c r="J2549" s="2"/>
      <c r="K2549" s="2"/>
    </row>
    <row r="2550" spans="4:11" x14ac:dyDescent="0.2">
      <c r="D2550" s="2"/>
      <c r="E2550" s="2"/>
      <c r="F2550" s="2"/>
      <c r="G2550" s="2"/>
      <c r="H2550" s="2"/>
      <c r="I2550" s="2"/>
      <c r="J2550" s="2"/>
      <c r="K2550" s="2"/>
    </row>
    <row r="2551" spans="4:11" x14ac:dyDescent="0.2">
      <c r="D2551" s="2"/>
      <c r="E2551" s="2"/>
      <c r="F2551" s="2"/>
      <c r="G2551" s="2"/>
      <c r="H2551" s="2"/>
      <c r="I2551" s="2"/>
      <c r="J2551" s="2"/>
      <c r="K2551" s="2"/>
    </row>
    <row r="2552" spans="4:11" x14ac:dyDescent="0.2">
      <c r="D2552" s="2"/>
      <c r="E2552" s="2"/>
      <c r="F2552" s="2"/>
      <c r="G2552" s="2"/>
      <c r="H2552" s="2"/>
      <c r="I2552" s="2"/>
      <c r="J2552" s="2"/>
      <c r="K2552" s="2"/>
    </row>
    <row r="2553" spans="4:11" x14ac:dyDescent="0.2">
      <c r="D2553" s="2"/>
      <c r="E2553" s="2"/>
      <c r="F2553" s="2"/>
      <c r="G2553" s="2"/>
      <c r="H2553" s="2"/>
      <c r="I2553" s="2"/>
      <c r="J2553" s="2"/>
      <c r="K2553" s="2"/>
    </row>
    <row r="2554" spans="4:11" x14ac:dyDescent="0.2">
      <c r="D2554" s="2"/>
      <c r="E2554" s="2"/>
      <c r="F2554" s="2"/>
      <c r="G2554" s="2"/>
      <c r="H2554" s="2"/>
      <c r="I2554" s="2"/>
      <c r="J2554" s="2"/>
      <c r="K2554" s="2"/>
    </row>
    <row r="2555" spans="4:11" x14ac:dyDescent="0.2">
      <c r="D2555" s="2"/>
      <c r="E2555" s="2"/>
      <c r="F2555" s="2"/>
      <c r="G2555" s="2"/>
      <c r="H2555" s="2"/>
      <c r="I2555" s="2"/>
      <c r="J2555" s="2"/>
      <c r="K2555" s="2"/>
    </row>
    <row r="2556" spans="4:11" x14ac:dyDescent="0.2">
      <c r="D2556" s="2"/>
      <c r="E2556" s="2"/>
      <c r="F2556" s="2"/>
      <c r="G2556" s="2"/>
      <c r="H2556" s="2"/>
      <c r="I2556" s="2"/>
      <c r="J2556" s="2"/>
      <c r="K2556" s="2"/>
    </row>
    <row r="2557" spans="4:11" x14ac:dyDescent="0.2">
      <c r="D2557" s="2"/>
      <c r="E2557" s="2"/>
      <c r="F2557" s="2"/>
      <c r="G2557" s="2"/>
      <c r="H2557" s="2"/>
      <c r="I2557" s="2"/>
      <c r="J2557" s="2"/>
      <c r="K2557" s="2"/>
    </row>
    <row r="2558" spans="4:11" x14ac:dyDescent="0.2">
      <c r="D2558" s="2"/>
      <c r="E2558" s="2"/>
      <c r="F2558" s="2"/>
      <c r="G2558" s="2"/>
      <c r="H2558" s="2"/>
      <c r="I2558" s="2"/>
      <c r="J2558" s="2"/>
      <c r="K2558" s="2"/>
    </row>
    <row r="2559" spans="4:11" x14ac:dyDescent="0.2">
      <c r="D2559" s="2"/>
      <c r="E2559" s="2"/>
      <c r="F2559" s="2"/>
      <c r="G2559" s="2"/>
      <c r="H2559" s="2"/>
      <c r="I2559" s="2"/>
      <c r="J2559" s="2"/>
      <c r="K2559" s="2"/>
    </row>
    <row r="2560" spans="4:11" x14ac:dyDescent="0.2">
      <c r="D2560" s="2"/>
      <c r="E2560" s="2"/>
      <c r="F2560" s="2"/>
      <c r="G2560" s="2"/>
      <c r="H2560" s="2"/>
      <c r="I2560" s="2"/>
      <c r="J2560" s="2"/>
      <c r="K2560" s="2"/>
    </row>
    <row r="2561" spans="4:11" x14ac:dyDescent="0.2">
      <c r="D2561" s="2"/>
      <c r="E2561" s="2"/>
      <c r="F2561" s="2"/>
      <c r="G2561" s="2"/>
      <c r="H2561" s="2"/>
      <c r="I2561" s="2"/>
      <c r="J2561" s="2"/>
      <c r="K2561" s="2"/>
    </row>
    <row r="2562" spans="4:11" x14ac:dyDescent="0.2">
      <c r="D2562" s="2"/>
      <c r="E2562" s="2"/>
      <c r="F2562" s="2"/>
      <c r="G2562" s="2"/>
      <c r="H2562" s="2"/>
      <c r="I2562" s="2"/>
      <c r="J2562" s="2"/>
      <c r="K2562" s="2"/>
    </row>
    <row r="2563" spans="4:11" x14ac:dyDescent="0.2">
      <c r="D2563" s="2"/>
      <c r="E2563" s="2"/>
      <c r="F2563" s="2"/>
      <c r="G2563" s="2"/>
      <c r="H2563" s="2"/>
      <c r="I2563" s="2"/>
      <c r="J2563" s="2"/>
      <c r="K2563" s="2"/>
    </row>
    <row r="2564" spans="4:11" x14ac:dyDescent="0.2">
      <c r="D2564" s="2"/>
      <c r="E2564" s="2"/>
      <c r="F2564" s="2"/>
      <c r="G2564" s="2"/>
      <c r="H2564" s="2"/>
      <c r="I2564" s="2"/>
      <c r="J2564" s="2"/>
      <c r="K2564" s="2"/>
    </row>
    <row r="2565" spans="4:11" x14ac:dyDescent="0.2">
      <c r="D2565" s="2"/>
      <c r="E2565" s="2"/>
      <c r="F2565" s="2"/>
      <c r="G2565" s="2"/>
      <c r="H2565" s="2"/>
      <c r="I2565" s="2"/>
      <c r="J2565" s="2"/>
      <c r="K2565" s="2"/>
    </row>
    <row r="2566" spans="4:11" x14ac:dyDescent="0.2">
      <c r="D2566" s="2"/>
      <c r="E2566" s="2"/>
      <c r="F2566" s="2"/>
      <c r="G2566" s="2"/>
      <c r="H2566" s="2"/>
      <c r="I2566" s="2"/>
      <c r="J2566" s="2"/>
      <c r="K2566" s="2"/>
    </row>
    <row r="2567" spans="4:11" x14ac:dyDescent="0.2">
      <c r="D2567" s="2"/>
      <c r="E2567" s="2"/>
      <c r="F2567" s="2"/>
      <c r="G2567" s="2"/>
      <c r="H2567" s="2"/>
      <c r="I2567" s="2"/>
      <c r="J2567" s="2"/>
      <c r="K2567" s="2"/>
    </row>
    <row r="2568" spans="4:11" x14ac:dyDescent="0.2">
      <c r="D2568" s="2"/>
      <c r="E2568" s="2"/>
      <c r="F2568" s="2"/>
      <c r="G2568" s="2"/>
      <c r="H2568" s="2"/>
      <c r="I2568" s="2"/>
      <c r="J2568" s="2"/>
      <c r="K2568" s="2"/>
    </row>
    <row r="2569" spans="4:11" x14ac:dyDescent="0.2">
      <c r="D2569" s="2"/>
      <c r="E2569" s="2"/>
      <c r="F2569" s="2"/>
      <c r="G2569" s="2"/>
      <c r="H2569" s="2"/>
      <c r="I2569" s="2"/>
      <c r="J2569" s="2"/>
      <c r="K2569" s="2"/>
    </row>
    <row r="2570" spans="4:11" x14ac:dyDescent="0.2">
      <c r="D2570" s="2"/>
      <c r="E2570" s="2"/>
      <c r="F2570" s="2"/>
      <c r="G2570" s="2"/>
      <c r="H2570" s="2"/>
      <c r="I2570" s="2"/>
      <c r="J2570" s="2"/>
      <c r="K2570" s="2"/>
    </row>
    <row r="2571" spans="4:11" x14ac:dyDescent="0.2">
      <c r="D2571" s="2"/>
      <c r="E2571" s="2"/>
      <c r="F2571" s="2"/>
      <c r="G2571" s="2"/>
      <c r="H2571" s="2"/>
      <c r="I2571" s="2"/>
      <c r="J2571" s="2"/>
      <c r="K2571" s="2"/>
    </row>
    <row r="2572" spans="4:11" x14ac:dyDescent="0.2">
      <c r="D2572" s="2"/>
      <c r="E2572" s="2"/>
      <c r="F2572" s="2"/>
      <c r="G2572" s="2"/>
      <c r="H2572" s="2"/>
      <c r="I2572" s="2"/>
      <c r="J2572" s="2"/>
      <c r="K2572" s="2"/>
    </row>
    <row r="2573" spans="4:11" x14ac:dyDescent="0.2">
      <c r="D2573" s="2"/>
      <c r="E2573" s="2"/>
      <c r="F2573" s="2"/>
      <c r="G2573" s="2"/>
      <c r="H2573" s="2"/>
      <c r="I2573" s="2"/>
      <c r="J2573" s="2"/>
      <c r="K2573" s="2"/>
    </row>
    <row r="2574" spans="4:11" x14ac:dyDescent="0.2">
      <c r="D2574" s="2"/>
      <c r="E2574" s="2"/>
      <c r="F2574" s="2"/>
      <c r="G2574" s="2"/>
      <c r="H2574" s="2"/>
      <c r="I2574" s="2"/>
      <c r="J2574" s="2"/>
      <c r="K2574" s="2"/>
    </row>
    <row r="2575" spans="4:11" x14ac:dyDescent="0.2">
      <c r="D2575" s="2"/>
      <c r="E2575" s="2"/>
      <c r="F2575" s="2"/>
      <c r="G2575" s="2"/>
      <c r="H2575" s="2"/>
      <c r="I2575" s="2"/>
      <c r="J2575" s="2"/>
      <c r="K2575" s="2"/>
    </row>
    <row r="2576" spans="4:11" x14ac:dyDescent="0.2">
      <c r="D2576" s="2"/>
      <c r="E2576" s="2"/>
      <c r="F2576" s="2"/>
      <c r="G2576" s="2"/>
      <c r="H2576" s="2"/>
      <c r="I2576" s="2"/>
      <c r="J2576" s="2"/>
      <c r="K2576" s="2"/>
    </row>
    <row r="2577" spans="4:11" x14ac:dyDescent="0.2">
      <c r="D2577" s="2"/>
      <c r="E2577" s="2"/>
      <c r="F2577" s="2"/>
      <c r="G2577" s="2"/>
      <c r="H2577" s="2"/>
      <c r="I2577" s="2"/>
      <c r="J2577" s="2"/>
      <c r="K2577" s="2"/>
    </row>
    <row r="2578" spans="4:11" x14ac:dyDescent="0.2">
      <c r="D2578" s="2"/>
      <c r="E2578" s="2"/>
      <c r="F2578" s="2"/>
      <c r="G2578" s="2"/>
      <c r="H2578" s="2"/>
      <c r="I2578" s="2"/>
      <c r="J2578" s="2"/>
      <c r="K2578" s="2"/>
    </row>
    <row r="2579" spans="4:11" x14ac:dyDescent="0.2">
      <c r="D2579" s="2"/>
      <c r="E2579" s="2"/>
      <c r="F2579" s="2"/>
      <c r="G2579" s="2"/>
      <c r="H2579" s="2"/>
      <c r="I2579" s="2"/>
      <c r="J2579" s="2"/>
      <c r="K2579" s="2"/>
    </row>
    <row r="2580" spans="4:11" x14ac:dyDescent="0.2">
      <c r="D2580" s="2"/>
      <c r="E2580" s="2"/>
      <c r="F2580" s="2"/>
      <c r="G2580" s="2"/>
      <c r="H2580" s="2"/>
      <c r="I2580" s="2"/>
      <c r="J2580" s="2"/>
      <c r="K2580" s="2"/>
    </row>
    <row r="2581" spans="4:11" x14ac:dyDescent="0.2">
      <c r="D2581" s="2"/>
      <c r="E2581" s="2"/>
      <c r="F2581" s="2"/>
      <c r="G2581" s="2"/>
      <c r="H2581" s="2"/>
      <c r="I2581" s="2"/>
      <c r="J2581" s="2"/>
      <c r="K2581" s="2"/>
    </row>
    <row r="2582" spans="4:11" x14ac:dyDescent="0.2">
      <c r="D2582" s="2"/>
      <c r="E2582" s="2"/>
      <c r="F2582" s="2"/>
      <c r="G2582" s="2"/>
      <c r="H2582" s="2"/>
      <c r="I2582" s="2"/>
      <c r="J2582" s="2"/>
      <c r="K2582" s="2"/>
    </row>
    <row r="2583" spans="4:11" x14ac:dyDescent="0.2">
      <c r="D2583" s="2"/>
      <c r="E2583" s="2"/>
      <c r="F2583" s="2"/>
      <c r="G2583" s="2"/>
      <c r="H2583" s="2"/>
      <c r="I2583" s="2"/>
      <c r="J2583" s="2"/>
      <c r="K2583" s="2"/>
    </row>
    <row r="2584" spans="4:11" x14ac:dyDescent="0.2">
      <c r="D2584" s="2"/>
      <c r="E2584" s="2"/>
      <c r="F2584" s="2"/>
      <c r="G2584" s="2"/>
      <c r="H2584" s="2"/>
      <c r="I2584" s="2"/>
      <c r="J2584" s="2"/>
      <c r="K2584" s="2"/>
    </row>
    <row r="2585" spans="4:11" x14ac:dyDescent="0.2">
      <c r="D2585" s="2"/>
      <c r="E2585" s="2"/>
      <c r="F2585" s="2"/>
      <c r="G2585" s="2"/>
      <c r="H2585" s="2"/>
      <c r="I2585" s="2"/>
      <c r="J2585" s="2"/>
      <c r="K2585" s="2"/>
    </row>
    <row r="2586" spans="4:11" x14ac:dyDescent="0.2">
      <c r="D2586" s="2"/>
      <c r="E2586" s="2"/>
      <c r="F2586" s="2"/>
      <c r="G2586" s="2"/>
      <c r="H2586" s="2"/>
      <c r="I2586" s="2"/>
      <c r="J2586" s="2"/>
      <c r="K2586" s="2"/>
    </row>
    <row r="2587" spans="4:11" x14ac:dyDescent="0.2">
      <c r="D2587" s="2"/>
      <c r="E2587" s="2"/>
      <c r="F2587" s="2"/>
      <c r="G2587" s="2"/>
      <c r="H2587" s="2"/>
      <c r="I2587" s="2"/>
      <c r="J2587" s="2"/>
      <c r="K2587" s="2"/>
    </row>
    <row r="2588" spans="4:11" x14ac:dyDescent="0.2">
      <c r="D2588" s="2"/>
      <c r="E2588" s="2"/>
      <c r="F2588" s="2"/>
      <c r="G2588" s="2"/>
      <c r="H2588" s="2"/>
      <c r="I2588" s="2"/>
      <c r="J2588" s="2"/>
      <c r="K2588" s="2"/>
    </row>
    <row r="2589" spans="4:11" x14ac:dyDescent="0.2">
      <c r="D2589" s="2"/>
      <c r="E2589" s="2"/>
      <c r="F2589" s="2"/>
      <c r="G2589" s="2"/>
      <c r="H2589" s="2"/>
      <c r="I2589" s="2"/>
      <c r="J2589" s="2"/>
      <c r="K2589" s="2"/>
    </row>
    <row r="2590" spans="4:11" x14ac:dyDescent="0.2">
      <c r="D2590" s="2"/>
      <c r="E2590" s="2"/>
      <c r="F2590" s="2"/>
      <c r="G2590" s="2"/>
      <c r="H2590" s="2"/>
      <c r="I2590" s="2"/>
      <c r="J2590" s="2"/>
      <c r="K2590" s="2"/>
    </row>
    <row r="2591" spans="4:11" x14ac:dyDescent="0.2">
      <c r="D2591" s="2"/>
      <c r="E2591" s="2"/>
      <c r="F2591" s="2"/>
      <c r="G2591" s="2"/>
      <c r="H2591" s="2"/>
      <c r="I2591" s="2"/>
      <c r="J2591" s="2"/>
      <c r="K2591" s="2"/>
    </row>
    <row r="2592" spans="4:11" x14ac:dyDescent="0.2">
      <c r="D2592" s="2"/>
      <c r="E2592" s="2"/>
      <c r="F2592" s="2"/>
      <c r="G2592" s="2"/>
      <c r="H2592" s="2"/>
      <c r="I2592" s="2"/>
      <c r="J2592" s="2"/>
      <c r="K2592" s="2"/>
    </row>
    <row r="2593" spans="4:11" x14ac:dyDescent="0.2">
      <c r="D2593" s="2"/>
      <c r="E2593" s="2"/>
      <c r="F2593" s="2"/>
      <c r="G2593" s="2"/>
      <c r="H2593" s="2"/>
      <c r="I2593" s="2"/>
      <c r="J2593" s="2"/>
      <c r="K2593" s="2"/>
    </row>
    <row r="2594" spans="4:11" x14ac:dyDescent="0.2">
      <c r="D2594" s="2"/>
      <c r="E2594" s="2"/>
      <c r="F2594" s="2"/>
      <c r="G2594" s="2"/>
      <c r="H2594" s="2"/>
      <c r="I2594" s="2"/>
      <c r="J2594" s="2"/>
      <c r="K2594" s="2"/>
    </row>
    <row r="2595" spans="4:11" x14ac:dyDescent="0.2">
      <c r="D2595" s="2"/>
      <c r="E2595" s="2"/>
      <c r="F2595" s="2"/>
      <c r="G2595" s="2"/>
      <c r="H2595" s="2"/>
      <c r="I2595" s="2"/>
      <c r="J2595" s="2"/>
      <c r="K2595" s="2"/>
    </row>
    <row r="2596" spans="4:11" x14ac:dyDescent="0.2">
      <c r="D2596" s="2"/>
      <c r="E2596" s="2"/>
      <c r="F2596" s="2"/>
      <c r="G2596" s="2"/>
      <c r="H2596" s="2"/>
      <c r="I2596" s="2"/>
      <c r="J2596" s="2"/>
      <c r="K2596" s="2"/>
    </row>
    <row r="2597" spans="4:11" x14ac:dyDescent="0.2">
      <c r="D2597" s="2"/>
      <c r="E2597" s="2"/>
      <c r="F2597" s="2"/>
      <c r="G2597" s="2"/>
      <c r="H2597" s="2"/>
      <c r="I2597" s="2"/>
      <c r="J2597" s="2"/>
      <c r="K2597" s="2"/>
    </row>
    <row r="2598" spans="4:11" x14ac:dyDescent="0.2">
      <c r="D2598" s="2"/>
      <c r="E2598" s="2"/>
      <c r="F2598" s="2"/>
      <c r="G2598" s="2"/>
      <c r="H2598" s="2"/>
      <c r="I2598" s="2"/>
      <c r="J2598" s="2"/>
      <c r="K2598" s="2"/>
    </row>
    <row r="2599" spans="4:11" x14ac:dyDescent="0.2">
      <c r="D2599" s="2"/>
      <c r="E2599" s="2"/>
      <c r="F2599" s="2"/>
      <c r="G2599" s="2"/>
      <c r="H2599" s="2"/>
      <c r="I2599" s="2"/>
      <c r="J2599" s="2"/>
      <c r="K2599" s="2"/>
    </row>
    <row r="2600" spans="4:11" x14ac:dyDescent="0.2">
      <c r="D2600" s="2"/>
      <c r="E2600" s="2"/>
      <c r="F2600" s="2"/>
      <c r="G2600" s="2"/>
      <c r="H2600" s="2"/>
      <c r="I2600" s="2"/>
      <c r="J2600" s="2"/>
      <c r="K2600" s="2"/>
    </row>
    <row r="2601" spans="4:11" x14ac:dyDescent="0.2">
      <c r="D2601" s="2"/>
      <c r="E2601" s="2"/>
      <c r="F2601" s="2"/>
      <c r="G2601" s="2"/>
      <c r="H2601" s="2"/>
      <c r="I2601" s="2"/>
      <c r="J2601" s="2"/>
      <c r="K2601" s="2"/>
    </row>
    <row r="2602" spans="4:11" x14ac:dyDescent="0.2">
      <c r="D2602" s="2"/>
      <c r="E2602" s="2"/>
      <c r="F2602" s="2"/>
      <c r="G2602" s="2"/>
      <c r="H2602" s="2"/>
      <c r="I2602" s="2"/>
      <c r="J2602" s="2"/>
      <c r="K2602" s="2"/>
    </row>
    <row r="2603" spans="4:11" x14ac:dyDescent="0.2">
      <c r="D2603" s="2"/>
      <c r="E2603" s="2"/>
      <c r="F2603" s="2"/>
      <c r="G2603" s="2"/>
      <c r="H2603" s="2"/>
      <c r="I2603" s="2"/>
      <c r="J2603" s="2"/>
      <c r="K2603" s="2"/>
    </row>
    <row r="2604" spans="4:11" x14ac:dyDescent="0.2">
      <c r="D2604" s="2"/>
      <c r="E2604" s="2"/>
      <c r="F2604" s="2"/>
      <c r="G2604" s="2"/>
      <c r="H2604" s="2"/>
      <c r="I2604" s="2"/>
      <c r="J2604" s="2"/>
      <c r="K2604" s="2"/>
    </row>
    <row r="2605" spans="4:11" x14ac:dyDescent="0.2">
      <c r="D2605" s="2"/>
      <c r="E2605" s="2"/>
      <c r="F2605" s="2"/>
      <c r="G2605" s="2"/>
      <c r="H2605" s="2"/>
      <c r="I2605" s="2"/>
      <c r="J2605" s="2"/>
      <c r="K2605" s="2"/>
    </row>
    <row r="2606" spans="4:11" x14ac:dyDescent="0.2">
      <c r="D2606" s="2"/>
      <c r="E2606" s="2"/>
      <c r="F2606" s="2"/>
      <c r="G2606" s="2"/>
      <c r="H2606" s="2"/>
      <c r="I2606" s="2"/>
      <c r="J2606" s="2"/>
      <c r="K2606" s="2"/>
    </row>
    <row r="2607" spans="4:11" x14ac:dyDescent="0.2">
      <c r="D2607" s="2"/>
      <c r="E2607" s="2"/>
      <c r="F2607" s="2"/>
      <c r="G2607" s="2"/>
      <c r="H2607" s="2"/>
      <c r="I2607" s="2"/>
      <c r="J2607" s="2"/>
      <c r="K2607" s="2"/>
    </row>
    <row r="2608" spans="4:11" x14ac:dyDescent="0.2">
      <c r="D2608" s="2"/>
      <c r="E2608" s="2"/>
      <c r="F2608" s="2"/>
      <c r="G2608" s="2"/>
      <c r="H2608" s="2"/>
      <c r="I2608" s="2"/>
      <c r="J2608" s="2"/>
      <c r="K2608" s="2"/>
    </row>
    <row r="2609" spans="4:11" x14ac:dyDescent="0.2">
      <c r="D2609" s="2"/>
      <c r="E2609" s="2"/>
      <c r="F2609" s="2"/>
      <c r="G2609" s="2"/>
      <c r="H2609" s="2"/>
      <c r="I2609" s="2"/>
      <c r="J2609" s="2"/>
      <c r="K2609" s="2"/>
    </row>
    <row r="2610" spans="4:11" x14ac:dyDescent="0.2">
      <c r="D2610" s="2"/>
      <c r="E2610" s="2"/>
      <c r="F2610" s="2"/>
      <c r="G2610" s="2"/>
      <c r="H2610" s="2"/>
      <c r="I2610" s="2"/>
      <c r="J2610" s="2"/>
      <c r="K2610" s="2"/>
    </row>
    <row r="2611" spans="4:11" x14ac:dyDescent="0.2">
      <c r="D2611" s="2"/>
      <c r="E2611" s="2"/>
      <c r="F2611" s="2"/>
      <c r="G2611" s="2"/>
      <c r="H2611" s="2"/>
      <c r="I2611" s="2"/>
      <c r="J2611" s="2"/>
      <c r="K2611" s="2"/>
    </row>
    <row r="2612" spans="4:11" x14ac:dyDescent="0.2">
      <c r="D2612" s="2"/>
      <c r="E2612" s="2"/>
      <c r="F2612" s="2"/>
      <c r="G2612" s="2"/>
      <c r="H2612" s="2"/>
      <c r="I2612" s="2"/>
      <c r="J2612" s="2"/>
      <c r="K2612" s="2"/>
    </row>
    <row r="2613" spans="4:11" x14ac:dyDescent="0.2">
      <c r="D2613" s="2"/>
      <c r="E2613" s="2"/>
      <c r="F2613" s="2"/>
      <c r="G2613" s="2"/>
      <c r="H2613" s="2"/>
      <c r="I2613" s="2"/>
      <c r="J2613" s="2"/>
      <c r="K2613" s="2"/>
    </row>
    <row r="2614" spans="4:11" x14ac:dyDescent="0.2">
      <c r="D2614" s="2"/>
      <c r="E2614" s="2"/>
      <c r="F2614" s="2"/>
      <c r="G2614" s="2"/>
      <c r="H2614" s="2"/>
      <c r="I2614" s="2"/>
      <c r="J2614" s="2"/>
      <c r="K2614" s="2"/>
    </row>
    <row r="2615" spans="4:11" x14ac:dyDescent="0.2">
      <c r="D2615" s="2"/>
      <c r="E2615" s="2"/>
      <c r="F2615" s="2"/>
      <c r="G2615" s="2"/>
      <c r="H2615" s="2"/>
      <c r="I2615" s="2"/>
      <c r="J2615" s="2"/>
      <c r="K2615" s="2"/>
    </row>
    <row r="2616" spans="4:11" x14ac:dyDescent="0.2">
      <c r="D2616" s="2"/>
      <c r="E2616" s="2"/>
      <c r="F2616" s="2"/>
      <c r="G2616" s="2"/>
      <c r="H2616" s="2"/>
      <c r="I2616" s="2"/>
      <c r="J2616" s="2"/>
      <c r="K2616" s="2"/>
    </row>
    <row r="2617" spans="4:11" x14ac:dyDescent="0.2">
      <c r="D2617" s="2"/>
      <c r="E2617" s="2"/>
      <c r="F2617" s="2"/>
      <c r="G2617" s="2"/>
      <c r="H2617" s="2"/>
      <c r="I2617" s="2"/>
      <c r="J2617" s="2"/>
      <c r="K2617" s="2"/>
    </row>
    <row r="2618" spans="4:11" x14ac:dyDescent="0.2">
      <c r="D2618" s="2"/>
      <c r="E2618" s="2"/>
      <c r="F2618" s="2"/>
      <c r="G2618" s="2"/>
      <c r="H2618" s="2"/>
      <c r="I2618" s="2"/>
      <c r="J2618" s="2"/>
      <c r="K2618" s="2"/>
    </row>
    <row r="2619" spans="4:11" x14ac:dyDescent="0.2">
      <c r="D2619" s="2"/>
      <c r="E2619" s="2"/>
      <c r="F2619" s="2"/>
      <c r="G2619" s="2"/>
      <c r="H2619" s="2"/>
      <c r="I2619" s="2"/>
      <c r="J2619" s="2"/>
      <c r="K2619" s="2"/>
    </row>
    <row r="2620" spans="4:11" x14ac:dyDescent="0.2">
      <c r="D2620" s="2"/>
      <c r="E2620" s="2"/>
      <c r="F2620" s="2"/>
      <c r="G2620" s="2"/>
      <c r="H2620" s="2"/>
      <c r="I2620" s="2"/>
      <c r="J2620" s="2"/>
      <c r="K2620" s="2"/>
    </row>
    <row r="2621" spans="4:11" x14ac:dyDescent="0.2">
      <c r="D2621" s="2"/>
      <c r="E2621" s="2"/>
      <c r="F2621" s="2"/>
      <c r="G2621" s="2"/>
      <c r="H2621" s="2"/>
      <c r="I2621" s="2"/>
      <c r="J2621" s="2"/>
      <c r="K2621" s="2"/>
    </row>
    <row r="2622" spans="4:11" x14ac:dyDescent="0.2">
      <c r="D2622" s="2"/>
      <c r="E2622" s="2"/>
      <c r="F2622" s="2"/>
      <c r="G2622" s="2"/>
      <c r="H2622" s="2"/>
      <c r="I2622" s="2"/>
      <c r="J2622" s="2"/>
      <c r="K2622" s="2"/>
    </row>
    <row r="2623" spans="4:11" x14ac:dyDescent="0.2">
      <c r="D2623" s="2"/>
      <c r="E2623" s="2"/>
      <c r="F2623" s="2"/>
      <c r="G2623" s="2"/>
      <c r="H2623" s="2"/>
      <c r="I2623" s="2"/>
      <c r="J2623" s="2"/>
      <c r="K2623" s="2"/>
    </row>
    <row r="2624" spans="4:11" x14ac:dyDescent="0.2">
      <c r="D2624" s="2"/>
      <c r="E2624" s="2"/>
      <c r="F2624" s="2"/>
      <c r="G2624" s="2"/>
      <c r="H2624" s="2"/>
      <c r="I2624" s="2"/>
      <c r="J2624" s="2"/>
      <c r="K2624" s="2"/>
    </row>
    <row r="2625" spans="4:11" x14ac:dyDescent="0.2">
      <c r="D2625" s="2"/>
      <c r="E2625" s="2"/>
      <c r="F2625" s="2"/>
      <c r="G2625" s="2"/>
      <c r="H2625" s="2"/>
      <c r="I2625" s="2"/>
      <c r="J2625" s="2"/>
      <c r="K2625" s="2"/>
    </row>
    <row r="2626" spans="4:11" x14ac:dyDescent="0.2">
      <c r="D2626" s="2"/>
      <c r="E2626" s="2"/>
      <c r="F2626" s="2"/>
      <c r="G2626" s="2"/>
      <c r="H2626" s="2"/>
      <c r="I2626" s="2"/>
      <c r="J2626" s="2"/>
      <c r="K2626" s="2"/>
    </row>
    <row r="2627" spans="4:11" x14ac:dyDescent="0.2">
      <c r="D2627" s="2"/>
      <c r="E2627" s="2"/>
      <c r="F2627" s="2"/>
      <c r="G2627" s="2"/>
      <c r="H2627" s="2"/>
      <c r="I2627" s="2"/>
      <c r="J2627" s="2"/>
      <c r="K2627" s="2"/>
    </row>
    <row r="2628" spans="4:11" x14ac:dyDescent="0.2">
      <c r="D2628" s="2"/>
      <c r="E2628" s="2"/>
      <c r="F2628" s="2"/>
      <c r="G2628" s="2"/>
      <c r="H2628" s="2"/>
      <c r="I2628" s="2"/>
      <c r="J2628" s="2"/>
      <c r="K2628" s="2"/>
    </row>
    <row r="2629" spans="4:11" x14ac:dyDescent="0.2">
      <c r="D2629" s="2"/>
      <c r="E2629" s="2"/>
      <c r="F2629" s="2"/>
      <c r="G2629" s="2"/>
      <c r="H2629" s="2"/>
      <c r="I2629" s="2"/>
      <c r="J2629" s="2"/>
      <c r="K2629" s="2"/>
    </row>
    <row r="2630" spans="4:11" x14ac:dyDescent="0.2">
      <c r="D2630" s="2"/>
      <c r="E2630" s="2"/>
      <c r="F2630" s="2"/>
      <c r="G2630" s="2"/>
      <c r="H2630" s="2"/>
      <c r="I2630" s="2"/>
      <c r="J2630" s="2"/>
      <c r="K2630" s="2"/>
    </row>
    <row r="2631" spans="4:11" x14ac:dyDescent="0.2">
      <c r="D2631" s="2"/>
      <c r="E2631" s="2"/>
      <c r="F2631" s="2"/>
      <c r="G2631" s="2"/>
      <c r="H2631" s="2"/>
      <c r="I2631" s="2"/>
      <c r="J2631" s="2"/>
      <c r="K2631" s="2"/>
    </row>
    <row r="2632" spans="4:11" x14ac:dyDescent="0.2">
      <c r="D2632" s="2"/>
      <c r="E2632" s="2"/>
      <c r="F2632" s="2"/>
      <c r="G2632" s="2"/>
      <c r="H2632" s="2"/>
      <c r="I2632" s="2"/>
      <c r="J2632" s="2"/>
      <c r="K2632" s="2"/>
    </row>
    <row r="2633" spans="4:11" x14ac:dyDescent="0.2">
      <c r="D2633" s="2"/>
      <c r="E2633" s="2"/>
      <c r="F2633" s="2"/>
      <c r="G2633" s="2"/>
      <c r="H2633" s="2"/>
      <c r="I2633" s="2"/>
      <c r="J2633" s="2"/>
      <c r="K2633" s="2"/>
    </row>
    <row r="2634" spans="4:11" x14ac:dyDescent="0.2">
      <c r="D2634" s="2"/>
      <c r="E2634" s="2"/>
      <c r="F2634" s="2"/>
      <c r="G2634" s="2"/>
      <c r="H2634" s="2"/>
      <c r="I2634" s="2"/>
      <c r="J2634" s="2"/>
      <c r="K2634" s="2"/>
    </row>
    <row r="2635" spans="4:11" x14ac:dyDescent="0.2">
      <c r="D2635" s="2"/>
      <c r="E2635" s="2"/>
      <c r="F2635" s="2"/>
      <c r="G2635" s="2"/>
      <c r="H2635" s="2"/>
      <c r="I2635" s="2"/>
      <c r="J2635" s="2"/>
      <c r="K2635" s="2"/>
    </row>
    <row r="2636" spans="4:11" x14ac:dyDescent="0.2">
      <c r="D2636" s="2"/>
      <c r="E2636" s="2"/>
      <c r="F2636" s="2"/>
      <c r="G2636" s="2"/>
      <c r="H2636" s="2"/>
      <c r="I2636" s="2"/>
      <c r="J2636" s="2"/>
      <c r="K2636" s="2"/>
    </row>
    <row r="2637" spans="4:11" x14ac:dyDescent="0.2">
      <c r="D2637" s="2"/>
      <c r="E2637" s="2"/>
      <c r="F2637" s="2"/>
      <c r="G2637" s="2"/>
      <c r="H2637" s="2"/>
      <c r="I2637" s="2"/>
      <c r="J2637" s="2"/>
      <c r="K2637" s="2"/>
    </row>
    <row r="2638" spans="4:11" x14ac:dyDescent="0.2">
      <c r="D2638" s="2"/>
      <c r="E2638" s="2"/>
      <c r="F2638" s="2"/>
      <c r="G2638" s="2"/>
      <c r="H2638" s="2"/>
      <c r="I2638" s="2"/>
      <c r="J2638" s="2"/>
      <c r="K2638" s="2"/>
    </row>
    <row r="2639" spans="4:11" x14ac:dyDescent="0.2">
      <c r="D2639" s="2"/>
      <c r="E2639" s="2"/>
      <c r="F2639" s="2"/>
      <c r="G2639" s="2"/>
      <c r="H2639" s="2"/>
      <c r="I2639" s="2"/>
      <c r="J2639" s="2"/>
      <c r="K2639" s="2"/>
    </row>
    <row r="2640" spans="4:11" x14ac:dyDescent="0.2">
      <c r="D2640" s="2"/>
      <c r="E2640" s="2"/>
      <c r="F2640" s="2"/>
      <c r="G2640" s="2"/>
      <c r="H2640" s="2"/>
      <c r="I2640" s="2"/>
      <c r="J2640" s="2"/>
      <c r="K2640" s="2"/>
    </row>
    <row r="2641" spans="4:11" x14ac:dyDescent="0.2">
      <c r="D2641" s="2"/>
      <c r="E2641" s="2"/>
      <c r="F2641" s="2"/>
      <c r="G2641" s="2"/>
      <c r="H2641" s="2"/>
      <c r="I2641" s="2"/>
      <c r="J2641" s="2"/>
      <c r="K2641" s="2"/>
    </row>
    <row r="2642" spans="4:11" x14ac:dyDescent="0.2">
      <c r="D2642" s="2"/>
      <c r="E2642" s="2"/>
      <c r="F2642" s="2"/>
      <c r="G2642" s="2"/>
      <c r="H2642" s="2"/>
      <c r="I2642" s="2"/>
      <c r="J2642" s="2"/>
      <c r="K2642" s="2"/>
    </row>
    <row r="2643" spans="4:11" x14ac:dyDescent="0.2">
      <c r="D2643" s="2"/>
      <c r="E2643" s="2"/>
      <c r="F2643" s="2"/>
      <c r="G2643" s="2"/>
      <c r="H2643" s="2"/>
      <c r="I2643" s="2"/>
      <c r="J2643" s="2"/>
      <c r="K2643" s="2"/>
    </row>
    <row r="2644" spans="4:11" x14ac:dyDescent="0.2">
      <c r="D2644" s="2"/>
      <c r="E2644" s="2"/>
      <c r="F2644" s="2"/>
      <c r="G2644" s="2"/>
      <c r="H2644" s="2"/>
      <c r="I2644" s="2"/>
      <c r="J2644" s="2"/>
      <c r="K2644" s="2"/>
    </row>
    <row r="2645" spans="4:11" x14ac:dyDescent="0.2">
      <c r="D2645" s="2"/>
      <c r="E2645" s="2"/>
      <c r="F2645" s="2"/>
      <c r="G2645" s="2"/>
      <c r="H2645" s="2"/>
      <c r="I2645" s="2"/>
      <c r="J2645" s="2"/>
      <c r="K2645" s="2"/>
    </row>
    <row r="2646" spans="4:11" x14ac:dyDescent="0.2">
      <c r="D2646" s="2"/>
      <c r="E2646" s="2"/>
      <c r="F2646" s="2"/>
      <c r="G2646" s="2"/>
      <c r="H2646" s="2"/>
      <c r="I2646" s="2"/>
      <c r="J2646" s="2"/>
      <c r="K2646" s="2"/>
    </row>
    <row r="2647" spans="4:11" x14ac:dyDescent="0.2">
      <c r="D2647" s="2"/>
      <c r="E2647" s="2"/>
      <c r="F2647" s="2"/>
      <c r="G2647" s="2"/>
      <c r="H2647" s="2"/>
      <c r="I2647" s="2"/>
      <c r="J2647" s="2"/>
      <c r="K2647" s="2"/>
    </row>
    <row r="2648" spans="4:11" x14ac:dyDescent="0.2">
      <c r="D2648" s="2"/>
      <c r="E2648" s="2"/>
      <c r="F2648" s="2"/>
      <c r="G2648" s="2"/>
      <c r="H2648" s="2"/>
      <c r="I2648" s="2"/>
      <c r="J2648" s="2"/>
      <c r="K2648" s="2"/>
    </row>
    <row r="2649" spans="4:11" x14ac:dyDescent="0.2">
      <c r="D2649" s="2"/>
      <c r="E2649" s="2"/>
      <c r="F2649" s="2"/>
      <c r="G2649" s="2"/>
      <c r="H2649" s="2"/>
      <c r="I2649" s="2"/>
      <c r="J2649" s="2"/>
      <c r="K2649" s="2"/>
    </row>
    <row r="2650" spans="4:11" x14ac:dyDescent="0.2">
      <c r="D2650" s="2"/>
      <c r="E2650" s="2"/>
      <c r="F2650" s="2"/>
      <c r="G2650" s="2"/>
      <c r="H2650" s="2"/>
      <c r="I2650" s="2"/>
      <c r="J2650" s="2"/>
      <c r="K2650" s="2"/>
    </row>
    <row r="2651" spans="4:11" x14ac:dyDescent="0.2">
      <c r="D2651" s="2"/>
      <c r="E2651" s="2"/>
      <c r="F2651" s="2"/>
      <c r="G2651" s="2"/>
      <c r="H2651" s="2"/>
      <c r="I2651" s="2"/>
      <c r="J2651" s="2"/>
      <c r="K2651" s="2"/>
    </row>
    <row r="2652" spans="4:11" x14ac:dyDescent="0.2">
      <c r="D2652" s="2"/>
      <c r="E2652" s="2"/>
      <c r="F2652" s="2"/>
      <c r="G2652" s="2"/>
      <c r="H2652" s="2"/>
      <c r="I2652" s="2"/>
      <c r="J2652" s="2"/>
      <c r="K2652" s="2"/>
    </row>
    <row r="2653" spans="4:11" x14ac:dyDescent="0.2">
      <c r="D2653" s="2"/>
      <c r="E2653" s="2"/>
      <c r="F2653" s="2"/>
      <c r="G2653" s="2"/>
      <c r="H2653" s="2"/>
      <c r="I2653" s="2"/>
      <c r="J2653" s="2"/>
      <c r="K2653" s="2"/>
    </row>
    <row r="2654" spans="4:11" x14ac:dyDescent="0.2">
      <c r="D2654" s="2"/>
      <c r="E2654" s="2"/>
      <c r="F2654" s="2"/>
      <c r="G2654" s="2"/>
      <c r="H2654" s="2"/>
      <c r="I2654" s="2"/>
      <c r="J2654" s="2"/>
      <c r="K2654" s="2"/>
    </row>
    <row r="2655" spans="4:11" x14ac:dyDescent="0.2">
      <c r="D2655" s="2"/>
      <c r="E2655" s="2"/>
      <c r="F2655" s="2"/>
      <c r="G2655" s="2"/>
      <c r="H2655" s="2"/>
      <c r="I2655" s="2"/>
      <c r="J2655" s="2"/>
      <c r="K2655" s="2"/>
    </row>
    <row r="2656" spans="4:11" x14ac:dyDescent="0.2">
      <c r="D2656" s="2"/>
      <c r="E2656" s="2"/>
      <c r="F2656" s="2"/>
      <c r="G2656" s="2"/>
      <c r="H2656" s="2"/>
      <c r="I2656" s="2"/>
      <c r="J2656" s="2"/>
      <c r="K2656" s="2"/>
    </row>
    <row r="2657" spans="4:11" x14ac:dyDescent="0.2">
      <c r="D2657" s="2"/>
      <c r="E2657" s="2"/>
      <c r="F2657" s="2"/>
      <c r="G2657" s="2"/>
      <c r="H2657" s="2"/>
      <c r="I2657" s="2"/>
      <c r="J2657" s="2"/>
      <c r="K2657" s="2"/>
    </row>
    <row r="2658" spans="4:11" x14ac:dyDescent="0.2">
      <c r="D2658" s="2"/>
      <c r="E2658" s="2"/>
      <c r="F2658" s="2"/>
      <c r="G2658" s="2"/>
      <c r="H2658" s="2"/>
      <c r="I2658" s="2"/>
      <c r="J2658" s="2"/>
      <c r="K2658" s="2"/>
    </row>
    <row r="2659" spans="4:11" x14ac:dyDescent="0.2">
      <c r="D2659" s="2"/>
      <c r="E2659" s="2"/>
      <c r="F2659" s="2"/>
      <c r="G2659" s="2"/>
      <c r="H2659" s="2"/>
      <c r="I2659" s="2"/>
      <c r="J2659" s="2"/>
      <c r="K2659" s="2"/>
    </row>
    <row r="2660" spans="4:11" x14ac:dyDescent="0.2">
      <c r="D2660" s="2"/>
      <c r="E2660" s="2"/>
      <c r="F2660" s="2"/>
      <c r="G2660" s="2"/>
      <c r="H2660" s="2"/>
      <c r="I2660" s="2"/>
      <c r="J2660" s="2"/>
      <c r="K2660" s="2"/>
    </row>
    <row r="2661" spans="4:11" x14ac:dyDescent="0.2">
      <c r="D2661" s="2"/>
      <c r="E2661" s="2"/>
      <c r="F2661" s="2"/>
      <c r="G2661" s="2"/>
      <c r="H2661" s="2"/>
      <c r="I2661" s="2"/>
      <c r="J2661" s="2"/>
      <c r="K2661" s="2"/>
    </row>
    <row r="2662" spans="4:11" x14ac:dyDescent="0.2">
      <c r="D2662" s="2"/>
      <c r="E2662" s="2"/>
      <c r="F2662" s="2"/>
      <c r="G2662" s="2"/>
      <c r="H2662" s="2"/>
      <c r="I2662" s="2"/>
      <c r="J2662" s="2"/>
      <c r="K2662" s="2"/>
    </row>
    <row r="2663" spans="4:11" x14ac:dyDescent="0.2">
      <c r="D2663" s="2"/>
      <c r="E2663" s="2"/>
      <c r="F2663" s="2"/>
      <c r="G2663" s="2"/>
      <c r="H2663" s="2"/>
      <c r="I2663" s="2"/>
      <c r="J2663" s="2"/>
      <c r="K2663" s="2"/>
    </row>
    <row r="2664" spans="4:11" x14ac:dyDescent="0.2">
      <c r="D2664" s="2"/>
      <c r="E2664" s="2"/>
      <c r="F2664" s="2"/>
      <c r="G2664" s="2"/>
      <c r="H2664" s="2"/>
      <c r="I2664" s="2"/>
      <c r="J2664" s="2"/>
      <c r="K2664" s="2"/>
    </row>
    <row r="2665" spans="4:11" x14ac:dyDescent="0.2">
      <c r="D2665" s="2"/>
      <c r="E2665" s="2"/>
      <c r="F2665" s="2"/>
      <c r="G2665" s="2"/>
      <c r="H2665" s="2"/>
      <c r="I2665" s="2"/>
      <c r="J2665" s="2"/>
      <c r="K2665" s="2"/>
    </row>
    <row r="2666" spans="4:11" x14ac:dyDescent="0.2">
      <c r="D2666" s="2"/>
      <c r="E2666" s="2"/>
      <c r="F2666" s="2"/>
      <c r="G2666" s="2"/>
      <c r="H2666" s="2"/>
      <c r="I2666" s="2"/>
      <c r="J2666" s="2"/>
      <c r="K2666" s="2"/>
    </row>
    <row r="2667" spans="4:11" x14ac:dyDescent="0.2">
      <c r="D2667" s="2"/>
      <c r="E2667" s="2"/>
      <c r="F2667" s="2"/>
      <c r="G2667" s="2"/>
      <c r="H2667" s="2"/>
      <c r="I2667" s="2"/>
      <c r="J2667" s="2"/>
      <c r="K2667" s="2"/>
    </row>
    <row r="2668" spans="4:11" x14ac:dyDescent="0.2">
      <c r="D2668" s="2"/>
      <c r="E2668" s="2"/>
      <c r="F2668" s="2"/>
      <c r="G2668" s="2"/>
      <c r="H2668" s="2"/>
      <c r="I2668" s="2"/>
      <c r="J2668" s="2"/>
      <c r="K2668" s="2"/>
    </row>
    <row r="2669" spans="4:11" x14ac:dyDescent="0.2">
      <c r="D2669" s="2"/>
      <c r="E2669" s="2"/>
      <c r="F2669" s="2"/>
      <c r="G2669" s="2"/>
      <c r="H2669" s="2"/>
      <c r="I2669" s="2"/>
      <c r="J2669" s="2"/>
      <c r="K2669" s="2"/>
    </row>
    <row r="2670" spans="4:11" x14ac:dyDescent="0.2">
      <c r="D2670" s="2"/>
      <c r="E2670" s="2"/>
      <c r="F2670" s="2"/>
      <c r="G2670" s="2"/>
      <c r="H2670" s="2"/>
      <c r="I2670" s="2"/>
      <c r="J2670" s="2"/>
      <c r="K2670" s="2"/>
    </row>
    <row r="2671" spans="4:11" x14ac:dyDescent="0.2">
      <c r="D2671" s="2"/>
      <c r="E2671" s="2"/>
      <c r="F2671" s="2"/>
      <c r="G2671" s="2"/>
      <c r="H2671" s="2"/>
      <c r="I2671" s="2"/>
      <c r="J2671" s="2"/>
      <c r="K2671" s="2"/>
    </row>
    <row r="2672" spans="4:11" x14ac:dyDescent="0.2">
      <c r="D2672" s="2"/>
      <c r="E2672" s="2"/>
      <c r="F2672" s="2"/>
      <c r="G2672" s="2"/>
      <c r="H2672" s="2"/>
      <c r="I2672" s="2"/>
      <c r="J2672" s="2"/>
      <c r="K2672" s="2"/>
    </row>
    <row r="2673" spans="4:11" x14ac:dyDescent="0.2">
      <c r="D2673" s="2"/>
      <c r="E2673" s="2"/>
      <c r="F2673" s="2"/>
      <c r="G2673" s="2"/>
      <c r="H2673" s="2"/>
      <c r="I2673" s="2"/>
      <c r="J2673" s="2"/>
      <c r="K2673" s="2"/>
    </row>
    <row r="2674" spans="4:11" x14ac:dyDescent="0.2">
      <c r="D2674" s="2"/>
      <c r="E2674" s="2"/>
      <c r="F2674" s="2"/>
      <c r="G2674" s="2"/>
      <c r="H2674" s="2"/>
      <c r="I2674" s="2"/>
      <c r="J2674" s="2"/>
      <c r="K2674" s="2"/>
    </row>
    <row r="2675" spans="4:11" x14ac:dyDescent="0.2">
      <c r="D2675" s="2"/>
      <c r="E2675" s="2"/>
      <c r="F2675" s="2"/>
      <c r="G2675" s="2"/>
      <c r="H2675" s="2"/>
      <c r="I2675" s="2"/>
      <c r="J2675" s="2"/>
      <c r="K2675" s="2"/>
    </row>
    <row r="2676" spans="4:11" x14ac:dyDescent="0.2">
      <c r="D2676" s="2"/>
      <c r="E2676" s="2"/>
      <c r="F2676" s="2"/>
      <c r="G2676" s="2"/>
      <c r="H2676" s="2"/>
      <c r="I2676" s="2"/>
      <c r="J2676" s="2"/>
      <c r="K2676" s="2"/>
    </row>
    <row r="2677" spans="4:11" x14ac:dyDescent="0.2">
      <c r="D2677" s="2"/>
      <c r="E2677" s="2"/>
      <c r="F2677" s="2"/>
      <c r="G2677" s="2"/>
      <c r="H2677" s="2"/>
      <c r="I2677" s="2"/>
      <c r="J2677" s="2"/>
      <c r="K2677" s="2"/>
    </row>
    <row r="2678" spans="4:11" x14ac:dyDescent="0.2">
      <c r="D2678" s="2"/>
      <c r="E2678" s="2"/>
      <c r="F2678" s="2"/>
      <c r="G2678" s="2"/>
      <c r="H2678" s="2"/>
      <c r="I2678" s="2"/>
      <c r="J2678" s="2"/>
      <c r="K2678" s="2"/>
    </row>
    <row r="2679" spans="4:11" x14ac:dyDescent="0.2">
      <c r="D2679" s="2"/>
      <c r="E2679" s="2"/>
      <c r="F2679" s="2"/>
      <c r="G2679" s="2"/>
      <c r="H2679" s="2"/>
      <c r="I2679" s="2"/>
      <c r="J2679" s="2"/>
      <c r="K2679" s="2"/>
    </row>
    <row r="2680" spans="4:11" x14ac:dyDescent="0.2">
      <c r="D2680" s="2"/>
      <c r="E2680" s="2"/>
      <c r="F2680" s="2"/>
      <c r="G2680" s="2"/>
      <c r="H2680" s="2"/>
      <c r="I2680" s="2"/>
      <c r="J2680" s="2"/>
      <c r="K2680" s="2"/>
    </row>
    <row r="2681" spans="4:11" x14ac:dyDescent="0.2">
      <c r="D2681" s="2"/>
      <c r="E2681" s="2"/>
      <c r="F2681" s="2"/>
      <c r="G2681" s="2"/>
      <c r="H2681" s="2"/>
      <c r="I2681" s="2"/>
      <c r="J2681" s="2"/>
      <c r="K2681" s="2"/>
    </row>
    <row r="2682" spans="4:11" x14ac:dyDescent="0.2">
      <c r="D2682" s="2"/>
      <c r="E2682" s="2"/>
      <c r="F2682" s="2"/>
      <c r="G2682" s="2"/>
      <c r="H2682" s="2"/>
      <c r="I2682" s="2"/>
      <c r="J2682" s="2"/>
      <c r="K2682" s="2"/>
    </row>
    <row r="2683" spans="4:11" x14ac:dyDescent="0.2">
      <c r="D2683" s="2"/>
      <c r="E2683" s="2"/>
      <c r="F2683" s="2"/>
      <c r="G2683" s="2"/>
      <c r="H2683" s="2"/>
      <c r="I2683" s="2"/>
      <c r="J2683" s="2"/>
      <c r="K2683" s="2"/>
    </row>
    <row r="2684" spans="4:11" x14ac:dyDescent="0.2">
      <c r="D2684" s="2"/>
      <c r="E2684" s="2"/>
      <c r="F2684" s="2"/>
      <c r="G2684" s="2"/>
      <c r="H2684" s="2"/>
      <c r="I2684" s="2"/>
      <c r="J2684" s="2"/>
      <c r="K2684" s="2"/>
    </row>
    <row r="2685" spans="4:11" x14ac:dyDescent="0.2">
      <c r="D2685" s="2"/>
      <c r="E2685" s="2"/>
      <c r="F2685" s="2"/>
      <c r="G2685" s="2"/>
      <c r="H2685" s="2"/>
      <c r="I2685" s="2"/>
      <c r="J2685" s="2"/>
      <c r="K2685" s="2"/>
    </row>
    <row r="2686" spans="4:11" x14ac:dyDescent="0.2">
      <c r="D2686" s="2"/>
      <c r="E2686" s="2"/>
      <c r="F2686" s="2"/>
      <c r="G2686" s="2"/>
      <c r="H2686" s="2"/>
      <c r="I2686" s="2"/>
      <c r="J2686" s="2"/>
      <c r="K2686" s="2"/>
    </row>
    <row r="2687" spans="4:11" x14ac:dyDescent="0.2">
      <c r="D2687" s="2"/>
      <c r="E2687" s="2"/>
      <c r="F2687" s="2"/>
      <c r="G2687" s="2"/>
      <c r="H2687" s="2"/>
      <c r="I2687" s="2"/>
      <c r="J2687" s="2"/>
      <c r="K2687" s="2"/>
    </row>
    <row r="2688" spans="4:11" x14ac:dyDescent="0.2">
      <c r="D2688" s="2"/>
      <c r="E2688" s="2"/>
      <c r="F2688" s="2"/>
      <c r="G2688" s="2"/>
      <c r="H2688" s="2"/>
      <c r="I2688" s="2"/>
      <c r="J2688" s="2"/>
      <c r="K2688" s="2"/>
    </row>
    <row r="2689" spans="4:11" x14ac:dyDescent="0.2">
      <c r="D2689" s="2"/>
      <c r="E2689" s="2"/>
      <c r="F2689" s="2"/>
      <c r="G2689" s="2"/>
      <c r="H2689" s="2"/>
      <c r="I2689" s="2"/>
      <c r="J2689" s="2"/>
      <c r="K2689" s="2"/>
    </row>
    <row r="2690" spans="4:11" x14ac:dyDescent="0.2">
      <c r="D2690" s="2"/>
      <c r="E2690" s="2"/>
      <c r="F2690" s="2"/>
      <c r="G2690" s="2"/>
      <c r="H2690" s="2"/>
      <c r="I2690" s="2"/>
      <c r="J2690" s="2"/>
      <c r="K2690" s="2"/>
    </row>
    <row r="2691" spans="4:11" x14ac:dyDescent="0.2">
      <c r="D2691" s="2"/>
      <c r="E2691" s="2"/>
      <c r="F2691" s="2"/>
      <c r="G2691" s="2"/>
      <c r="H2691" s="2"/>
      <c r="I2691" s="2"/>
      <c r="J2691" s="2"/>
      <c r="K2691" s="2"/>
    </row>
    <row r="2692" spans="4:11" x14ac:dyDescent="0.2">
      <c r="D2692" s="2"/>
      <c r="E2692" s="2"/>
      <c r="F2692" s="2"/>
      <c r="G2692" s="2"/>
      <c r="H2692" s="2"/>
      <c r="I2692" s="2"/>
      <c r="J2692" s="2"/>
      <c r="K2692" s="2"/>
    </row>
    <row r="2693" spans="4:11" x14ac:dyDescent="0.2">
      <c r="D2693" s="2"/>
      <c r="E2693" s="2"/>
      <c r="F2693" s="2"/>
      <c r="G2693" s="2"/>
      <c r="H2693" s="2"/>
      <c r="I2693" s="2"/>
      <c r="J2693" s="2"/>
      <c r="K2693" s="2"/>
    </row>
    <row r="2694" spans="4:11" x14ac:dyDescent="0.2">
      <c r="D2694" s="2"/>
      <c r="E2694" s="2"/>
      <c r="F2694" s="2"/>
      <c r="G2694" s="2"/>
      <c r="H2694" s="2"/>
      <c r="I2694" s="2"/>
      <c r="J2694" s="2"/>
      <c r="K2694" s="2"/>
    </row>
    <row r="2695" spans="4:11" x14ac:dyDescent="0.2">
      <c r="D2695" s="2"/>
      <c r="E2695" s="2"/>
      <c r="F2695" s="2"/>
      <c r="G2695" s="2"/>
      <c r="H2695" s="2"/>
      <c r="I2695" s="2"/>
      <c r="J2695" s="2"/>
      <c r="K2695" s="2"/>
    </row>
    <row r="2696" spans="4:11" x14ac:dyDescent="0.2">
      <c r="D2696" s="2"/>
      <c r="E2696" s="2"/>
      <c r="F2696" s="2"/>
      <c r="G2696" s="2"/>
      <c r="H2696" s="2"/>
      <c r="I2696" s="2"/>
      <c r="J2696" s="2"/>
      <c r="K2696" s="2"/>
    </row>
    <row r="2697" spans="4:11" x14ac:dyDescent="0.2">
      <c r="D2697" s="2"/>
      <c r="E2697" s="2"/>
      <c r="F2697" s="2"/>
      <c r="G2697" s="2"/>
      <c r="H2697" s="2"/>
      <c r="I2697" s="2"/>
      <c r="J2697" s="2"/>
      <c r="K2697" s="2"/>
    </row>
    <row r="2698" spans="4:11" x14ac:dyDescent="0.2">
      <c r="D2698" s="2"/>
      <c r="E2698" s="2"/>
      <c r="F2698" s="2"/>
      <c r="G2698" s="2"/>
      <c r="H2698" s="2"/>
      <c r="I2698" s="2"/>
      <c r="J2698" s="2"/>
      <c r="K2698" s="2"/>
    </row>
    <row r="2699" spans="4:11" x14ac:dyDescent="0.2">
      <c r="D2699" s="2"/>
      <c r="E2699" s="2"/>
      <c r="F2699" s="2"/>
      <c r="G2699" s="2"/>
      <c r="H2699" s="2"/>
      <c r="I2699" s="2"/>
      <c r="J2699" s="2"/>
      <c r="K2699" s="2"/>
    </row>
    <row r="2700" spans="4:11" x14ac:dyDescent="0.2">
      <c r="D2700" s="2"/>
      <c r="E2700" s="2"/>
      <c r="F2700" s="2"/>
      <c r="G2700" s="2"/>
      <c r="H2700" s="2"/>
      <c r="I2700" s="2"/>
      <c r="J2700" s="2"/>
      <c r="K2700" s="2"/>
    </row>
    <row r="2701" spans="4:11" x14ac:dyDescent="0.2">
      <c r="D2701" s="2"/>
      <c r="E2701" s="2"/>
      <c r="F2701" s="2"/>
      <c r="G2701" s="2"/>
      <c r="H2701" s="2"/>
      <c r="I2701" s="2"/>
      <c r="J2701" s="2"/>
      <c r="K2701" s="2"/>
    </row>
    <row r="2702" spans="4:11" x14ac:dyDescent="0.2">
      <c r="D2702" s="2"/>
      <c r="E2702" s="2"/>
      <c r="F2702" s="2"/>
      <c r="G2702" s="2"/>
      <c r="H2702" s="2"/>
      <c r="I2702" s="2"/>
      <c r="J2702" s="2"/>
      <c r="K2702" s="2"/>
    </row>
    <row r="2703" spans="4:11" x14ac:dyDescent="0.2">
      <c r="D2703" s="2"/>
      <c r="E2703" s="2"/>
      <c r="F2703" s="2"/>
      <c r="G2703" s="2"/>
      <c r="H2703" s="2"/>
      <c r="I2703" s="2"/>
      <c r="J2703" s="2"/>
      <c r="K2703" s="2"/>
    </row>
    <row r="2704" spans="4:11" x14ac:dyDescent="0.2">
      <c r="D2704" s="2"/>
      <c r="E2704" s="2"/>
      <c r="F2704" s="2"/>
      <c r="G2704" s="2"/>
      <c r="H2704" s="2"/>
      <c r="I2704" s="2"/>
      <c r="J2704" s="2"/>
      <c r="K2704" s="2"/>
    </row>
    <row r="2705" spans="4:11" x14ac:dyDescent="0.2">
      <c r="D2705" s="2"/>
      <c r="E2705" s="2"/>
      <c r="F2705" s="2"/>
      <c r="G2705" s="2"/>
      <c r="H2705" s="2"/>
      <c r="I2705" s="2"/>
      <c r="J2705" s="2"/>
      <c r="K2705" s="2"/>
    </row>
    <row r="2706" spans="4:11" x14ac:dyDescent="0.2">
      <c r="D2706" s="2"/>
      <c r="E2706" s="2"/>
      <c r="F2706" s="2"/>
      <c r="G2706" s="2"/>
      <c r="H2706" s="2"/>
      <c r="I2706" s="2"/>
      <c r="J2706" s="2"/>
      <c r="K2706" s="2"/>
    </row>
    <row r="2707" spans="4:11" x14ac:dyDescent="0.2">
      <c r="D2707" s="2"/>
      <c r="E2707" s="2"/>
      <c r="F2707" s="2"/>
      <c r="G2707" s="2"/>
      <c r="H2707" s="2"/>
      <c r="I2707" s="2"/>
      <c r="J2707" s="2"/>
      <c r="K2707" s="2"/>
    </row>
    <row r="2708" spans="4:11" x14ac:dyDescent="0.2">
      <c r="D2708" s="2"/>
      <c r="E2708" s="2"/>
      <c r="F2708" s="2"/>
      <c r="G2708" s="2"/>
      <c r="H2708" s="2"/>
      <c r="I2708" s="2"/>
      <c r="J2708" s="2"/>
      <c r="K2708" s="2"/>
    </row>
    <row r="2709" spans="4:11" x14ac:dyDescent="0.2">
      <c r="D2709" s="2"/>
      <c r="E2709" s="2"/>
      <c r="F2709" s="2"/>
      <c r="G2709" s="2"/>
      <c r="H2709" s="2"/>
      <c r="I2709" s="2"/>
      <c r="J2709" s="2"/>
      <c r="K2709" s="2"/>
    </row>
    <row r="2710" spans="4:11" x14ac:dyDescent="0.2">
      <c r="D2710" s="2"/>
      <c r="E2710" s="2"/>
      <c r="F2710" s="2"/>
      <c r="G2710" s="2"/>
      <c r="H2710" s="2"/>
      <c r="I2710" s="2"/>
      <c r="J2710" s="2"/>
      <c r="K2710" s="2"/>
    </row>
    <row r="2711" spans="4:11" x14ac:dyDescent="0.2">
      <c r="D2711" s="2"/>
      <c r="E2711" s="2"/>
      <c r="F2711" s="2"/>
      <c r="G2711" s="2"/>
      <c r="H2711" s="2"/>
      <c r="I2711" s="2"/>
      <c r="J2711" s="2"/>
      <c r="K2711" s="2"/>
    </row>
    <row r="2712" spans="4:11" x14ac:dyDescent="0.2">
      <c r="D2712" s="2"/>
      <c r="E2712" s="2"/>
      <c r="F2712" s="2"/>
      <c r="G2712" s="2"/>
      <c r="H2712" s="2"/>
      <c r="I2712" s="2"/>
      <c r="J2712" s="2"/>
      <c r="K2712" s="2"/>
    </row>
    <row r="2713" spans="4:11" x14ac:dyDescent="0.2">
      <c r="D2713" s="2"/>
      <c r="E2713" s="2"/>
      <c r="F2713" s="2"/>
      <c r="G2713" s="2"/>
      <c r="H2713" s="2"/>
      <c r="I2713" s="2"/>
      <c r="J2713" s="2"/>
      <c r="K2713" s="2"/>
    </row>
    <row r="2714" spans="4:11" x14ac:dyDescent="0.2">
      <c r="D2714" s="2"/>
      <c r="E2714" s="2"/>
      <c r="F2714" s="2"/>
      <c r="G2714" s="2"/>
      <c r="H2714" s="2"/>
      <c r="I2714" s="2"/>
      <c r="J2714" s="2"/>
      <c r="K2714" s="2"/>
    </row>
    <row r="2715" spans="4:11" x14ac:dyDescent="0.2">
      <c r="D2715" s="2"/>
      <c r="E2715" s="2"/>
      <c r="F2715" s="2"/>
      <c r="G2715" s="2"/>
      <c r="H2715" s="2"/>
      <c r="I2715" s="2"/>
      <c r="J2715" s="2"/>
      <c r="K2715" s="2"/>
    </row>
    <row r="2716" spans="4:11" x14ac:dyDescent="0.2">
      <c r="D2716" s="2"/>
      <c r="E2716" s="2"/>
      <c r="F2716" s="2"/>
      <c r="G2716" s="2"/>
      <c r="H2716" s="2"/>
      <c r="I2716" s="2"/>
      <c r="J2716" s="2"/>
      <c r="K2716" s="2"/>
    </row>
    <row r="2717" spans="4:11" x14ac:dyDescent="0.2">
      <c r="D2717" s="2"/>
      <c r="E2717" s="2"/>
      <c r="F2717" s="2"/>
      <c r="G2717" s="2"/>
      <c r="H2717" s="2"/>
      <c r="I2717" s="2"/>
      <c r="J2717" s="2"/>
      <c r="K2717" s="2"/>
    </row>
    <row r="2718" spans="4:11" x14ac:dyDescent="0.2">
      <c r="D2718" s="2"/>
      <c r="E2718" s="2"/>
      <c r="F2718" s="2"/>
      <c r="G2718" s="2"/>
      <c r="H2718" s="2"/>
      <c r="I2718" s="2"/>
      <c r="J2718" s="2"/>
      <c r="K2718" s="2"/>
    </row>
    <row r="2719" spans="4:11" x14ac:dyDescent="0.2">
      <c r="D2719" s="2"/>
      <c r="E2719" s="2"/>
      <c r="F2719" s="2"/>
      <c r="G2719" s="2"/>
      <c r="H2719" s="2"/>
      <c r="I2719" s="2"/>
      <c r="J2719" s="2"/>
      <c r="K2719" s="2"/>
    </row>
    <row r="2720" spans="4:11" x14ac:dyDescent="0.2">
      <c r="D2720" s="2"/>
      <c r="E2720" s="2"/>
      <c r="F2720" s="2"/>
      <c r="G2720" s="2"/>
      <c r="H2720" s="2"/>
      <c r="I2720" s="2"/>
      <c r="J2720" s="2"/>
      <c r="K2720" s="2"/>
    </row>
    <row r="2721" spans="4:11" x14ac:dyDescent="0.2">
      <c r="D2721" s="2"/>
      <c r="E2721" s="2"/>
      <c r="F2721" s="2"/>
      <c r="G2721" s="2"/>
      <c r="H2721" s="2"/>
      <c r="I2721" s="2"/>
      <c r="J2721" s="2"/>
      <c r="K2721" s="2"/>
    </row>
    <row r="2722" spans="4:11" x14ac:dyDescent="0.2">
      <c r="D2722" s="2"/>
      <c r="E2722" s="2"/>
      <c r="F2722" s="2"/>
      <c r="G2722" s="2"/>
      <c r="H2722" s="2"/>
      <c r="I2722" s="2"/>
      <c r="J2722" s="2"/>
      <c r="K2722" s="2"/>
    </row>
    <row r="2723" spans="4:11" x14ac:dyDescent="0.2">
      <c r="D2723" s="2"/>
      <c r="E2723" s="2"/>
      <c r="F2723" s="2"/>
      <c r="G2723" s="2"/>
      <c r="H2723" s="2"/>
      <c r="I2723" s="2"/>
      <c r="J2723" s="2"/>
      <c r="K2723" s="2"/>
    </row>
    <row r="2724" spans="4:11" x14ac:dyDescent="0.2">
      <c r="D2724" s="2"/>
      <c r="E2724" s="2"/>
      <c r="F2724" s="2"/>
      <c r="G2724" s="2"/>
      <c r="H2724" s="2"/>
      <c r="I2724" s="2"/>
      <c r="J2724" s="2"/>
      <c r="K2724" s="2"/>
    </row>
    <row r="2725" spans="4:11" x14ac:dyDescent="0.2">
      <c r="D2725" s="2"/>
      <c r="E2725" s="2"/>
      <c r="F2725" s="2"/>
      <c r="G2725" s="2"/>
      <c r="H2725" s="2"/>
      <c r="I2725" s="2"/>
      <c r="J2725" s="2"/>
      <c r="K2725" s="2"/>
    </row>
    <row r="2726" spans="4:11" x14ac:dyDescent="0.2">
      <c r="D2726" s="2"/>
      <c r="E2726" s="2"/>
      <c r="F2726" s="2"/>
      <c r="G2726" s="2"/>
      <c r="H2726" s="2"/>
      <c r="I2726" s="2"/>
      <c r="J2726" s="2"/>
      <c r="K2726" s="2"/>
    </row>
    <row r="2727" spans="4:11" x14ac:dyDescent="0.2">
      <c r="D2727" s="2"/>
      <c r="E2727" s="2"/>
      <c r="F2727" s="2"/>
      <c r="G2727" s="2"/>
      <c r="H2727" s="2"/>
      <c r="I2727" s="2"/>
      <c r="J2727" s="2"/>
      <c r="K2727" s="2"/>
    </row>
    <row r="2728" spans="4:11" x14ac:dyDescent="0.2">
      <c r="D2728" s="2"/>
      <c r="E2728" s="2"/>
      <c r="F2728" s="2"/>
      <c r="G2728" s="2"/>
      <c r="H2728" s="2"/>
      <c r="I2728" s="2"/>
      <c r="J2728" s="2"/>
      <c r="K2728" s="2"/>
    </row>
    <row r="2729" spans="4:11" x14ac:dyDescent="0.2">
      <c r="D2729" s="2"/>
      <c r="E2729" s="2"/>
      <c r="F2729" s="2"/>
      <c r="G2729" s="2"/>
      <c r="H2729" s="2"/>
      <c r="I2729" s="2"/>
      <c r="J2729" s="2"/>
      <c r="K2729" s="2"/>
    </row>
    <row r="2730" spans="4:11" x14ac:dyDescent="0.2">
      <c r="D2730" s="2"/>
      <c r="E2730" s="2"/>
      <c r="F2730" s="2"/>
      <c r="G2730" s="2"/>
      <c r="H2730" s="2"/>
      <c r="I2730" s="2"/>
      <c r="J2730" s="2"/>
      <c r="K2730" s="2"/>
    </row>
    <row r="2731" spans="4:11" x14ac:dyDescent="0.2">
      <c r="D2731" s="2"/>
      <c r="E2731" s="2"/>
      <c r="F2731" s="2"/>
      <c r="G2731" s="2"/>
      <c r="H2731" s="2"/>
      <c r="I2731" s="2"/>
      <c r="J2731" s="2"/>
      <c r="K2731" s="2"/>
    </row>
    <row r="2732" spans="4:11" x14ac:dyDescent="0.2">
      <c r="D2732" s="2"/>
      <c r="E2732" s="2"/>
      <c r="F2732" s="2"/>
      <c r="G2732" s="2"/>
      <c r="H2732" s="2"/>
      <c r="I2732" s="2"/>
      <c r="J2732" s="2"/>
      <c r="K2732" s="2"/>
    </row>
    <row r="2733" spans="4:11" x14ac:dyDescent="0.2">
      <c r="D2733" s="2"/>
      <c r="E2733" s="2"/>
      <c r="F2733" s="2"/>
      <c r="G2733" s="2"/>
      <c r="H2733" s="2"/>
      <c r="I2733" s="2"/>
      <c r="J2733" s="2"/>
      <c r="K2733" s="2"/>
    </row>
    <row r="2734" spans="4:11" x14ac:dyDescent="0.2">
      <c r="D2734" s="2"/>
      <c r="E2734" s="2"/>
      <c r="F2734" s="2"/>
      <c r="G2734" s="2"/>
      <c r="H2734" s="2"/>
      <c r="I2734" s="2"/>
      <c r="J2734" s="2"/>
      <c r="K2734" s="2"/>
    </row>
    <row r="2735" spans="4:11" x14ac:dyDescent="0.2">
      <c r="D2735" s="2"/>
      <c r="E2735" s="2"/>
      <c r="F2735" s="2"/>
      <c r="G2735" s="2"/>
      <c r="H2735" s="2"/>
      <c r="I2735" s="2"/>
      <c r="J2735" s="2"/>
      <c r="K2735" s="2"/>
    </row>
    <row r="2736" spans="4:11" x14ac:dyDescent="0.2">
      <c r="D2736" s="2"/>
      <c r="E2736" s="2"/>
      <c r="F2736" s="2"/>
      <c r="G2736" s="2"/>
      <c r="H2736" s="2"/>
      <c r="I2736" s="2"/>
      <c r="J2736" s="2"/>
      <c r="K2736" s="2"/>
    </row>
    <row r="2737" spans="4:11" x14ac:dyDescent="0.2">
      <c r="D2737" s="2"/>
      <c r="E2737" s="2"/>
      <c r="F2737" s="2"/>
      <c r="G2737" s="2"/>
      <c r="H2737" s="2"/>
      <c r="I2737" s="2"/>
      <c r="J2737" s="2"/>
      <c r="K2737" s="2"/>
    </row>
    <row r="2738" spans="4:11" x14ac:dyDescent="0.2">
      <c r="D2738" s="2"/>
      <c r="E2738" s="2"/>
      <c r="F2738" s="2"/>
      <c r="G2738" s="2"/>
      <c r="H2738" s="2"/>
      <c r="I2738" s="2"/>
      <c r="J2738" s="2"/>
      <c r="K2738" s="2"/>
    </row>
    <row r="2739" spans="4:11" x14ac:dyDescent="0.2">
      <c r="D2739" s="2"/>
      <c r="E2739" s="2"/>
      <c r="F2739" s="2"/>
      <c r="G2739" s="2"/>
      <c r="H2739" s="2"/>
      <c r="I2739" s="2"/>
      <c r="J2739" s="2"/>
      <c r="K2739" s="2"/>
    </row>
    <row r="2740" spans="4:11" x14ac:dyDescent="0.2">
      <c r="D2740" s="2"/>
      <c r="E2740" s="2"/>
      <c r="F2740" s="2"/>
      <c r="G2740" s="2"/>
      <c r="H2740" s="2"/>
      <c r="I2740" s="2"/>
      <c r="J2740" s="2"/>
      <c r="K2740" s="2"/>
    </row>
    <row r="2741" spans="4:11" x14ac:dyDescent="0.2">
      <c r="D2741" s="2"/>
      <c r="E2741" s="2"/>
      <c r="F2741" s="2"/>
      <c r="G2741" s="2"/>
      <c r="H2741" s="2"/>
      <c r="I2741" s="2"/>
      <c r="J2741" s="2"/>
      <c r="K2741" s="2"/>
    </row>
    <row r="2742" spans="4:11" x14ac:dyDescent="0.2">
      <c r="D2742" s="2"/>
      <c r="E2742" s="2"/>
      <c r="F2742" s="2"/>
      <c r="G2742" s="2"/>
      <c r="H2742" s="2"/>
      <c r="I2742" s="2"/>
      <c r="J2742" s="2"/>
      <c r="K2742" s="2"/>
    </row>
    <row r="2743" spans="4:11" x14ac:dyDescent="0.2">
      <c r="D2743" s="2"/>
      <c r="E2743" s="2"/>
      <c r="F2743" s="2"/>
      <c r="G2743" s="2"/>
      <c r="H2743" s="2"/>
      <c r="I2743" s="2"/>
      <c r="J2743" s="2"/>
      <c r="K2743" s="2"/>
    </row>
    <row r="2744" spans="4:11" x14ac:dyDescent="0.2">
      <c r="D2744" s="2"/>
      <c r="E2744" s="2"/>
      <c r="F2744" s="2"/>
      <c r="G2744" s="2"/>
      <c r="H2744" s="2"/>
      <c r="I2744" s="2"/>
      <c r="J2744" s="2"/>
      <c r="K2744" s="2"/>
    </row>
    <row r="2745" spans="4:11" x14ac:dyDescent="0.2">
      <c r="D2745" s="2"/>
      <c r="E2745" s="2"/>
      <c r="F2745" s="2"/>
      <c r="G2745" s="2"/>
      <c r="H2745" s="2"/>
      <c r="I2745" s="2"/>
      <c r="J2745" s="2"/>
      <c r="K2745" s="2"/>
    </row>
    <row r="2746" spans="4:11" x14ac:dyDescent="0.2">
      <c r="D2746" s="2"/>
      <c r="E2746" s="2"/>
      <c r="F2746" s="2"/>
      <c r="G2746" s="2"/>
      <c r="H2746" s="2"/>
      <c r="I2746" s="2"/>
      <c r="J2746" s="2"/>
      <c r="K2746" s="2"/>
    </row>
    <row r="2747" spans="4:11" x14ac:dyDescent="0.2">
      <c r="D2747" s="2"/>
      <c r="E2747" s="2"/>
      <c r="F2747" s="2"/>
      <c r="G2747" s="2"/>
      <c r="H2747" s="2"/>
      <c r="I2747" s="2"/>
      <c r="J2747" s="2"/>
      <c r="K2747" s="2"/>
    </row>
    <row r="2748" spans="4:11" x14ac:dyDescent="0.2">
      <c r="D2748" s="2"/>
      <c r="E2748" s="2"/>
      <c r="F2748" s="2"/>
      <c r="G2748" s="2"/>
      <c r="H2748" s="2"/>
      <c r="I2748" s="2"/>
      <c r="J2748" s="2"/>
      <c r="K2748" s="2"/>
    </row>
    <row r="2749" spans="4:11" x14ac:dyDescent="0.2">
      <c r="D2749" s="2"/>
      <c r="E2749" s="2"/>
      <c r="F2749" s="2"/>
      <c r="G2749" s="2"/>
      <c r="H2749" s="2"/>
      <c r="I2749" s="2"/>
      <c r="J2749" s="2"/>
      <c r="K2749" s="2"/>
    </row>
    <row r="2750" spans="4:11" x14ac:dyDescent="0.2">
      <c r="D2750" s="2"/>
      <c r="E2750" s="2"/>
      <c r="F2750" s="2"/>
      <c r="G2750" s="2"/>
      <c r="H2750" s="2"/>
      <c r="I2750" s="2"/>
      <c r="J2750" s="2"/>
      <c r="K2750" s="2"/>
    </row>
    <row r="2751" spans="4:11" x14ac:dyDescent="0.2">
      <c r="D2751" s="2"/>
      <c r="E2751" s="2"/>
      <c r="F2751" s="2"/>
      <c r="G2751" s="2"/>
      <c r="H2751" s="2"/>
      <c r="I2751" s="2"/>
      <c r="J2751" s="2"/>
      <c r="K2751" s="2"/>
    </row>
    <row r="2752" spans="4:11" x14ac:dyDescent="0.2">
      <c r="D2752" s="2"/>
      <c r="E2752" s="2"/>
      <c r="F2752" s="2"/>
      <c r="G2752" s="2"/>
      <c r="H2752" s="2"/>
      <c r="I2752" s="2"/>
      <c r="J2752" s="2"/>
      <c r="K2752" s="2"/>
    </row>
    <row r="2753" spans="4:11" x14ac:dyDescent="0.2">
      <c r="D2753" s="2"/>
      <c r="E2753" s="2"/>
      <c r="F2753" s="2"/>
      <c r="G2753" s="2"/>
      <c r="H2753" s="2"/>
      <c r="I2753" s="2"/>
      <c r="J2753" s="2"/>
      <c r="K2753" s="2"/>
    </row>
    <row r="2754" spans="4:11" x14ac:dyDescent="0.2">
      <c r="D2754" s="2"/>
      <c r="E2754" s="2"/>
      <c r="F2754" s="2"/>
      <c r="G2754" s="2"/>
      <c r="H2754" s="2"/>
      <c r="I2754" s="2"/>
      <c r="J2754" s="2"/>
      <c r="K2754" s="2"/>
    </row>
    <row r="2755" spans="4:11" x14ac:dyDescent="0.2">
      <c r="D2755" s="2"/>
      <c r="E2755" s="2"/>
      <c r="F2755" s="2"/>
      <c r="G2755" s="2"/>
      <c r="H2755" s="2"/>
      <c r="I2755" s="2"/>
      <c r="J2755" s="2"/>
      <c r="K2755" s="2"/>
    </row>
    <row r="2756" spans="4:11" x14ac:dyDescent="0.2">
      <c r="D2756" s="2"/>
      <c r="E2756" s="2"/>
      <c r="F2756" s="2"/>
      <c r="G2756" s="2"/>
      <c r="H2756" s="2"/>
      <c r="I2756" s="2"/>
      <c r="J2756" s="2"/>
      <c r="K2756" s="2"/>
    </row>
    <row r="2757" spans="4:11" x14ac:dyDescent="0.2">
      <c r="D2757" s="2"/>
      <c r="E2757" s="2"/>
      <c r="F2757" s="2"/>
      <c r="G2757" s="2"/>
      <c r="H2757" s="2"/>
      <c r="I2757" s="2"/>
      <c r="J2757" s="2"/>
      <c r="K2757" s="2"/>
    </row>
    <row r="2758" spans="4:11" x14ac:dyDescent="0.2">
      <c r="D2758" s="2"/>
      <c r="E2758" s="2"/>
      <c r="F2758" s="2"/>
      <c r="G2758" s="2"/>
      <c r="H2758" s="2"/>
      <c r="I2758" s="2"/>
      <c r="J2758" s="2"/>
      <c r="K2758" s="2"/>
    </row>
    <row r="2759" spans="4:11" x14ac:dyDescent="0.2">
      <c r="D2759" s="2"/>
      <c r="E2759" s="2"/>
      <c r="F2759" s="2"/>
      <c r="G2759" s="2"/>
      <c r="H2759" s="2"/>
      <c r="I2759" s="2"/>
      <c r="J2759" s="2"/>
      <c r="K2759" s="2"/>
    </row>
    <row r="2760" spans="4:11" x14ac:dyDescent="0.2">
      <c r="D2760" s="2"/>
      <c r="E2760" s="2"/>
      <c r="F2760" s="2"/>
      <c r="G2760" s="2"/>
      <c r="H2760" s="2"/>
      <c r="I2760" s="2"/>
      <c r="J2760" s="2"/>
      <c r="K2760" s="2"/>
    </row>
    <row r="2761" spans="4:11" x14ac:dyDescent="0.2">
      <c r="D2761" s="2"/>
      <c r="E2761" s="2"/>
      <c r="F2761" s="2"/>
      <c r="G2761" s="2"/>
      <c r="H2761" s="2"/>
      <c r="I2761" s="2"/>
      <c r="J2761" s="2"/>
      <c r="K2761" s="2"/>
    </row>
    <row r="2762" spans="4:11" x14ac:dyDescent="0.2">
      <c r="D2762" s="2"/>
      <c r="E2762" s="2"/>
      <c r="F2762" s="2"/>
      <c r="G2762" s="2"/>
      <c r="H2762" s="2"/>
      <c r="I2762" s="2"/>
      <c r="J2762" s="2"/>
      <c r="K2762" s="2"/>
    </row>
    <row r="2763" spans="4:11" x14ac:dyDescent="0.2">
      <c r="D2763" s="2"/>
      <c r="E2763" s="2"/>
      <c r="F2763" s="2"/>
      <c r="G2763" s="2"/>
      <c r="H2763" s="2"/>
      <c r="I2763" s="2"/>
      <c r="J2763" s="2"/>
      <c r="K2763" s="2"/>
    </row>
    <row r="2764" spans="4:11" x14ac:dyDescent="0.2">
      <c r="D2764" s="2"/>
      <c r="E2764" s="2"/>
      <c r="F2764" s="2"/>
      <c r="G2764" s="2"/>
      <c r="H2764" s="2"/>
      <c r="I2764" s="2"/>
      <c r="J2764" s="2"/>
      <c r="K2764" s="2"/>
    </row>
    <row r="2765" spans="4:11" x14ac:dyDescent="0.2">
      <c r="D2765" s="2"/>
      <c r="E2765" s="2"/>
      <c r="F2765" s="2"/>
      <c r="G2765" s="2"/>
      <c r="H2765" s="2"/>
      <c r="I2765" s="2"/>
      <c r="J2765" s="2"/>
      <c r="K2765" s="2"/>
    </row>
    <row r="2766" spans="4:11" x14ac:dyDescent="0.2">
      <c r="D2766" s="2"/>
      <c r="E2766" s="2"/>
      <c r="F2766" s="2"/>
      <c r="G2766" s="2"/>
      <c r="H2766" s="2"/>
      <c r="I2766" s="2"/>
      <c r="J2766" s="2"/>
      <c r="K2766" s="2"/>
    </row>
    <row r="2767" spans="4:11" x14ac:dyDescent="0.2">
      <c r="D2767" s="2"/>
      <c r="E2767" s="2"/>
      <c r="F2767" s="2"/>
      <c r="G2767" s="2"/>
      <c r="H2767" s="2"/>
      <c r="I2767" s="2"/>
      <c r="J2767" s="2"/>
      <c r="K2767" s="2"/>
    </row>
    <row r="2768" spans="4:11" x14ac:dyDescent="0.2">
      <c r="D2768" s="2"/>
      <c r="E2768" s="2"/>
      <c r="F2768" s="2"/>
      <c r="G2768" s="2"/>
      <c r="H2768" s="2"/>
      <c r="I2768" s="2"/>
      <c r="J2768" s="2"/>
      <c r="K2768" s="2"/>
    </row>
    <row r="2769" spans="4:11" x14ac:dyDescent="0.2">
      <c r="D2769" s="2"/>
      <c r="E2769" s="2"/>
      <c r="F2769" s="2"/>
      <c r="G2769" s="2"/>
      <c r="H2769" s="2"/>
      <c r="I2769" s="2"/>
      <c r="J2769" s="2"/>
      <c r="K2769" s="2"/>
    </row>
    <row r="2770" spans="4:11" x14ac:dyDescent="0.2">
      <c r="D2770" s="2"/>
      <c r="E2770" s="2"/>
      <c r="F2770" s="2"/>
      <c r="G2770" s="2"/>
      <c r="H2770" s="2"/>
      <c r="I2770" s="2"/>
      <c r="J2770" s="2"/>
      <c r="K2770" s="2"/>
    </row>
    <row r="2771" spans="4:11" x14ac:dyDescent="0.2">
      <c r="D2771" s="2"/>
      <c r="E2771" s="2"/>
      <c r="F2771" s="2"/>
      <c r="G2771" s="2"/>
      <c r="H2771" s="2"/>
      <c r="I2771" s="2"/>
      <c r="J2771" s="2"/>
      <c r="K2771" s="2"/>
    </row>
    <row r="2772" spans="4:11" x14ac:dyDescent="0.2">
      <c r="D2772" s="2"/>
      <c r="E2772" s="2"/>
      <c r="F2772" s="2"/>
      <c r="G2772" s="2"/>
      <c r="H2772" s="2"/>
      <c r="I2772" s="2"/>
      <c r="J2772" s="2"/>
      <c r="K2772" s="2"/>
    </row>
    <row r="2773" spans="4:11" x14ac:dyDescent="0.2">
      <c r="D2773" s="2"/>
      <c r="E2773" s="2"/>
      <c r="F2773" s="2"/>
      <c r="G2773" s="2"/>
      <c r="H2773" s="2"/>
      <c r="I2773" s="2"/>
      <c r="J2773" s="2"/>
      <c r="K2773" s="2"/>
    </row>
    <row r="2774" spans="4:11" x14ac:dyDescent="0.2">
      <c r="D2774" s="2"/>
      <c r="E2774" s="2"/>
      <c r="F2774" s="2"/>
      <c r="G2774" s="2"/>
      <c r="H2774" s="2"/>
      <c r="I2774" s="2"/>
      <c r="J2774" s="2"/>
      <c r="K2774" s="2"/>
    </row>
    <row r="2775" spans="4:11" x14ac:dyDescent="0.2">
      <c r="D2775" s="2"/>
      <c r="E2775" s="2"/>
      <c r="F2775" s="2"/>
      <c r="G2775" s="2"/>
      <c r="H2775" s="2"/>
      <c r="I2775" s="2"/>
      <c r="J2775" s="2"/>
      <c r="K2775" s="2"/>
    </row>
    <row r="2776" spans="4:11" x14ac:dyDescent="0.2">
      <c r="D2776" s="2"/>
      <c r="E2776" s="2"/>
      <c r="F2776" s="2"/>
      <c r="G2776" s="2"/>
      <c r="H2776" s="2"/>
      <c r="I2776" s="2"/>
      <c r="J2776" s="2"/>
      <c r="K2776" s="2"/>
    </row>
    <row r="2777" spans="4:11" x14ac:dyDescent="0.2">
      <c r="D2777" s="2"/>
      <c r="E2777" s="2"/>
      <c r="F2777" s="2"/>
      <c r="G2777" s="2"/>
      <c r="H2777" s="2"/>
      <c r="I2777" s="2"/>
      <c r="J2777" s="2"/>
      <c r="K2777" s="2"/>
    </row>
    <row r="2778" spans="4:11" x14ac:dyDescent="0.2">
      <c r="D2778" s="2"/>
      <c r="E2778" s="2"/>
      <c r="F2778" s="2"/>
      <c r="G2778" s="2"/>
      <c r="H2778" s="2"/>
      <c r="I2778" s="2"/>
      <c r="J2778" s="2"/>
      <c r="K2778" s="2"/>
    </row>
    <row r="2779" spans="4:11" x14ac:dyDescent="0.2">
      <c r="D2779" s="2"/>
      <c r="E2779" s="2"/>
      <c r="F2779" s="2"/>
      <c r="G2779" s="2"/>
      <c r="H2779" s="2"/>
      <c r="I2779" s="2"/>
      <c r="J2779" s="2"/>
      <c r="K2779" s="2"/>
    </row>
    <row r="2780" spans="4:11" x14ac:dyDescent="0.2">
      <c r="D2780" s="2"/>
      <c r="E2780" s="2"/>
      <c r="F2780" s="2"/>
      <c r="G2780" s="2"/>
      <c r="H2780" s="2"/>
      <c r="I2780" s="2"/>
      <c r="J2780" s="2"/>
      <c r="K2780" s="2"/>
    </row>
    <row r="2781" spans="4:11" x14ac:dyDescent="0.2">
      <c r="D2781" s="2"/>
      <c r="E2781" s="2"/>
      <c r="F2781" s="2"/>
      <c r="G2781" s="2"/>
      <c r="H2781" s="2"/>
      <c r="I2781" s="2"/>
      <c r="J2781" s="2"/>
      <c r="K2781" s="2"/>
    </row>
    <row r="2782" spans="4:11" x14ac:dyDescent="0.2">
      <c r="D2782" s="2"/>
      <c r="E2782" s="2"/>
      <c r="F2782" s="2"/>
      <c r="G2782" s="2"/>
      <c r="H2782" s="2"/>
      <c r="I2782" s="2"/>
      <c r="J2782" s="2"/>
      <c r="K2782" s="2"/>
    </row>
    <row r="2783" spans="4:11" x14ac:dyDescent="0.2">
      <c r="D2783" s="2"/>
      <c r="E2783" s="2"/>
      <c r="F2783" s="2"/>
      <c r="G2783" s="2"/>
      <c r="H2783" s="2"/>
      <c r="I2783" s="2"/>
      <c r="J2783" s="2"/>
      <c r="K2783" s="2"/>
    </row>
    <row r="2784" spans="4:11" x14ac:dyDescent="0.2">
      <c r="D2784" s="2"/>
      <c r="E2784" s="2"/>
      <c r="F2784" s="2"/>
      <c r="G2784" s="2"/>
      <c r="H2784" s="2"/>
      <c r="I2784" s="2"/>
      <c r="J2784" s="2"/>
      <c r="K2784" s="2"/>
    </row>
    <row r="2785" spans="4:11" x14ac:dyDescent="0.2">
      <c r="D2785" s="2"/>
      <c r="E2785" s="2"/>
      <c r="F2785" s="2"/>
      <c r="G2785" s="2"/>
      <c r="H2785" s="2"/>
      <c r="I2785" s="2"/>
      <c r="J2785" s="2"/>
      <c r="K2785" s="2"/>
    </row>
    <row r="2786" spans="4:11" x14ac:dyDescent="0.2">
      <c r="D2786" s="2"/>
      <c r="E2786" s="2"/>
      <c r="F2786" s="2"/>
      <c r="G2786" s="2"/>
      <c r="H2786" s="2"/>
      <c r="I2786" s="2"/>
      <c r="J2786" s="2"/>
      <c r="K2786" s="2"/>
    </row>
    <row r="2787" spans="4:11" x14ac:dyDescent="0.2">
      <c r="D2787" s="2"/>
      <c r="E2787" s="2"/>
      <c r="F2787" s="2"/>
      <c r="G2787" s="2"/>
      <c r="H2787" s="2"/>
      <c r="I2787" s="2"/>
      <c r="J2787" s="2"/>
      <c r="K2787" s="2"/>
    </row>
    <row r="2788" spans="4:11" x14ac:dyDescent="0.2">
      <c r="D2788" s="2"/>
      <c r="E2788" s="2"/>
      <c r="F2788" s="2"/>
      <c r="G2788" s="2"/>
      <c r="H2788" s="2"/>
      <c r="I2788" s="2"/>
      <c r="J2788" s="2"/>
      <c r="K2788" s="2"/>
    </row>
    <row r="2789" spans="4:11" x14ac:dyDescent="0.2">
      <c r="D2789" s="2"/>
      <c r="E2789" s="2"/>
      <c r="F2789" s="2"/>
      <c r="G2789" s="2"/>
      <c r="H2789" s="2"/>
      <c r="I2789" s="2"/>
      <c r="J2789" s="2"/>
      <c r="K2789" s="2"/>
    </row>
    <row r="2790" spans="4:11" x14ac:dyDescent="0.2">
      <c r="D2790" s="2"/>
      <c r="E2790" s="2"/>
      <c r="F2790" s="2"/>
      <c r="G2790" s="2"/>
      <c r="H2790" s="2"/>
      <c r="I2790" s="2"/>
      <c r="J2790" s="2"/>
      <c r="K2790" s="2"/>
    </row>
    <row r="2791" spans="4:11" x14ac:dyDescent="0.2">
      <c r="D2791" s="2"/>
      <c r="E2791" s="2"/>
      <c r="F2791" s="2"/>
      <c r="G2791" s="2"/>
      <c r="H2791" s="2"/>
      <c r="I2791" s="2"/>
      <c r="J2791" s="2"/>
      <c r="K2791" s="2"/>
    </row>
    <row r="2792" spans="4:11" x14ac:dyDescent="0.2">
      <c r="D2792" s="2"/>
      <c r="E2792" s="2"/>
      <c r="F2792" s="2"/>
      <c r="G2792" s="2"/>
      <c r="H2792" s="2"/>
      <c r="I2792" s="2"/>
      <c r="J2792" s="2"/>
      <c r="K2792" s="2"/>
    </row>
    <row r="2793" spans="4:11" x14ac:dyDescent="0.2">
      <c r="D2793" s="2"/>
      <c r="E2793" s="2"/>
      <c r="F2793" s="2"/>
      <c r="G2793" s="2"/>
      <c r="H2793" s="2"/>
      <c r="I2793" s="2"/>
      <c r="J2793" s="2"/>
      <c r="K2793" s="2"/>
    </row>
    <row r="2794" spans="4:11" x14ac:dyDescent="0.2">
      <c r="D2794" s="2"/>
      <c r="E2794" s="2"/>
      <c r="F2794" s="2"/>
      <c r="G2794" s="2"/>
      <c r="H2794" s="2"/>
      <c r="I2794" s="2"/>
      <c r="J2794" s="2"/>
      <c r="K2794" s="2"/>
    </row>
    <row r="2795" spans="4:11" x14ac:dyDescent="0.2">
      <c r="D2795" s="2"/>
      <c r="E2795" s="2"/>
      <c r="F2795" s="2"/>
      <c r="G2795" s="2"/>
      <c r="H2795" s="2"/>
      <c r="I2795" s="2"/>
      <c r="J2795" s="2"/>
      <c r="K2795" s="2"/>
    </row>
    <row r="2796" spans="4:11" x14ac:dyDescent="0.2">
      <c r="D2796" s="2"/>
      <c r="E2796" s="2"/>
      <c r="F2796" s="2"/>
      <c r="G2796" s="2"/>
      <c r="H2796" s="2"/>
      <c r="I2796" s="2"/>
      <c r="J2796" s="2"/>
      <c r="K2796" s="2"/>
    </row>
    <row r="2797" spans="4:11" x14ac:dyDescent="0.2">
      <c r="D2797" s="2"/>
      <c r="E2797" s="2"/>
      <c r="F2797" s="2"/>
      <c r="G2797" s="2"/>
      <c r="H2797" s="2"/>
      <c r="I2797" s="2"/>
      <c r="J2797" s="2"/>
      <c r="K2797" s="2"/>
    </row>
    <row r="2798" spans="4:11" x14ac:dyDescent="0.2">
      <c r="D2798" s="2"/>
      <c r="E2798" s="2"/>
      <c r="F2798" s="2"/>
      <c r="G2798" s="2"/>
      <c r="H2798" s="2"/>
      <c r="I2798" s="2"/>
      <c r="J2798" s="2"/>
      <c r="K2798" s="2"/>
    </row>
    <row r="2799" spans="4:11" x14ac:dyDescent="0.2">
      <c r="D2799" s="2"/>
      <c r="E2799" s="2"/>
      <c r="F2799" s="2"/>
      <c r="G2799" s="2"/>
      <c r="H2799" s="2"/>
      <c r="I2799" s="2"/>
      <c r="J2799" s="2"/>
      <c r="K2799" s="2"/>
    </row>
    <row r="2800" spans="4:11" x14ac:dyDescent="0.2">
      <c r="D2800" s="2"/>
      <c r="E2800" s="2"/>
      <c r="F2800" s="2"/>
      <c r="G2800" s="2"/>
      <c r="H2800" s="2"/>
      <c r="I2800" s="2"/>
      <c r="J2800" s="2"/>
      <c r="K2800" s="2"/>
    </row>
    <row r="2801" spans="4:11" x14ac:dyDescent="0.2">
      <c r="D2801" s="2"/>
      <c r="E2801" s="2"/>
      <c r="F2801" s="2"/>
      <c r="G2801" s="2"/>
      <c r="H2801" s="2"/>
      <c r="I2801" s="2"/>
      <c r="J2801" s="2"/>
      <c r="K2801" s="2"/>
    </row>
    <row r="2802" spans="4:11" x14ac:dyDescent="0.2">
      <c r="D2802" s="2"/>
      <c r="E2802" s="2"/>
      <c r="F2802" s="2"/>
      <c r="G2802" s="2"/>
      <c r="H2802" s="2"/>
      <c r="I2802" s="2"/>
      <c r="J2802" s="2"/>
      <c r="K2802" s="2"/>
    </row>
    <row r="2803" spans="4:11" x14ac:dyDescent="0.2">
      <c r="D2803" s="2"/>
      <c r="E2803" s="2"/>
      <c r="F2803" s="2"/>
      <c r="G2803" s="2"/>
      <c r="H2803" s="2"/>
      <c r="I2803" s="2"/>
      <c r="J2803" s="2"/>
      <c r="K2803" s="2"/>
    </row>
    <row r="2804" spans="4:11" x14ac:dyDescent="0.2">
      <c r="D2804" s="2"/>
      <c r="E2804" s="2"/>
      <c r="F2804" s="2"/>
      <c r="G2804" s="2"/>
      <c r="H2804" s="2"/>
      <c r="I2804" s="2"/>
      <c r="J2804" s="2"/>
      <c r="K2804" s="2"/>
    </row>
    <row r="2805" spans="4:11" x14ac:dyDescent="0.2">
      <c r="D2805" s="2"/>
      <c r="E2805" s="2"/>
      <c r="F2805" s="2"/>
      <c r="G2805" s="2"/>
      <c r="H2805" s="2"/>
      <c r="I2805" s="2"/>
      <c r="J2805" s="2"/>
      <c r="K2805" s="2"/>
    </row>
    <row r="2806" spans="4:11" x14ac:dyDescent="0.2">
      <c r="D2806" s="2"/>
      <c r="E2806" s="2"/>
      <c r="F2806" s="2"/>
      <c r="G2806" s="2"/>
      <c r="H2806" s="2"/>
      <c r="I2806" s="2"/>
      <c r="J2806" s="2"/>
      <c r="K2806" s="2"/>
    </row>
    <row r="2807" spans="4:11" x14ac:dyDescent="0.2">
      <c r="D2807" s="2"/>
      <c r="E2807" s="2"/>
      <c r="F2807" s="2"/>
      <c r="G2807" s="2"/>
      <c r="H2807" s="2"/>
      <c r="I2807" s="2"/>
      <c r="J2807" s="2"/>
      <c r="K2807" s="2"/>
    </row>
    <row r="2808" spans="4:11" x14ac:dyDescent="0.2">
      <c r="D2808" s="2"/>
      <c r="E2808" s="2"/>
      <c r="F2808" s="2"/>
      <c r="G2808" s="2"/>
      <c r="H2808" s="2"/>
      <c r="I2808" s="2"/>
      <c r="J2808" s="2"/>
      <c r="K2808" s="2"/>
    </row>
    <row r="2809" spans="4:11" x14ac:dyDescent="0.2">
      <c r="D2809" s="2"/>
      <c r="E2809" s="2"/>
      <c r="F2809" s="2"/>
      <c r="G2809" s="2"/>
      <c r="H2809" s="2"/>
      <c r="I2809" s="2"/>
      <c r="J2809" s="2"/>
      <c r="K2809" s="2"/>
    </row>
    <row r="2810" spans="4:11" x14ac:dyDescent="0.2">
      <c r="D2810" s="2"/>
      <c r="E2810" s="2"/>
      <c r="F2810" s="2"/>
      <c r="G2810" s="2"/>
      <c r="H2810" s="2"/>
      <c r="I2810" s="2"/>
      <c r="J2810" s="2"/>
      <c r="K2810" s="2"/>
    </row>
    <row r="2811" spans="4:11" x14ac:dyDescent="0.2">
      <c r="D2811" s="2"/>
      <c r="E2811" s="2"/>
      <c r="F2811" s="2"/>
      <c r="G2811" s="2"/>
      <c r="H2811" s="2"/>
      <c r="I2811" s="2"/>
      <c r="J2811" s="2"/>
      <c r="K2811" s="2"/>
    </row>
    <row r="2812" spans="4:11" x14ac:dyDescent="0.2">
      <c r="D2812" s="2"/>
      <c r="E2812" s="2"/>
      <c r="F2812" s="2"/>
      <c r="G2812" s="2"/>
      <c r="H2812" s="2"/>
      <c r="I2812" s="2"/>
      <c r="J2812" s="2"/>
      <c r="K2812" s="2"/>
    </row>
    <row r="2813" spans="4:11" x14ac:dyDescent="0.2">
      <c r="D2813" s="2"/>
      <c r="E2813" s="2"/>
      <c r="F2813" s="2"/>
      <c r="G2813" s="2"/>
      <c r="H2813" s="2"/>
      <c r="I2813" s="2"/>
      <c r="J2813" s="2"/>
      <c r="K2813" s="2"/>
    </row>
    <row r="2814" spans="4:11" x14ac:dyDescent="0.2">
      <c r="D2814" s="2"/>
      <c r="E2814" s="2"/>
      <c r="F2814" s="2"/>
      <c r="G2814" s="2"/>
      <c r="H2814" s="2"/>
      <c r="I2814" s="2"/>
      <c r="J2814" s="2"/>
      <c r="K2814" s="2"/>
    </row>
    <row r="2815" spans="4:11" x14ac:dyDescent="0.2">
      <c r="D2815" s="2"/>
      <c r="E2815" s="2"/>
      <c r="F2815" s="2"/>
      <c r="G2815" s="2"/>
      <c r="H2815" s="2"/>
      <c r="I2815" s="2"/>
      <c r="J2815" s="2"/>
      <c r="K2815" s="2"/>
    </row>
    <row r="2816" spans="4:11" x14ac:dyDescent="0.2">
      <c r="D2816" s="2"/>
      <c r="E2816" s="2"/>
      <c r="F2816" s="2"/>
      <c r="G2816" s="2"/>
      <c r="H2816" s="2"/>
      <c r="I2816" s="2"/>
      <c r="J2816" s="2"/>
      <c r="K2816" s="2"/>
    </row>
    <row r="2817" spans="4:11" x14ac:dyDescent="0.2">
      <c r="D2817" s="2"/>
      <c r="E2817" s="2"/>
      <c r="F2817" s="2"/>
      <c r="G2817" s="2"/>
      <c r="H2817" s="2"/>
      <c r="I2817" s="2"/>
      <c r="J2817" s="2"/>
      <c r="K2817" s="2"/>
    </row>
    <row r="2818" spans="4:11" x14ac:dyDescent="0.2">
      <c r="D2818" s="2"/>
      <c r="E2818" s="2"/>
      <c r="F2818" s="2"/>
      <c r="G2818" s="2"/>
      <c r="H2818" s="2"/>
      <c r="I2818" s="2"/>
      <c r="J2818" s="2"/>
      <c r="K2818" s="2"/>
    </row>
    <row r="2819" spans="4:11" x14ac:dyDescent="0.2">
      <c r="D2819" s="2"/>
      <c r="E2819" s="2"/>
      <c r="F2819" s="2"/>
      <c r="G2819" s="2"/>
      <c r="H2819" s="2"/>
      <c r="I2819" s="2"/>
      <c r="J2819" s="2"/>
      <c r="K2819" s="2"/>
    </row>
    <row r="2820" spans="4:11" x14ac:dyDescent="0.2">
      <c r="D2820" s="2"/>
      <c r="E2820" s="2"/>
      <c r="F2820" s="2"/>
      <c r="G2820" s="2"/>
      <c r="H2820" s="2"/>
      <c r="I2820" s="2"/>
      <c r="J2820" s="2"/>
      <c r="K2820" s="2"/>
    </row>
    <row r="2821" spans="4:11" x14ac:dyDescent="0.2">
      <c r="D2821" s="2"/>
      <c r="E2821" s="2"/>
      <c r="F2821" s="2"/>
      <c r="G2821" s="2"/>
      <c r="H2821" s="2"/>
      <c r="I2821" s="2"/>
      <c r="J2821" s="2"/>
      <c r="K2821" s="2"/>
    </row>
    <row r="2822" spans="4:11" x14ac:dyDescent="0.2">
      <c r="D2822" s="2"/>
      <c r="E2822" s="2"/>
      <c r="F2822" s="2"/>
      <c r="G2822" s="2"/>
      <c r="H2822" s="2"/>
      <c r="I2822" s="2"/>
      <c r="J2822" s="2"/>
      <c r="K2822" s="2"/>
    </row>
    <row r="2823" spans="4:11" x14ac:dyDescent="0.2">
      <c r="D2823" s="2"/>
      <c r="E2823" s="2"/>
      <c r="F2823" s="2"/>
      <c r="G2823" s="2"/>
      <c r="H2823" s="2"/>
      <c r="I2823" s="2"/>
      <c r="J2823" s="2"/>
      <c r="K2823" s="2"/>
    </row>
    <row r="2824" spans="4:11" x14ac:dyDescent="0.2">
      <c r="D2824" s="2"/>
      <c r="E2824" s="2"/>
      <c r="F2824" s="2"/>
      <c r="G2824" s="2"/>
      <c r="H2824" s="2"/>
      <c r="I2824" s="2"/>
      <c r="J2824" s="2"/>
      <c r="K2824" s="2"/>
    </row>
    <row r="2825" spans="4:11" x14ac:dyDescent="0.2">
      <c r="D2825" s="2"/>
      <c r="E2825" s="2"/>
      <c r="F2825" s="2"/>
      <c r="G2825" s="2"/>
      <c r="H2825" s="2"/>
      <c r="I2825" s="2"/>
      <c r="J2825" s="2"/>
      <c r="K2825" s="2"/>
    </row>
    <row r="2826" spans="4:11" x14ac:dyDescent="0.2">
      <c r="D2826" s="2"/>
      <c r="E2826" s="2"/>
      <c r="F2826" s="2"/>
      <c r="G2826" s="2"/>
      <c r="H2826" s="2"/>
      <c r="I2826" s="2"/>
      <c r="J2826" s="2"/>
      <c r="K2826" s="2"/>
    </row>
    <row r="2827" spans="4:11" x14ac:dyDescent="0.2">
      <c r="D2827" s="2"/>
      <c r="E2827" s="2"/>
      <c r="F2827" s="2"/>
      <c r="G2827" s="2"/>
      <c r="H2827" s="2"/>
      <c r="I2827" s="2"/>
      <c r="J2827" s="2"/>
      <c r="K2827" s="2"/>
    </row>
    <row r="2828" spans="4:11" x14ac:dyDescent="0.2">
      <c r="D2828" s="2"/>
      <c r="E2828" s="2"/>
      <c r="F2828" s="2"/>
      <c r="G2828" s="2"/>
      <c r="H2828" s="2"/>
      <c r="I2828" s="2"/>
      <c r="J2828" s="2"/>
      <c r="K2828" s="2"/>
    </row>
    <row r="2829" spans="4:11" x14ac:dyDescent="0.2">
      <c r="D2829" s="2"/>
      <c r="E2829" s="2"/>
      <c r="F2829" s="2"/>
      <c r="G2829" s="2"/>
      <c r="H2829" s="2"/>
      <c r="I2829" s="2"/>
      <c r="J2829" s="2"/>
      <c r="K2829" s="2"/>
    </row>
    <row r="2830" spans="4:11" x14ac:dyDescent="0.2">
      <c r="D2830" s="2"/>
      <c r="E2830" s="2"/>
      <c r="F2830" s="2"/>
      <c r="G2830" s="2"/>
      <c r="H2830" s="2"/>
      <c r="I2830" s="2"/>
      <c r="J2830" s="2"/>
      <c r="K2830" s="2"/>
    </row>
    <row r="2831" spans="4:11" x14ac:dyDescent="0.2">
      <c r="D2831" s="2"/>
      <c r="E2831" s="2"/>
      <c r="F2831" s="2"/>
      <c r="G2831" s="2"/>
      <c r="H2831" s="2"/>
      <c r="I2831" s="2"/>
      <c r="J2831" s="2"/>
      <c r="K2831" s="2"/>
    </row>
    <row r="2832" spans="4:11" x14ac:dyDescent="0.2">
      <c r="D2832" s="2"/>
      <c r="E2832" s="2"/>
      <c r="F2832" s="2"/>
      <c r="G2832" s="2"/>
      <c r="H2832" s="2"/>
      <c r="I2832" s="2"/>
      <c r="J2832" s="2"/>
      <c r="K2832" s="2"/>
    </row>
    <row r="2833" spans="4:11" x14ac:dyDescent="0.2">
      <c r="D2833" s="2"/>
      <c r="E2833" s="2"/>
      <c r="F2833" s="2"/>
      <c r="G2833" s="2"/>
      <c r="H2833" s="2"/>
      <c r="I2833" s="2"/>
      <c r="J2833" s="2"/>
      <c r="K2833" s="2"/>
    </row>
    <row r="2834" spans="4:11" x14ac:dyDescent="0.2">
      <c r="D2834" s="2"/>
      <c r="E2834" s="2"/>
      <c r="F2834" s="2"/>
      <c r="G2834" s="2"/>
      <c r="H2834" s="2"/>
      <c r="I2834" s="2"/>
      <c r="J2834" s="2"/>
      <c r="K2834" s="2"/>
    </row>
    <row r="2835" spans="4:11" x14ac:dyDescent="0.2">
      <c r="D2835" s="2"/>
      <c r="E2835" s="2"/>
      <c r="F2835" s="2"/>
      <c r="G2835" s="2"/>
      <c r="H2835" s="2"/>
      <c r="I2835" s="2"/>
      <c r="J2835" s="2"/>
      <c r="K2835" s="2"/>
    </row>
    <row r="2836" spans="4:11" x14ac:dyDescent="0.2">
      <c r="D2836" s="2"/>
      <c r="E2836" s="2"/>
      <c r="F2836" s="2"/>
      <c r="G2836" s="2"/>
      <c r="H2836" s="2"/>
      <c r="I2836" s="2"/>
      <c r="J2836" s="2"/>
      <c r="K2836" s="2"/>
    </row>
    <row r="2837" spans="4:11" x14ac:dyDescent="0.2">
      <c r="D2837" s="2"/>
      <c r="E2837" s="2"/>
      <c r="F2837" s="2"/>
      <c r="G2837" s="2"/>
      <c r="H2837" s="2"/>
      <c r="I2837" s="2"/>
      <c r="J2837" s="2"/>
      <c r="K2837" s="2"/>
    </row>
    <row r="2838" spans="4:11" x14ac:dyDescent="0.2">
      <c r="D2838" s="2"/>
      <c r="E2838" s="2"/>
      <c r="F2838" s="2"/>
      <c r="G2838" s="2"/>
      <c r="H2838" s="2"/>
      <c r="I2838" s="2"/>
      <c r="J2838" s="2"/>
      <c r="K2838" s="2"/>
    </row>
    <row r="2839" spans="4:11" x14ac:dyDescent="0.2">
      <c r="D2839" s="2"/>
      <c r="E2839" s="2"/>
      <c r="F2839" s="2"/>
      <c r="G2839" s="2"/>
      <c r="H2839" s="2"/>
      <c r="I2839" s="2"/>
      <c r="J2839" s="2"/>
      <c r="K2839" s="2"/>
    </row>
    <row r="2840" spans="4:11" x14ac:dyDescent="0.2">
      <c r="D2840" s="2"/>
      <c r="E2840" s="2"/>
      <c r="F2840" s="2"/>
      <c r="G2840" s="2"/>
      <c r="H2840" s="2"/>
      <c r="I2840" s="2"/>
      <c r="J2840" s="2"/>
      <c r="K2840" s="2"/>
    </row>
    <row r="2841" spans="4:11" x14ac:dyDescent="0.2">
      <c r="D2841" s="2"/>
      <c r="E2841" s="2"/>
      <c r="F2841" s="2"/>
      <c r="G2841" s="2"/>
      <c r="H2841" s="2"/>
      <c r="I2841" s="2"/>
      <c r="J2841" s="2"/>
      <c r="K2841" s="2"/>
    </row>
    <row r="2842" spans="4:11" x14ac:dyDescent="0.2">
      <c r="D2842" s="2"/>
      <c r="E2842" s="2"/>
      <c r="F2842" s="2"/>
      <c r="G2842" s="2"/>
      <c r="H2842" s="2"/>
      <c r="I2842" s="2"/>
      <c r="J2842" s="2"/>
      <c r="K2842" s="2"/>
    </row>
    <row r="2843" spans="4:11" x14ac:dyDescent="0.2">
      <c r="D2843" s="2"/>
      <c r="E2843" s="2"/>
      <c r="F2843" s="2"/>
      <c r="G2843" s="2"/>
      <c r="H2843" s="2"/>
      <c r="I2843" s="2"/>
      <c r="J2843" s="2"/>
      <c r="K2843" s="2"/>
    </row>
    <row r="2844" spans="4:11" x14ac:dyDescent="0.2">
      <c r="D2844" s="2"/>
      <c r="E2844" s="2"/>
      <c r="F2844" s="2"/>
      <c r="G2844" s="2"/>
      <c r="H2844" s="2"/>
      <c r="I2844" s="2"/>
      <c r="J2844" s="2"/>
      <c r="K2844" s="2"/>
    </row>
    <row r="2845" spans="4:11" x14ac:dyDescent="0.2">
      <c r="D2845" s="2"/>
      <c r="E2845" s="2"/>
      <c r="F2845" s="2"/>
      <c r="G2845" s="2"/>
      <c r="H2845" s="2"/>
      <c r="I2845" s="2"/>
      <c r="J2845" s="2"/>
      <c r="K2845" s="2"/>
    </row>
    <row r="2846" spans="4:11" x14ac:dyDescent="0.2">
      <c r="D2846" s="2"/>
      <c r="E2846" s="2"/>
      <c r="F2846" s="2"/>
      <c r="G2846" s="2"/>
      <c r="H2846" s="2"/>
      <c r="I2846" s="2"/>
      <c r="J2846" s="2"/>
      <c r="K2846" s="2"/>
    </row>
    <row r="2847" spans="4:11" x14ac:dyDescent="0.2">
      <c r="D2847" s="2"/>
      <c r="E2847" s="2"/>
      <c r="F2847" s="2"/>
      <c r="G2847" s="2"/>
      <c r="H2847" s="2"/>
      <c r="I2847" s="2"/>
      <c r="J2847" s="2"/>
      <c r="K2847" s="2"/>
    </row>
    <row r="2848" spans="4:11" x14ac:dyDescent="0.2">
      <c r="D2848" s="2"/>
      <c r="E2848" s="2"/>
      <c r="F2848" s="2"/>
      <c r="G2848" s="2"/>
      <c r="H2848" s="2"/>
      <c r="I2848" s="2"/>
      <c r="J2848" s="2"/>
      <c r="K2848" s="2"/>
    </row>
    <row r="2849" spans="4:11" x14ac:dyDescent="0.2">
      <c r="D2849" s="2"/>
      <c r="E2849" s="2"/>
      <c r="F2849" s="2"/>
      <c r="G2849" s="2"/>
      <c r="H2849" s="2"/>
      <c r="I2849" s="2"/>
      <c r="J2849" s="2"/>
      <c r="K2849" s="2"/>
    </row>
    <row r="2850" spans="4:11" x14ac:dyDescent="0.2">
      <c r="D2850" s="2"/>
      <c r="E2850" s="2"/>
      <c r="F2850" s="2"/>
      <c r="G2850" s="2"/>
      <c r="H2850" s="2"/>
      <c r="I2850" s="2"/>
      <c r="J2850" s="2"/>
      <c r="K2850" s="2"/>
    </row>
    <row r="2851" spans="4:11" x14ac:dyDescent="0.2">
      <c r="D2851" s="2"/>
      <c r="E2851" s="2"/>
      <c r="F2851" s="2"/>
      <c r="G2851" s="2"/>
      <c r="H2851" s="2"/>
      <c r="I2851" s="2"/>
      <c r="J2851" s="2"/>
      <c r="K2851" s="2"/>
    </row>
    <row r="2852" spans="4:11" x14ac:dyDescent="0.2">
      <c r="D2852" s="2"/>
      <c r="E2852" s="2"/>
      <c r="F2852" s="2"/>
      <c r="G2852" s="2"/>
      <c r="H2852" s="2"/>
      <c r="I2852" s="2"/>
      <c r="J2852" s="2"/>
      <c r="K2852" s="2"/>
    </row>
    <row r="2853" spans="4:11" x14ac:dyDescent="0.2">
      <c r="D2853" s="2"/>
      <c r="E2853" s="2"/>
      <c r="F2853" s="2"/>
      <c r="G2853" s="2"/>
      <c r="H2853" s="2"/>
      <c r="I2853" s="2"/>
      <c r="J2853" s="2"/>
      <c r="K2853" s="2"/>
    </row>
    <row r="2854" spans="4:11" x14ac:dyDescent="0.2">
      <c r="D2854" s="2"/>
      <c r="E2854" s="2"/>
      <c r="F2854" s="2"/>
      <c r="G2854" s="2"/>
      <c r="H2854" s="2"/>
      <c r="I2854" s="2"/>
      <c r="J2854" s="2"/>
      <c r="K2854" s="2"/>
    </row>
    <row r="2855" spans="4:11" x14ac:dyDescent="0.2">
      <c r="D2855" s="2"/>
      <c r="E2855" s="2"/>
      <c r="F2855" s="2"/>
      <c r="G2855" s="2"/>
      <c r="H2855" s="2"/>
      <c r="I2855" s="2"/>
      <c r="J2855" s="2"/>
      <c r="K2855" s="2"/>
    </row>
    <row r="2856" spans="4:11" x14ac:dyDescent="0.2">
      <c r="D2856" s="2"/>
      <c r="E2856" s="2"/>
      <c r="F2856" s="2"/>
      <c r="G2856" s="2"/>
      <c r="H2856" s="2"/>
      <c r="I2856" s="2"/>
      <c r="J2856" s="2"/>
      <c r="K2856" s="2"/>
    </row>
    <row r="2857" spans="4:11" x14ac:dyDescent="0.2">
      <c r="D2857" s="2"/>
      <c r="E2857" s="2"/>
      <c r="F2857" s="2"/>
      <c r="G2857" s="2"/>
      <c r="H2857" s="2"/>
      <c r="I2857" s="2"/>
      <c r="J2857" s="2"/>
      <c r="K2857" s="2"/>
    </row>
    <row r="2858" spans="4:11" x14ac:dyDescent="0.2">
      <c r="D2858" s="2"/>
      <c r="E2858" s="2"/>
      <c r="F2858" s="2"/>
      <c r="G2858" s="2"/>
      <c r="H2858" s="2"/>
      <c r="I2858" s="2"/>
      <c r="J2858" s="2"/>
      <c r="K2858" s="2"/>
    </row>
    <row r="2859" spans="4:11" x14ac:dyDescent="0.2">
      <c r="D2859" s="2"/>
      <c r="E2859" s="2"/>
      <c r="F2859" s="2"/>
      <c r="G2859" s="2"/>
      <c r="H2859" s="2"/>
      <c r="I2859" s="2"/>
      <c r="J2859" s="2"/>
      <c r="K2859" s="2"/>
    </row>
    <row r="2860" spans="4:11" x14ac:dyDescent="0.2">
      <c r="D2860" s="2"/>
      <c r="E2860" s="2"/>
      <c r="F2860" s="2"/>
      <c r="G2860" s="2"/>
      <c r="H2860" s="2"/>
      <c r="I2860" s="2"/>
      <c r="J2860" s="2"/>
      <c r="K2860" s="2"/>
    </row>
    <row r="2861" spans="4:11" x14ac:dyDescent="0.2">
      <c r="D2861" s="2"/>
      <c r="E2861" s="2"/>
      <c r="F2861" s="2"/>
      <c r="G2861" s="2"/>
      <c r="H2861" s="2"/>
      <c r="I2861" s="2"/>
      <c r="J2861" s="2"/>
      <c r="K2861" s="2"/>
    </row>
    <row r="2862" spans="4:11" x14ac:dyDescent="0.2">
      <c r="D2862" s="2"/>
      <c r="E2862" s="2"/>
      <c r="F2862" s="2"/>
      <c r="G2862" s="2"/>
      <c r="H2862" s="2"/>
      <c r="I2862" s="2"/>
      <c r="J2862" s="2"/>
      <c r="K2862" s="2"/>
    </row>
    <row r="2863" spans="4:11" x14ac:dyDescent="0.2">
      <c r="D2863" s="2"/>
      <c r="E2863" s="2"/>
      <c r="F2863" s="2"/>
      <c r="G2863" s="2"/>
      <c r="H2863" s="2"/>
      <c r="I2863" s="2"/>
      <c r="J2863" s="2"/>
      <c r="K2863" s="2"/>
    </row>
    <row r="2864" spans="4:11" x14ac:dyDescent="0.2">
      <c r="D2864" s="2"/>
      <c r="E2864" s="2"/>
      <c r="F2864" s="2"/>
      <c r="G2864" s="2"/>
      <c r="H2864" s="2"/>
      <c r="I2864" s="2"/>
      <c r="J2864" s="2"/>
      <c r="K2864" s="2"/>
    </row>
    <row r="2865" spans="4:11" x14ac:dyDescent="0.2">
      <c r="D2865" s="2"/>
      <c r="E2865" s="2"/>
      <c r="F2865" s="2"/>
      <c r="G2865" s="2"/>
      <c r="H2865" s="2"/>
      <c r="I2865" s="2"/>
      <c r="J2865" s="2"/>
      <c r="K2865" s="2"/>
    </row>
    <row r="2866" spans="4:11" x14ac:dyDescent="0.2">
      <c r="D2866" s="2"/>
      <c r="E2866" s="2"/>
      <c r="F2866" s="2"/>
      <c r="G2866" s="2"/>
      <c r="H2866" s="2"/>
      <c r="I2866" s="2"/>
      <c r="J2866" s="2"/>
      <c r="K2866" s="2"/>
    </row>
    <row r="2867" spans="4:11" x14ac:dyDescent="0.2">
      <c r="D2867" s="2"/>
      <c r="E2867" s="2"/>
      <c r="F2867" s="2"/>
      <c r="G2867" s="2"/>
      <c r="H2867" s="2"/>
      <c r="I2867" s="2"/>
      <c r="J2867" s="2"/>
      <c r="K2867" s="2"/>
    </row>
    <row r="2868" spans="4:11" x14ac:dyDescent="0.2">
      <c r="D2868" s="2"/>
      <c r="E2868" s="2"/>
      <c r="F2868" s="2"/>
      <c r="G2868" s="2"/>
      <c r="H2868" s="2"/>
      <c r="I2868" s="2"/>
      <c r="J2868" s="2"/>
      <c r="K2868" s="2"/>
    </row>
    <row r="2869" spans="4:11" x14ac:dyDescent="0.2">
      <c r="D2869" s="2"/>
      <c r="E2869" s="2"/>
      <c r="F2869" s="2"/>
      <c r="G2869" s="2"/>
      <c r="H2869" s="2"/>
      <c r="I2869" s="2"/>
      <c r="J2869" s="2"/>
      <c r="K2869" s="2"/>
    </row>
    <row r="2870" spans="4:11" x14ac:dyDescent="0.2">
      <c r="D2870" s="2"/>
      <c r="E2870" s="2"/>
      <c r="F2870" s="2"/>
      <c r="G2870" s="2"/>
      <c r="H2870" s="2"/>
      <c r="I2870" s="2"/>
      <c r="J2870" s="2"/>
      <c r="K2870" s="2"/>
    </row>
    <row r="2871" spans="4:11" x14ac:dyDescent="0.2">
      <c r="D2871" s="2"/>
      <c r="E2871" s="2"/>
      <c r="F2871" s="2"/>
      <c r="G2871" s="2"/>
      <c r="H2871" s="2"/>
      <c r="I2871" s="2"/>
      <c r="J2871" s="2"/>
      <c r="K2871" s="2"/>
    </row>
    <row r="2872" spans="4:11" x14ac:dyDescent="0.2">
      <c r="D2872" s="2"/>
      <c r="E2872" s="2"/>
      <c r="F2872" s="2"/>
      <c r="G2872" s="2"/>
      <c r="H2872" s="2"/>
      <c r="I2872" s="2"/>
      <c r="J2872" s="2"/>
      <c r="K2872" s="2"/>
    </row>
    <row r="2873" spans="4:11" x14ac:dyDescent="0.2">
      <c r="D2873" s="2"/>
      <c r="E2873" s="2"/>
      <c r="F2873" s="2"/>
      <c r="G2873" s="2"/>
      <c r="H2873" s="2"/>
      <c r="I2873" s="2"/>
      <c r="J2873" s="2"/>
      <c r="K2873" s="2"/>
    </row>
    <row r="2874" spans="4:11" x14ac:dyDescent="0.2">
      <c r="D2874" s="2"/>
      <c r="E2874" s="2"/>
      <c r="F2874" s="2"/>
      <c r="G2874" s="2"/>
      <c r="H2874" s="2"/>
      <c r="I2874" s="2"/>
      <c r="J2874" s="2"/>
      <c r="K2874" s="2"/>
    </row>
    <row r="2875" spans="4:11" x14ac:dyDescent="0.2">
      <c r="D2875" s="2"/>
      <c r="E2875" s="2"/>
      <c r="F2875" s="2"/>
      <c r="G2875" s="2"/>
      <c r="H2875" s="2"/>
      <c r="I2875" s="2"/>
      <c r="J2875" s="2"/>
      <c r="K2875" s="2"/>
    </row>
    <row r="2876" spans="4:11" x14ac:dyDescent="0.2">
      <c r="D2876" s="2"/>
      <c r="E2876" s="2"/>
      <c r="F2876" s="2"/>
      <c r="G2876" s="2"/>
      <c r="H2876" s="2"/>
      <c r="I2876" s="2"/>
      <c r="J2876" s="2"/>
      <c r="K2876" s="2"/>
    </row>
    <row r="2877" spans="4:11" x14ac:dyDescent="0.2">
      <c r="D2877" s="2"/>
      <c r="E2877" s="2"/>
      <c r="F2877" s="2"/>
      <c r="G2877" s="2"/>
      <c r="H2877" s="2"/>
      <c r="I2877" s="2"/>
      <c r="J2877" s="2"/>
      <c r="K2877" s="2"/>
    </row>
    <row r="2878" spans="4:11" x14ac:dyDescent="0.2">
      <c r="D2878" s="2"/>
      <c r="E2878" s="2"/>
      <c r="F2878" s="2"/>
      <c r="G2878" s="2"/>
      <c r="H2878" s="2"/>
      <c r="I2878" s="2"/>
      <c r="J2878" s="2"/>
      <c r="K2878" s="2"/>
    </row>
    <row r="2879" spans="4:11" x14ac:dyDescent="0.2">
      <c r="D2879" s="2"/>
      <c r="E2879" s="2"/>
      <c r="F2879" s="2"/>
      <c r="G2879" s="2"/>
      <c r="H2879" s="2"/>
      <c r="I2879" s="2"/>
      <c r="J2879" s="2"/>
      <c r="K2879" s="2"/>
    </row>
    <row r="2880" spans="4:11" x14ac:dyDescent="0.2">
      <c r="D2880" s="2"/>
      <c r="E2880" s="2"/>
      <c r="F2880" s="2"/>
      <c r="G2880" s="2"/>
      <c r="H2880" s="2"/>
      <c r="I2880" s="2"/>
      <c r="J2880" s="2"/>
      <c r="K2880" s="2"/>
    </row>
    <row r="2881" spans="4:11" x14ac:dyDescent="0.2">
      <c r="D2881" s="2"/>
      <c r="E2881" s="2"/>
      <c r="F2881" s="2"/>
      <c r="G2881" s="2"/>
      <c r="H2881" s="2"/>
      <c r="I2881" s="2"/>
      <c r="J2881" s="2"/>
      <c r="K2881" s="2"/>
    </row>
    <row r="2882" spans="4:11" x14ac:dyDescent="0.2">
      <c r="D2882" s="2"/>
      <c r="E2882" s="2"/>
      <c r="F2882" s="2"/>
      <c r="G2882" s="2"/>
      <c r="H2882" s="2"/>
      <c r="I2882" s="2"/>
      <c r="J2882" s="2"/>
      <c r="K2882" s="2"/>
    </row>
    <row r="2883" spans="4:11" x14ac:dyDescent="0.2">
      <c r="D2883" s="2"/>
      <c r="E2883" s="2"/>
      <c r="F2883" s="2"/>
      <c r="G2883" s="2"/>
      <c r="H2883" s="2"/>
      <c r="I2883" s="2"/>
      <c r="J2883" s="2"/>
      <c r="K2883" s="2"/>
    </row>
    <row r="2884" spans="4:11" x14ac:dyDescent="0.2">
      <c r="D2884" s="2"/>
      <c r="E2884" s="2"/>
      <c r="F2884" s="2"/>
      <c r="G2884" s="2"/>
      <c r="H2884" s="2"/>
      <c r="I2884" s="2"/>
      <c r="J2884" s="2"/>
      <c r="K2884" s="2"/>
    </row>
    <row r="2885" spans="4:11" x14ac:dyDescent="0.2">
      <c r="D2885" s="2"/>
      <c r="E2885" s="2"/>
      <c r="F2885" s="2"/>
      <c r="G2885" s="2"/>
      <c r="H2885" s="2"/>
      <c r="I2885" s="2"/>
      <c r="J2885" s="2"/>
      <c r="K2885" s="2"/>
    </row>
    <row r="2886" spans="4:11" x14ac:dyDescent="0.2">
      <c r="D2886" s="2"/>
      <c r="E2886" s="2"/>
      <c r="F2886" s="2"/>
      <c r="G2886" s="2"/>
      <c r="H2886" s="2"/>
      <c r="I2886" s="2"/>
      <c r="J2886" s="2"/>
      <c r="K2886" s="2"/>
    </row>
    <row r="2887" spans="4:11" x14ac:dyDescent="0.2">
      <c r="D2887" s="2"/>
      <c r="E2887" s="2"/>
      <c r="F2887" s="2"/>
      <c r="G2887" s="2"/>
      <c r="H2887" s="2"/>
      <c r="I2887" s="2"/>
      <c r="J2887" s="2"/>
      <c r="K2887" s="2"/>
    </row>
    <row r="2888" spans="4:11" x14ac:dyDescent="0.2">
      <c r="D2888" s="2"/>
      <c r="E2888" s="2"/>
      <c r="F2888" s="2"/>
      <c r="G2888" s="2"/>
      <c r="H2888" s="2"/>
      <c r="I2888" s="2"/>
      <c r="J2888" s="2"/>
      <c r="K2888" s="2"/>
    </row>
    <row r="2889" spans="4:11" x14ac:dyDescent="0.2">
      <c r="D2889" s="2"/>
      <c r="E2889" s="2"/>
      <c r="F2889" s="2"/>
      <c r="G2889" s="2"/>
      <c r="H2889" s="2"/>
      <c r="I2889" s="2"/>
      <c r="J2889" s="2"/>
      <c r="K2889" s="2"/>
    </row>
    <row r="2890" spans="4:11" x14ac:dyDescent="0.2">
      <c r="D2890" s="2"/>
      <c r="E2890" s="2"/>
      <c r="F2890" s="2"/>
      <c r="G2890" s="2"/>
      <c r="H2890" s="2"/>
      <c r="I2890" s="2"/>
      <c r="J2890" s="2"/>
      <c r="K2890" s="2"/>
    </row>
    <row r="2891" spans="4:11" x14ac:dyDescent="0.2">
      <c r="D2891" s="2"/>
      <c r="E2891" s="2"/>
      <c r="F2891" s="2"/>
      <c r="G2891" s="2"/>
      <c r="H2891" s="2"/>
      <c r="I2891" s="2"/>
      <c r="J2891" s="2"/>
      <c r="K2891" s="2"/>
    </row>
    <row r="2892" spans="4:11" x14ac:dyDescent="0.2">
      <c r="D2892" s="2"/>
      <c r="E2892" s="2"/>
      <c r="F2892" s="2"/>
      <c r="G2892" s="2"/>
      <c r="H2892" s="2"/>
      <c r="I2892" s="2"/>
      <c r="J2892" s="2"/>
      <c r="K2892" s="2"/>
    </row>
    <row r="2893" spans="4:11" x14ac:dyDescent="0.2">
      <c r="D2893" s="2"/>
      <c r="E2893" s="2"/>
      <c r="F2893" s="2"/>
      <c r="G2893" s="2"/>
      <c r="H2893" s="2"/>
      <c r="I2893" s="2"/>
      <c r="J2893" s="2"/>
      <c r="K2893" s="2"/>
    </row>
    <row r="2894" spans="4:11" x14ac:dyDescent="0.2">
      <c r="D2894" s="2"/>
      <c r="E2894" s="2"/>
      <c r="F2894" s="2"/>
      <c r="G2894" s="2"/>
      <c r="H2894" s="2"/>
      <c r="I2894" s="2"/>
      <c r="J2894" s="2"/>
      <c r="K2894" s="2"/>
    </row>
    <row r="2895" spans="4:11" x14ac:dyDescent="0.2">
      <c r="D2895" s="2"/>
      <c r="E2895" s="2"/>
      <c r="F2895" s="2"/>
      <c r="G2895" s="2"/>
      <c r="H2895" s="2"/>
      <c r="I2895" s="2"/>
      <c r="J2895" s="2"/>
      <c r="K2895" s="2"/>
    </row>
    <row r="2896" spans="4:11" x14ac:dyDescent="0.2">
      <c r="D2896" s="2"/>
      <c r="E2896" s="2"/>
      <c r="F2896" s="2"/>
      <c r="G2896" s="2"/>
      <c r="H2896" s="2"/>
      <c r="I2896" s="2"/>
      <c r="J2896" s="2"/>
      <c r="K2896" s="2"/>
    </row>
    <row r="2897" spans="4:11" x14ac:dyDescent="0.2">
      <c r="D2897" s="2"/>
      <c r="E2897" s="2"/>
      <c r="F2897" s="2"/>
      <c r="G2897" s="2"/>
      <c r="H2897" s="2"/>
      <c r="I2897" s="2"/>
      <c r="J2897" s="2"/>
      <c r="K2897" s="2"/>
    </row>
    <row r="2898" spans="4:11" x14ac:dyDescent="0.2">
      <c r="D2898" s="2"/>
      <c r="E2898" s="2"/>
      <c r="F2898" s="2"/>
      <c r="G2898" s="2"/>
      <c r="H2898" s="2"/>
      <c r="I2898" s="2"/>
      <c r="J2898" s="2"/>
      <c r="K2898" s="2"/>
    </row>
    <row r="2899" spans="4:11" x14ac:dyDescent="0.2">
      <c r="D2899" s="2"/>
      <c r="E2899" s="2"/>
      <c r="F2899" s="2"/>
      <c r="G2899" s="2"/>
      <c r="H2899" s="2"/>
      <c r="I2899" s="2"/>
      <c r="J2899" s="2"/>
      <c r="K2899" s="2"/>
    </row>
    <row r="2900" spans="4:11" x14ac:dyDescent="0.2">
      <c r="D2900" s="2"/>
      <c r="E2900" s="2"/>
      <c r="F2900" s="2"/>
      <c r="G2900" s="2"/>
      <c r="H2900" s="2"/>
      <c r="I2900" s="2"/>
      <c r="J2900" s="2"/>
      <c r="K2900" s="2"/>
    </row>
    <row r="2901" spans="4:11" x14ac:dyDescent="0.2">
      <c r="D2901" s="2"/>
      <c r="E2901" s="2"/>
      <c r="F2901" s="2"/>
      <c r="G2901" s="2"/>
      <c r="H2901" s="2"/>
      <c r="I2901" s="2"/>
      <c r="J2901" s="2"/>
      <c r="K2901" s="2"/>
    </row>
    <row r="2902" spans="4:11" x14ac:dyDescent="0.2">
      <c r="D2902" s="2"/>
      <c r="E2902" s="2"/>
      <c r="F2902" s="2"/>
      <c r="G2902" s="2"/>
      <c r="H2902" s="2"/>
      <c r="I2902" s="2"/>
      <c r="J2902" s="2"/>
      <c r="K2902" s="2"/>
    </row>
    <row r="2903" spans="4:11" x14ac:dyDescent="0.2">
      <c r="D2903" s="2"/>
      <c r="E2903" s="2"/>
      <c r="F2903" s="2"/>
      <c r="G2903" s="2"/>
      <c r="H2903" s="2"/>
      <c r="I2903" s="2"/>
      <c r="J2903" s="2"/>
      <c r="K2903" s="2"/>
    </row>
    <row r="2904" spans="4:11" x14ac:dyDescent="0.2">
      <c r="D2904" s="2"/>
      <c r="E2904" s="2"/>
      <c r="F2904" s="2"/>
      <c r="G2904" s="2"/>
      <c r="H2904" s="2"/>
      <c r="I2904" s="2"/>
      <c r="J2904" s="2"/>
      <c r="K2904" s="2"/>
    </row>
    <row r="2905" spans="4:11" x14ac:dyDescent="0.2">
      <c r="D2905" s="2"/>
      <c r="E2905" s="2"/>
      <c r="F2905" s="2"/>
      <c r="G2905" s="2"/>
      <c r="H2905" s="2"/>
      <c r="I2905" s="2"/>
      <c r="J2905" s="2"/>
      <c r="K2905" s="2"/>
    </row>
    <row r="2906" spans="4:11" x14ac:dyDescent="0.2">
      <c r="D2906" s="2"/>
      <c r="E2906" s="2"/>
      <c r="F2906" s="2"/>
      <c r="G2906" s="2"/>
      <c r="H2906" s="2"/>
      <c r="I2906" s="2"/>
      <c r="J2906" s="2"/>
      <c r="K2906" s="2"/>
    </row>
    <row r="2907" spans="4:11" x14ac:dyDescent="0.2">
      <c r="D2907" s="2"/>
      <c r="E2907" s="2"/>
      <c r="F2907" s="2"/>
      <c r="G2907" s="2"/>
      <c r="H2907" s="2"/>
      <c r="I2907" s="2"/>
      <c r="J2907" s="2"/>
      <c r="K2907" s="2"/>
    </row>
    <row r="2908" spans="4:11" x14ac:dyDescent="0.2">
      <c r="D2908" s="2"/>
      <c r="E2908" s="2"/>
      <c r="F2908" s="2"/>
      <c r="G2908" s="2"/>
      <c r="H2908" s="2"/>
      <c r="I2908" s="2"/>
      <c r="J2908" s="2"/>
      <c r="K2908" s="2"/>
    </row>
    <row r="2909" spans="4:11" x14ac:dyDescent="0.2">
      <c r="D2909" s="2"/>
      <c r="E2909" s="2"/>
      <c r="F2909" s="2"/>
      <c r="G2909" s="2"/>
      <c r="H2909" s="2"/>
      <c r="I2909" s="2"/>
      <c r="J2909" s="2"/>
      <c r="K2909" s="2"/>
    </row>
    <row r="2910" spans="4:11" x14ac:dyDescent="0.2">
      <c r="D2910" s="2"/>
      <c r="E2910" s="2"/>
      <c r="F2910" s="2"/>
      <c r="G2910" s="2"/>
      <c r="H2910" s="2"/>
      <c r="I2910" s="2"/>
      <c r="J2910" s="2"/>
      <c r="K2910" s="2"/>
    </row>
    <row r="2911" spans="4:11" x14ac:dyDescent="0.2">
      <c r="D2911" s="2"/>
      <c r="E2911" s="2"/>
      <c r="F2911" s="2"/>
      <c r="G2911" s="2"/>
      <c r="H2911" s="2"/>
      <c r="I2911" s="2"/>
      <c r="J2911" s="2"/>
      <c r="K2911" s="2"/>
    </row>
    <row r="2912" spans="4:11" x14ac:dyDescent="0.2">
      <c r="D2912" s="2"/>
      <c r="E2912" s="2"/>
      <c r="F2912" s="2"/>
      <c r="G2912" s="2"/>
      <c r="H2912" s="2"/>
      <c r="I2912" s="2"/>
      <c r="J2912" s="2"/>
      <c r="K2912" s="2"/>
    </row>
    <row r="2913" spans="4:11" x14ac:dyDescent="0.2">
      <c r="D2913" s="2"/>
      <c r="E2913" s="2"/>
      <c r="F2913" s="2"/>
      <c r="G2913" s="2"/>
      <c r="H2913" s="2"/>
      <c r="I2913" s="2"/>
      <c r="J2913" s="2"/>
      <c r="K2913" s="2"/>
    </row>
    <row r="2914" spans="4:11" x14ac:dyDescent="0.2">
      <c r="D2914" s="2"/>
      <c r="E2914" s="2"/>
      <c r="F2914" s="2"/>
      <c r="G2914" s="2"/>
      <c r="H2914" s="2"/>
      <c r="I2914" s="2"/>
      <c r="J2914" s="2"/>
      <c r="K2914" s="2"/>
    </row>
    <row r="2915" spans="4:11" x14ac:dyDescent="0.2">
      <c r="D2915" s="2"/>
      <c r="E2915" s="2"/>
      <c r="F2915" s="2"/>
      <c r="G2915" s="2"/>
      <c r="H2915" s="2"/>
      <c r="I2915" s="2"/>
      <c r="J2915" s="2"/>
      <c r="K2915" s="2"/>
    </row>
    <row r="2916" spans="4:11" x14ac:dyDescent="0.2">
      <c r="D2916" s="2"/>
      <c r="E2916" s="2"/>
      <c r="F2916" s="2"/>
      <c r="G2916" s="2"/>
      <c r="H2916" s="2"/>
      <c r="I2916" s="2"/>
      <c r="J2916" s="2"/>
      <c r="K2916" s="2"/>
    </row>
    <row r="2917" spans="4:11" x14ac:dyDescent="0.2">
      <c r="D2917" s="2"/>
      <c r="E2917" s="2"/>
      <c r="F2917" s="2"/>
      <c r="G2917" s="2"/>
      <c r="H2917" s="2"/>
      <c r="I2917" s="2"/>
      <c r="J2917" s="2"/>
      <c r="K2917" s="2"/>
    </row>
    <row r="2918" spans="4:11" x14ac:dyDescent="0.2">
      <c r="D2918" s="2"/>
      <c r="E2918" s="2"/>
      <c r="F2918" s="2"/>
      <c r="G2918" s="2"/>
      <c r="H2918" s="2"/>
      <c r="I2918" s="2"/>
      <c r="J2918" s="2"/>
      <c r="K2918" s="2"/>
    </row>
    <row r="2919" spans="4:11" x14ac:dyDescent="0.2">
      <c r="D2919" s="2"/>
      <c r="E2919" s="2"/>
      <c r="F2919" s="2"/>
      <c r="G2919" s="2"/>
      <c r="H2919" s="2"/>
      <c r="I2919" s="2"/>
      <c r="J2919" s="2"/>
      <c r="K2919" s="2"/>
    </row>
    <row r="2920" spans="4:11" x14ac:dyDescent="0.2">
      <c r="D2920" s="2"/>
      <c r="E2920" s="2"/>
      <c r="F2920" s="2"/>
      <c r="G2920" s="2"/>
      <c r="H2920" s="2"/>
      <c r="I2920" s="2"/>
      <c r="J2920" s="2"/>
      <c r="K2920" s="2"/>
    </row>
    <row r="2921" spans="4:11" x14ac:dyDescent="0.2">
      <c r="D2921" s="2"/>
      <c r="E2921" s="2"/>
      <c r="F2921" s="2"/>
      <c r="G2921" s="2"/>
      <c r="H2921" s="2"/>
      <c r="I2921" s="2"/>
      <c r="J2921" s="2"/>
      <c r="K2921" s="2"/>
    </row>
    <row r="2922" spans="4:11" x14ac:dyDescent="0.2">
      <c r="D2922" s="2"/>
      <c r="E2922" s="2"/>
      <c r="F2922" s="2"/>
      <c r="G2922" s="2"/>
      <c r="H2922" s="2"/>
      <c r="I2922" s="2"/>
      <c r="J2922" s="2"/>
      <c r="K2922" s="2"/>
    </row>
    <row r="2923" spans="4:11" x14ac:dyDescent="0.2">
      <c r="D2923" s="2"/>
      <c r="E2923" s="2"/>
      <c r="F2923" s="2"/>
      <c r="G2923" s="2"/>
      <c r="H2923" s="2"/>
      <c r="I2923" s="2"/>
      <c r="J2923" s="2"/>
      <c r="K2923" s="2"/>
    </row>
    <row r="2924" spans="4:11" x14ac:dyDescent="0.2">
      <c r="D2924" s="2"/>
      <c r="E2924" s="2"/>
      <c r="F2924" s="2"/>
      <c r="G2924" s="2"/>
      <c r="H2924" s="2"/>
      <c r="I2924" s="2"/>
      <c r="J2924" s="2"/>
      <c r="K2924" s="2"/>
    </row>
    <row r="2925" spans="4:11" x14ac:dyDescent="0.2">
      <c r="D2925" s="2"/>
      <c r="E2925" s="2"/>
      <c r="F2925" s="2"/>
      <c r="G2925" s="2"/>
      <c r="H2925" s="2"/>
      <c r="I2925" s="2"/>
      <c r="J2925" s="2"/>
      <c r="K2925" s="2"/>
    </row>
    <row r="2926" spans="4:11" x14ac:dyDescent="0.2">
      <c r="D2926" s="2"/>
      <c r="E2926" s="2"/>
      <c r="F2926" s="2"/>
      <c r="G2926" s="2"/>
      <c r="H2926" s="2"/>
      <c r="I2926" s="2"/>
      <c r="J2926" s="2"/>
      <c r="K2926" s="2"/>
    </row>
    <row r="2927" spans="4:11" x14ac:dyDescent="0.2">
      <c r="D2927" s="2"/>
      <c r="E2927" s="2"/>
      <c r="F2927" s="2"/>
      <c r="G2927" s="2"/>
      <c r="H2927" s="2"/>
      <c r="I2927" s="2"/>
      <c r="J2927" s="2"/>
      <c r="K2927" s="2"/>
    </row>
    <row r="2928" spans="4:11" x14ac:dyDescent="0.2">
      <c r="D2928" s="2"/>
      <c r="E2928" s="2"/>
      <c r="F2928" s="2"/>
      <c r="G2928" s="2"/>
      <c r="H2928" s="2"/>
      <c r="I2928" s="2"/>
      <c r="J2928" s="2"/>
      <c r="K2928" s="2"/>
    </row>
    <row r="2929" spans="4:11" x14ac:dyDescent="0.2">
      <c r="D2929" s="2"/>
      <c r="E2929" s="2"/>
      <c r="F2929" s="2"/>
      <c r="G2929" s="2"/>
      <c r="H2929" s="2"/>
      <c r="I2929" s="2"/>
      <c r="J2929" s="2"/>
      <c r="K2929" s="2"/>
    </row>
    <row r="2930" spans="4:11" x14ac:dyDescent="0.2">
      <c r="D2930" s="2"/>
      <c r="E2930" s="2"/>
      <c r="F2930" s="2"/>
      <c r="G2930" s="2"/>
      <c r="H2930" s="2"/>
      <c r="I2930" s="2"/>
      <c r="J2930" s="2"/>
      <c r="K2930" s="2"/>
    </row>
    <row r="2931" spans="4:11" x14ac:dyDescent="0.2">
      <c r="D2931" s="2"/>
      <c r="E2931" s="2"/>
      <c r="F2931" s="2"/>
      <c r="G2931" s="2"/>
      <c r="H2931" s="2"/>
      <c r="I2931" s="2"/>
      <c r="J2931" s="2"/>
      <c r="K2931" s="2"/>
    </row>
    <row r="2932" spans="4:11" x14ac:dyDescent="0.2">
      <c r="D2932" s="2"/>
      <c r="E2932" s="2"/>
      <c r="F2932" s="2"/>
      <c r="G2932" s="2"/>
      <c r="H2932" s="2"/>
      <c r="I2932" s="2"/>
      <c r="J2932" s="2"/>
      <c r="K2932" s="2"/>
    </row>
    <row r="2933" spans="4:11" x14ac:dyDescent="0.2">
      <c r="D2933" s="2"/>
      <c r="E2933" s="2"/>
      <c r="F2933" s="2"/>
      <c r="G2933" s="2"/>
      <c r="H2933" s="2"/>
      <c r="I2933" s="2"/>
      <c r="J2933" s="2"/>
      <c r="K2933" s="2"/>
    </row>
    <row r="2934" spans="4:11" x14ac:dyDescent="0.2">
      <c r="D2934" s="2"/>
      <c r="E2934" s="2"/>
      <c r="F2934" s="2"/>
      <c r="G2934" s="2"/>
      <c r="H2934" s="2"/>
      <c r="I2934" s="2"/>
      <c r="J2934" s="2"/>
      <c r="K2934" s="2"/>
    </row>
    <row r="2935" spans="4:11" x14ac:dyDescent="0.2">
      <c r="D2935" s="2"/>
      <c r="E2935" s="2"/>
      <c r="F2935" s="2"/>
      <c r="G2935" s="2"/>
      <c r="H2935" s="2"/>
      <c r="I2935" s="2"/>
      <c r="J2935" s="2"/>
      <c r="K2935" s="2"/>
    </row>
    <row r="2936" spans="4:11" x14ac:dyDescent="0.2">
      <c r="D2936" s="2"/>
      <c r="E2936" s="2"/>
      <c r="F2936" s="2"/>
      <c r="G2936" s="2"/>
      <c r="H2936" s="2"/>
      <c r="I2936" s="2"/>
      <c r="J2936" s="2"/>
      <c r="K2936" s="2"/>
    </row>
    <row r="2937" spans="4:11" x14ac:dyDescent="0.2">
      <c r="D2937" s="2"/>
      <c r="E2937" s="2"/>
      <c r="F2937" s="2"/>
      <c r="G2937" s="2"/>
      <c r="H2937" s="2"/>
      <c r="I2937" s="2"/>
      <c r="J2937" s="2"/>
      <c r="K2937" s="2"/>
    </row>
    <row r="2938" spans="4:11" x14ac:dyDescent="0.2">
      <c r="D2938" s="2"/>
      <c r="E2938" s="2"/>
      <c r="F2938" s="2"/>
      <c r="G2938" s="2"/>
      <c r="H2938" s="2"/>
      <c r="I2938" s="2"/>
      <c r="J2938" s="2"/>
      <c r="K2938" s="2"/>
    </row>
    <row r="2939" spans="4:11" x14ac:dyDescent="0.2">
      <c r="D2939" s="2"/>
      <c r="E2939" s="2"/>
      <c r="F2939" s="2"/>
      <c r="G2939" s="2"/>
      <c r="H2939" s="2"/>
      <c r="I2939" s="2"/>
      <c r="J2939" s="2"/>
      <c r="K2939" s="2"/>
    </row>
    <row r="2940" spans="4:11" x14ac:dyDescent="0.2">
      <c r="D2940" s="2"/>
      <c r="E2940" s="2"/>
      <c r="F2940" s="2"/>
      <c r="G2940" s="2"/>
      <c r="H2940" s="2"/>
      <c r="I2940" s="2"/>
      <c r="J2940" s="2"/>
      <c r="K2940" s="2"/>
    </row>
    <row r="2941" spans="4:11" x14ac:dyDescent="0.2">
      <c r="D2941" s="2"/>
      <c r="E2941" s="2"/>
      <c r="F2941" s="2"/>
      <c r="G2941" s="2"/>
      <c r="H2941" s="2"/>
      <c r="I2941" s="2"/>
      <c r="J2941" s="2"/>
      <c r="K2941" s="2"/>
    </row>
    <row r="2942" spans="4:11" x14ac:dyDescent="0.2">
      <c r="D2942" s="2"/>
      <c r="E2942" s="2"/>
      <c r="F2942" s="2"/>
      <c r="G2942" s="2"/>
      <c r="H2942" s="2"/>
      <c r="I2942" s="2"/>
      <c r="J2942" s="2"/>
      <c r="K2942" s="2"/>
    </row>
    <row r="2943" spans="4:11" x14ac:dyDescent="0.2">
      <c r="D2943" s="2"/>
      <c r="E2943" s="2"/>
      <c r="F2943" s="2"/>
      <c r="G2943" s="2"/>
      <c r="H2943" s="2"/>
      <c r="I2943" s="2"/>
      <c r="J2943" s="2"/>
      <c r="K2943" s="2"/>
    </row>
    <row r="2944" spans="4:11" x14ac:dyDescent="0.2">
      <c r="D2944" s="2"/>
      <c r="E2944" s="2"/>
      <c r="F2944" s="2"/>
      <c r="G2944" s="2"/>
      <c r="H2944" s="2"/>
      <c r="I2944" s="2"/>
      <c r="J2944" s="2"/>
      <c r="K2944" s="2"/>
    </row>
    <row r="2945" spans="4:11" x14ac:dyDescent="0.2">
      <c r="D2945" s="2"/>
      <c r="E2945" s="2"/>
      <c r="F2945" s="2"/>
      <c r="G2945" s="2"/>
      <c r="H2945" s="2"/>
      <c r="I2945" s="2"/>
      <c r="J2945" s="2"/>
      <c r="K2945" s="2"/>
    </row>
    <row r="2946" spans="4:11" x14ac:dyDescent="0.2">
      <c r="D2946" s="2"/>
      <c r="E2946" s="2"/>
      <c r="F2946" s="2"/>
      <c r="G2946" s="2"/>
      <c r="H2946" s="2"/>
      <c r="I2946" s="2"/>
      <c r="J2946" s="2"/>
      <c r="K2946" s="2"/>
    </row>
    <row r="2947" spans="4:11" x14ac:dyDescent="0.2">
      <c r="D2947" s="2"/>
      <c r="E2947" s="2"/>
      <c r="F2947" s="2"/>
      <c r="G2947" s="2"/>
      <c r="H2947" s="2"/>
      <c r="I2947" s="2"/>
      <c r="J2947" s="2"/>
      <c r="K2947" s="2"/>
    </row>
    <row r="2948" spans="4:11" x14ac:dyDescent="0.2">
      <c r="D2948" s="2"/>
      <c r="E2948" s="2"/>
      <c r="F2948" s="2"/>
      <c r="G2948" s="2"/>
      <c r="H2948" s="2"/>
      <c r="I2948" s="2"/>
      <c r="J2948" s="2"/>
      <c r="K2948" s="2"/>
    </row>
    <row r="2949" spans="4:11" x14ac:dyDescent="0.2">
      <c r="D2949" s="2"/>
      <c r="E2949" s="2"/>
      <c r="F2949" s="2"/>
      <c r="G2949" s="2"/>
      <c r="H2949" s="2"/>
      <c r="I2949" s="2"/>
      <c r="J2949" s="2"/>
      <c r="K2949" s="2"/>
    </row>
    <row r="2950" spans="4:11" x14ac:dyDescent="0.2">
      <c r="D2950" s="2"/>
      <c r="E2950" s="2"/>
      <c r="F2950" s="2"/>
      <c r="G2950" s="2"/>
      <c r="H2950" s="2"/>
      <c r="I2950" s="2"/>
      <c r="J2950" s="2"/>
      <c r="K2950" s="2"/>
    </row>
    <row r="2951" spans="4:11" x14ac:dyDescent="0.2">
      <c r="D2951" s="2"/>
      <c r="E2951" s="2"/>
      <c r="F2951" s="2"/>
      <c r="G2951" s="2"/>
      <c r="H2951" s="2"/>
      <c r="I2951" s="2"/>
      <c r="J2951" s="2"/>
      <c r="K2951" s="2"/>
    </row>
    <row r="2952" spans="4:11" x14ac:dyDescent="0.2">
      <c r="D2952" s="2"/>
      <c r="E2952" s="2"/>
      <c r="F2952" s="2"/>
      <c r="G2952" s="2"/>
      <c r="H2952" s="2"/>
      <c r="I2952" s="2"/>
      <c r="J2952" s="2"/>
      <c r="K2952" s="2"/>
    </row>
    <row r="2953" spans="4:11" x14ac:dyDescent="0.2">
      <c r="D2953" s="2"/>
      <c r="E2953" s="2"/>
      <c r="F2953" s="2"/>
      <c r="G2953" s="2"/>
      <c r="H2953" s="2"/>
      <c r="I2953" s="2"/>
      <c r="J2953" s="2"/>
      <c r="K2953" s="2"/>
    </row>
    <row r="2954" spans="4:11" x14ac:dyDescent="0.2">
      <c r="D2954" s="2"/>
      <c r="E2954" s="2"/>
      <c r="F2954" s="2"/>
      <c r="G2954" s="2"/>
      <c r="H2954" s="2"/>
      <c r="I2954" s="2"/>
      <c r="J2954" s="2"/>
      <c r="K2954" s="2"/>
    </row>
    <row r="2955" spans="4:11" x14ac:dyDescent="0.2">
      <c r="D2955" s="2"/>
      <c r="E2955" s="2"/>
      <c r="F2955" s="2"/>
      <c r="G2955" s="2"/>
      <c r="H2955" s="2"/>
      <c r="I2955" s="2"/>
      <c r="J2955" s="2"/>
      <c r="K2955" s="2"/>
    </row>
    <row r="2956" spans="4:11" x14ac:dyDescent="0.2">
      <c r="D2956" s="2"/>
      <c r="E2956" s="2"/>
      <c r="F2956" s="2"/>
      <c r="G2956" s="2"/>
      <c r="H2956" s="2"/>
      <c r="I2956" s="2"/>
      <c r="J2956" s="2"/>
      <c r="K2956" s="2"/>
    </row>
    <row r="2957" spans="4:11" x14ac:dyDescent="0.2">
      <c r="D2957" s="2"/>
      <c r="E2957" s="2"/>
      <c r="F2957" s="2"/>
      <c r="G2957" s="2"/>
      <c r="H2957" s="2"/>
      <c r="I2957" s="2"/>
      <c r="J2957" s="2"/>
      <c r="K2957" s="2"/>
    </row>
    <row r="2958" spans="4:11" x14ac:dyDescent="0.2">
      <c r="D2958" s="2"/>
      <c r="E2958" s="2"/>
      <c r="F2958" s="2"/>
      <c r="G2958" s="2"/>
      <c r="H2958" s="2"/>
      <c r="I2958" s="2"/>
      <c r="J2958" s="2"/>
      <c r="K2958" s="2"/>
    </row>
    <row r="2959" spans="4:11" x14ac:dyDescent="0.2">
      <c r="D2959" s="2"/>
      <c r="E2959" s="2"/>
      <c r="F2959" s="2"/>
      <c r="G2959" s="2"/>
      <c r="H2959" s="2"/>
      <c r="I2959" s="2"/>
      <c r="J2959" s="2"/>
      <c r="K2959" s="2"/>
    </row>
    <row r="2960" spans="4:11" x14ac:dyDescent="0.2">
      <c r="D2960" s="2"/>
      <c r="E2960" s="2"/>
      <c r="F2960" s="2"/>
      <c r="G2960" s="2"/>
      <c r="H2960" s="2"/>
      <c r="I2960" s="2"/>
      <c r="J2960" s="2"/>
      <c r="K2960" s="2"/>
    </row>
    <row r="2961" spans="4:11" x14ac:dyDescent="0.2">
      <c r="D2961" s="2"/>
      <c r="E2961" s="2"/>
      <c r="F2961" s="2"/>
      <c r="G2961" s="2"/>
      <c r="H2961" s="2"/>
      <c r="I2961" s="2"/>
      <c r="J2961" s="2"/>
      <c r="K2961" s="2"/>
    </row>
    <row r="2962" spans="4:11" x14ac:dyDescent="0.2">
      <c r="D2962" s="2"/>
      <c r="E2962" s="2"/>
      <c r="F2962" s="2"/>
      <c r="G2962" s="2"/>
      <c r="H2962" s="2"/>
      <c r="I2962" s="2"/>
      <c r="J2962" s="2"/>
      <c r="K2962" s="2"/>
    </row>
    <row r="2963" spans="4:11" x14ac:dyDescent="0.2">
      <c r="D2963" s="2"/>
      <c r="E2963" s="2"/>
      <c r="F2963" s="2"/>
      <c r="G2963" s="2"/>
      <c r="H2963" s="2"/>
      <c r="I2963" s="2"/>
      <c r="J2963" s="2"/>
      <c r="K2963" s="2"/>
    </row>
    <row r="2964" spans="4:11" x14ac:dyDescent="0.2">
      <c r="D2964" s="2"/>
      <c r="E2964" s="2"/>
      <c r="F2964" s="2"/>
      <c r="G2964" s="2"/>
      <c r="H2964" s="2"/>
      <c r="I2964" s="2"/>
      <c r="J2964" s="2"/>
      <c r="K2964" s="2"/>
    </row>
    <row r="2965" spans="4:11" x14ac:dyDescent="0.2">
      <c r="D2965" s="2"/>
      <c r="E2965" s="2"/>
      <c r="F2965" s="2"/>
      <c r="G2965" s="2"/>
      <c r="H2965" s="2"/>
      <c r="I2965" s="2"/>
      <c r="J2965" s="2"/>
      <c r="K2965" s="2"/>
    </row>
    <row r="2966" spans="4:11" x14ac:dyDescent="0.2">
      <c r="D2966" s="2"/>
      <c r="E2966" s="2"/>
      <c r="F2966" s="2"/>
      <c r="G2966" s="2"/>
      <c r="H2966" s="2"/>
      <c r="I2966" s="2"/>
      <c r="J2966" s="2"/>
      <c r="K2966" s="2"/>
    </row>
    <row r="2967" spans="4:11" x14ac:dyDescent="0.2">
      <c r="D2967" s="2"/>
      <c r="E2967" s="2"/>
      <c r="F2967" s="2"/>
      <c r="G2967" s="2"/>
      <c r="H2967" s="2"/>
      <c r="I2967" s="2"/>
      <c r="J2967" s="2"/>
      <c r="K2967" s="2"/>
    </row>
    <row r="2968" spans="4:11" x14ac:dyDescent="0.2">
      <c r="D2968" s="2"/>
      <c r="E2968" s="2"/>
      <c r="F2968" s="2"/>
      <c r="G2968" s="2"/>
      <c r="H2968" s="2"/>
      <c r="I2968" s="2"/>
      <c r="J2968" s="2"/>
      <c r="K2968" s="2"/>
    </row>
    <row r="2969" spans="4:11" x14ac:dyDescent="0.2">
      <c r="D2969" s="2"/>
      <c r="E2969" s="2"/>
      <c r="F2969" s="2"/>
      <c r="G2969" s="2"/>
      <c r="H2969" s="2"/>
      <c r="I2969" s="2"/>
      <c r="J2969" s="2"/>
      <c r="K2969" s="2"/>
    </row>
    <row r="2970" spans="4:11" x14ac:dyDescent="0.2">
      <c r="D2970" s="2"/>
      <c r="E2970" s="2"/>
      <c r="F2970" s="2"/>
      <c r="G2970" s="2"/>
      <c r="H2970" s="2"/>
      <c r="I2970" s="2"/>
      <c r="J2970" s="2"/>
      <c r="K2970" s="2"/>
    </row>
    <row r="2971" spans="4:11" x14ac:dyDescent="0.2">
      <c r="D2971" s="2"/>
      <c r="E2971" s="2"/>
      <c r="F2971" s="2"/>
      <c r="G2971" s="2"/>
      <c r="H2971" s="2"/>
      <c r="I2971" s="2"/>
      <c r="J2971" s="2"/>
      <c r="K2971" s="2"/>
    </row>
    <row r="2972" spans="4:11" x14ac:dyDescent="0.2">
      <c r="D2972" s="2"/>
      <c r="E2972" s="2"/>
      <c r="F2972" s="2"/>
      <c r="G2972" s="2"/>
      <c r="H2972" s="2"/>
      <c r="I2972" s="2"/>
      <c r="J2972" s="2"/>
      <c r="K2972" s="2"/>
    </row>
    <row r="2973" spans="4:11" x14ac:dyDescent="0.2">
      <c r="D2973" s="2"/>
      <c r="E2973" s="2"/>
      <c r="F2973" s="2"/>
      <c r="G2973" s="2"/>
      <c r="H2973" s="2"/>
      <c r="I2973" s="2"/>
      <c r="J2973" s="2"/>
      <c r="K2973" s="2"/>
    </row>
    <row r="2974" spans="4:11" x14ac:dyDescent="0.2">
      <c r="D2974" s="2"/>
      <c r="E2974" s="2"/>
      <c r="F2974" s="2"/>
      <c r="G2974" s="2"/>
      <c r="H2974" s="2"/>
      <c r="I2974" s="2"/>
      <c r="J2974" s="2"/>
      <c r="K2974" s="2"/>
    </row>
    <row r="2975" spans="4:11" x14ac:dyDescent="0.2">
      <c r="D2975" s="2"/>
      <c r="E2975" s="2"/>
      <c r="F2975" s="2"/>
      <c r="G2975" s="2"/>
      <c r="H2975" s="2"/>
      <c r="I2975" s="2"/>
      <c r="J2975" s="2"/>
      <c r="K2975" s="2"/>
    </row>
    <row r="2976" spans="4:11" x14ac:dyDescent="0.2">
      <c r="D2976" s="2"/>
      <c r="E2976" s="2"/>
      <c r="F2976" s="2"/>
      <c r="G2976" s="2"/>
      <c r="H2976" s="2"/>
      <c r="I2976" s="2"/>
      <c r="J2976" s="2"/>
      <c r="K2976" s="2"/>
    </row>
    <row r="2977" spans="4:11" x14ac:dyDescent="0.2">
      <c r="D2977" s="2"/>
      <c r="E2977" s="2"/>
      <c r="F2977" s="2"/>
      <c r="G2977" s="2"/>
      <c r="H2977" s="2"/>
      <c r="I2977" s="2"/>
      <c r="J2977" s="2"/>
      <c r="K2977" s="2"/>
    </row>
    <row r="2978" spans="4:11" x14ac:dyDescent="0.2">
      <c r="D2978" s="2"/>
      <c r="E2978" s="2"/>
      <c r="F2978" s="2"/>
      <c r="G2978" s="2"/>
      <c r="H2978" s="2"/>
      <c r="I2978" s="2"/>
      <c r="J2978" s="2"/>
      <c r="K2978" s="2"/>
    </row>
    <row r="2979" spans="4:11" x14ac:dyDescent="0.2">
      <c r="D2979" s="2"/>
      <c r="E2979" s="2"/>
      <c r="F2979" s="2"/>
      <c r="G2979" s="2"/>
      <c r="H2979" s="2"/>
      <c r="I2979" s="2"/>
      <c r="J2979" s="2"/>
      <c r="K2979" s="2"/>
    </row>
    <row r="2980" spans="4:11" x14ac:dyDescent="0.2">
      <c r="D2980" s="2"/>
      <c r="E2980" s="2"/>
      <c r="F2980" s="2"/>
      <c r="G2980" s="2"/>
      <c r="H2980" s="2"/>
      <c r="I2980" s="2"/>
      <c r="J2980" s="2"/>
      <c r="K2980" s="2"/>
    </row>
    <row r="2981" spans="4:11" x14ac:dyDescent="0.2">
      <c r="D2981" s="2"/>
      <c r="E2981" s="2"/>
      <c r="F2981" s="2"/>
      <c r="G2981" s="2"/>
      <c r="H2981" s="2"/>
      <c r="I2981" s="2"/>
      <c r="J2981" s="2"/>
      <c r="K2981" s="2"/>
    </row>
    <row r="2982" spans="4:11" x14ac:dyDescent="0.2">
      <c r="D2982" s="2"/>
      <c r="E2982" s="2"/>
      <c r="F2982" s="2"/>
      <c r="G2982" s="2"/>
      <c r="H2982" s="2"/>
      <c r="I2982" s="2"/>
      <c r="J2982" s="2"/>
      <c r="K2982" s="2"/>
    </row>
    <row r="2983" spans="4:11" x14ac:dyDescent="0.2">
      <c r="D2983" s="2"/>
      <c r="E2983" s="2"/>
      <c r="F2983" s="2"/>
      <c r="G2983" s="2"/>
      <c r="H2983" s="2"/>
      <c r="I2983" s="2"/>
      <c r="J2983" s="2"/>
      <c r="K2983" s="2"/>
    </row>
    <row r="2984" spans="4:11" x14ac:dyDescent="0.2">
      <c r="D2984" s="2"/>
      <c r="E2984" s="2"/>
      <c r="F2984" s="2"/>
      <c r="G2984" s="2"/>
      <c r="H2984" s="2"/>
      <c r="I2984" s="2"/>
      <c r="J2984" s="2"/>
      <c r="K2984" s="2"/>
    </row>
    <row r="2985" spans="4:11" x14ac:dyDescent="0.2">
      <c r="D2985" s="2"/>
      <c r="E2985" s="2"/>
      <c r="F2985" s="2"/>
      <c r="G2985" s="2"/>
      <c r="H2985" s="2"/>
      <c r="I2985" s="2"/>
      <c r="J2985" s="2"/>
      <c r="K2985" s="2"/>
    </row>
    <row r="2986" spans="4:11" x14ac:dyDescent="0.2">
      <c r="D2986" s="2"/>
      <c r="E2986" s="2"/>
      <c r="F2986" s="2"/>
      <c r="G2986" s="2"/>
      <c r="H2986" s="2"/>
      <c r="I2986" s="2"/>
      <c r="J2986" s="2"/>
      <c r="K2986" s="2"/>
    </row>
    <row r="2987" spans="4:11" x14ac:dyDescent="0.2">
      <c r="D2987" s="2"/>
      <c r="E2987" s="2"/>
      <c r="F2987" s="2"/>
      <c r="G2987" s="2"/>
      <c r="H2987" s="2"/>
      <c r="I2987" s="2"/>
      <c r="J2987" s="2"/>
      <c r="K2987" s="2"/>
    </row>
    <row r="2988" spans="4:11" x14ac:dyDescent="0.2">
      <c r="D2988" s="2"/>
      <c r="E2988" s="2"/>
      <c r="F2988" s="2"/>
      <c r="G2988" s="2"/>
      <c r="H2988" s="2"/>
      <c r="I2988" s="2"/>
      <c r="J2988" s="2"/>
      <c r="K2988" s="2"/>
    </row>
    <row r="2989" spans="4:11" x14ac:dyDescent="0.2">
      <c r="D2989" s="2"/>
      <c r="E2989" s="2"/>
      <c r="F2989" s="2"/>
      <c r="G2989" s="2"/>
      <c r="H2989" s="2"/>
      <c r="I2989" s="2"/>
      <c r="J2989" s="2"/>
      <c r="K2989" s="2"/>
    </row>
    <row r="2990" spans="4:11" x14ac:dyDescent="0.2">
      <c r="D2990" s="2"/>
      <c r="E2990" s="2"/>
      <c r="F2990" s="2"/>
      <c r="G2990" s="2"/>
      <c r="H2990" s="2"/>
      <c r="I2990" s="2"/>
      <c r="J2990" s="2"/>
      <c r="K2990" s="2"/>
    </row>
    <row r="2991" spans="4:11" x14ac:dyDescent="0.2">
      <c r="D2991" s="2"/>
      <c r="E2991" s="2"/>
      <c r="F2991" s="2"/>
      <c r="G2991" s="2"/>
      <c r="H2991" s="2"/>
      <c r="I2991" s="2"/>
      <c r="J2991" s="2"/>
      <c r="K2991" s="2"/>
    </row>
    <row r="2992" spans="4:11" x14ac:dyDescent="0.2">
      <c r="D2992" s="2"/>
      <c r="E2992" s="2"/>
      <c r="F2992" s="2"/>
      <c r="G2992" s="2"/>
      <c r="H2992" s="2"/>
      <c r="I2992" s="2"/>
      <c r="J2992" s="2"/>
      <c r="K2992" s="2"/>
    </row>
    <row r="2993" spans="4:11" x14ac:dyDescent="0.2">
      <c r="D2993" s="2"/>
      <c r="E2993" s="2"/>
      <c r="F2993" s="2"/>
      <c r="G2993" s="2"/>
      <c r="H2993" s="2"/>
      <c r="I2993" s="2"/>
      <c r="J2993" s="2"/>
      <c r="K2993" s="2"/>
    </row>
    <row r="2994" spans="4:11" x14ac:dyDescent="0.2">
      <c r="D2994" s="2"/>
      <c r="E2994" s="2"/>
      <c r="F2994" s="2"/>
      <c r="G2994" s="2"/>
      <c r="H2994" s="2"/>
      <c r="I2994" s="2"/>
      <c r="J2994" s="2"/>
      <c r="K2994" s="2"/>
    </row>
    <row r="2995" spans="4:11" x14ac:dyDescent="0.2">
      <c r="D2995" s="2"/>
      <c r="E2995" s="2"/>
      <c r="F2995" s="2"/>
      <c r="G2995" s="2"/>
      <c r="H2995" s="2"/>
      <c r="I2995" s="2"/>
      <c r="J2995" s="2"/>
      <c r="K2995" s="2"/>
    </row>
    <row r="2996" spans="4:11" x14ac:dyDescent="0.2">
      <c r="D2996" s="2"/>
      <c r="E2996" s="2"/>
      <c r="F2996" s="2"/>
      <c r="G2996" s="2"/>
      <c r="H2996" s="2"/>
      <c r="I2996" s="2"/>
      <c r="J2996" s="2"/>
      <c r="K2996" s="2"/>
    </row>
    <row r="2997" spans="4:11" x14ac:dyDescent="0.2">
      <c r="D2997" s="2"/>
      <c r="E2997" s="2"/>
      <c r="F2997" s="2"/>
      <c r="G2997" s="2"/>
      <c r="H2997" s="2"/>
      <c r="I2997" s="2"/>
      <c r="J2997" s="2"/>
      <c r="K2997" s="2"/>
    </row>
    <row r="2998" spans="4:11" x14ac:dyDescent="0.2">
      <c r="D2998" s="2"/>
      <c r="E2998" s="2"/>
      <c r="F2998" s="2"/>
      <c r="G2998" s="2"/>
      <c r="H2998" s="2"/>
      <c r="I2998" s="2"/>
      <c r="J2998" s="2"/>
      <c r="K2998" s="2"/>
    </row>
    <row r="2999" spans="4:11" x14ac:dyDescent="0.2">
      <c r="D2999" s="2"/>
      <c r="E2999" s="2"/>
      <c r="F2999" s="2"/>
      <c r="G2999" s="2"/>
      <c r="H2999" s="2"/>
      <c r="I2999" s="2"/>
      <c r="J2999" s="2"/>
      <c r="K2999" s="2"/>
    </row>
    <row r="3000" spans="4:11" x14ac:dyDescent="0.2">
      <c r="D3000" s="2"/>
      <c r="E3000" s="2"/>
      <c r="F3000" s="2"/>
      <c r="G3000" s="2"/>
      <c r="H3000" s="2"/>
      <c r="I3000" s="2"/>
      <c r="J3000" s="2"/>
      <c r="K3000" s="2"/>
    </row>
    <row r="3001" spans="4:11" x14ac:dyDescent="0.2">
      <c r="D3001" s="2"/>
      <c r="E3001" s="2"/>
      <c r="F3001" s="2"/>
      <c r="G3001" s="2"/>
      <c r="H3001" s="2"/>
      <c r="I3001" s="2"/>
      <c r="J3001" s="2"/>
      <c r="K3001" s="2"/>
    </row>
    <row r="3002" spans="4:11" x14ac:dyDescent="0.2">
      <c r="D3002" s="2"/>
      <c r="E3002" s="2"/>
      <c r="F3002" s="2"/>
      <c r="G3002" s="2"/>
      <c r="H3002" s="2"/>
      <c r="I3002" s="2"/>
      <c r="J3002" s="2"/>
      <c r="K3002" s="2"/>
    </row>
    <row r="3003" spans="4:11" x14ac:dyDescent="0.2">
      <c r="D3003" s="2"/>
      <c r="E3003" s="2"/>
      <c r="F3003" s="2"/>
      <c r="G3003" s="2"/>
      <c r="H3003" s="2"/>
      <c r="I3003" s="2"/>
      <c r="J3003" s="2"/>
      <c r="K3003" s="2"/>
    </row>
    <row r="3004" spans="4:11" x14ac:dyDescent="0.2">
      <c r="D3004" s="2"/>
      <c r="E3004" s="2"/>
      <c r="F3004" s="2"/>
      <c r="G3004" s="2"/>
      <c r="H3004" s="2"/>
      <c r="I3004" s="2"/>
      <c r="J3004" s="2"/>
      <c r="K3004" s="2"/>
    </row>
    <row r="3005" spans="4:11" x14ac:dyDescent="0.2">
      <c r="D3005" s="2"/>
      <c r="E3005" s="2"/>
      <c r="F3005" s="2"/>
      <c r="G3005" s="2"/>
      <c r="H3005" s="2"/>
      <c r="I3005" s="2"/>
      <c r="J3005" s="2"/>
      <c r="K3005" s="2"/>
    </row>
    <row r="3006" spans="4:11" x14ac:dyDescent="0.2">
      <c r="D3006" s="2"/>
      <c r="E3006" s="2"/>
      <c r="F3006" s="2"/>
      <c r="G3006" s="2"/>
      <c r="H3006" s="2"/>
      <c r="I3006" s="2"/>
      <c r="J3006" s="2"/>
      <c r="K3006" s="2"/>
    </row>
    <row r="3007" spans="4:11" x14ac:dyDescent="0.2">
      <c r="D3007" s="2"/>
      <c r="E3007" s="2"/>
      <c r="F3007" s="2"/>
      <c r="G3007" s="2"/>
      <c r="H3007" s="2"/>
      <c r="I3007" s="2"/>
      <c r="J3007" s="2"/>
      <c r="K3007" s="2"/>
    </row>
    <row r="3008" spans="4:11" x14ac:dyDescent="0.2">
      <c r="D3008" s="2"/>
      <c r="E3008" s="2"/>
      <c r="F3008" s="2"/>
      <c r="G3008" s="2"/>
      <c r="H3008" s="2"/>
      <c r="I3008" s="2"/>
      <c r="J3008" s="2"/>
      <c r="K3008" s="2"/>
    </row>
    <row r="3009" spans="4:11" x14ac:dyDescent="0.2">
      <c r="D3009" s="2"/>
      <c r="E3009" s="2"/>
      <c r="F3009" s="2"/>
      <c r="G3009" s="2"/>
      <c r="H3009" s="2"/>
      <c r="I3009" s="2"/>
      <c r="J3009" s="2"/>
      <c r="K3009" s="2"/>
    </row>
    <row r="3010" spans="4:11" x14ac:dyDescent="0.2">
      <c r="D3010" s="2"/>
      <c r="E3010" s="2"/>
      <c r="F3010" s="2"/>
      <c r="G3010" s="2"/>
      <c r="H3010" s="2"/>
      <c r="I3010" s="2"/>
      <c r="J3010" s="2"/>
      <c r="K3010" s="2"/>
    </row>
    <row r="3011" spans="4:11" x14ac:dyDescent="0.2">
      <c r="D3011" s="2"/>
      <c r="E3011" s="2"/>
      <c r="F3011" s="2"/>
      <c r="G3011" s="2"/>
      <c r="H3011" s="2"/>
      <c r="I3011" s="2"/>
      <c r="J3011" s="2"/>
      <c r="K3011" s="2"/>
    </row>
    <row r="3012" spans="4:11" x14ac:dyDescent="0.2">
      <c r="D3012" s="2"/>
      <c r="E3012" s="2"/>
      <c r="F3012" s="2"/>
      <c r="G3012" s="2"/>
      <c r="H3012" s="2"/>
      <c r="I3012" s="2"/>
      <c r="J3012" s="2"/>
      <c r="K3012" s="2"/>
    </row>
    <row r="3013" spans="4:11" x14ac:dyDescent="0.2">
      <c r="D3013" s="2"/>
      <c r="E3013" s="2"/>
      <c r="F3013" s="2"/>
      <c r="G3013" s="2"/>
      <c r="H3013" s="2"/>
      <c r="I3013" s="2"/>
      <c r="J3013" s="2"/>
      <c r="K3013" s="2"/>
    </row>
    <row r="3014" spans="4:11" x14ac:dyDescent="0.2">
      <c r="D3014" s="2"/>
      <c r="E3014" s="2"/>
      <c r="F3014" s="2"/>
      <c r="G3014" s="2"/>
      <c r="H3014" s="2"/>
      <c r="I3014" s="2"/>
      <c r="J3014" s="2"/>
      <c r="K3014" s="2"/>
    </row>
    <row r="3015" spans="4:11" x14ac:dyDescent="0.2">
      <c r="D3015" s="2"/>
      <c r="E3015" s="2"/>
      <c r="F3015" s="2"/>
      <c r="G3015" s="2"/>
      <c r="H3015" s="2"/>
      <c r="I3015" s="2"/>
      <c r="J3015" s="2"/>
      <c r="K3015" s="2"/>
    </row>
    <row r="3016" spans="4:11" x14ac:dyDescent="0.2">
      <c r="D3016" s="2"/>
      <c r="E3016" s="2"/>
      <c r="F3016" s="2"/>
      <c r="G3016" s="2"/>
      <c r="H3016" s="2"/>
      <c r="I3016" s="2"/>
      <c r="J3016" s="2"/>
      <c r="K3016" s="2"/>
    </row>
    <row r="3017" spans="4:11" x14ac:dyDescent="0.2">
      <c r="D3017" s="2"/>
      <c r="E3017" s="2"/>
      <c r="F3017" s="2"/>
      <c r="G3017" s="2"/>
      <c r="H3017" s="2"/>
      <c r="I3017" s="2"/>
      <c r="J3017" s="2"/>
      <c r="K3017" s="2"/>
    </row>
    <row r="3018" spans="4:11" x14ac:dyDescent="0.2">
      <c r="D3018" s="2"/>
      <c r="E3018" s="2"/>
      <c r="F3018" s="2"/>
      <c r="G3018" s="2"/>
      <c r="H3018" s="2"/>
      <c r="I3018" s="2"/>
      <c r="J3018" s="2"/>
      <c r="K3018" s="2"/>
    </row>
    <row r="3019" spans="4:11" x14ac:dyDescent="0.2">
      <c r="D3019" s="2"/>
      <c r="E3019" s="2"/>
      <c r="F3019" s="2"/>
      <c r="G3019" s="2"/>
      <c r="H3019" s="2"/>
      <c r="I3019" s="2"/>
      <c r="J3019" s="2"/>
      <c r="K3019" s="2"/>
    </row>
    <row r="3020" spans="4:11" x14ac:dyDescent="0.2">
      <c r="D3020" s="2"/>
      <c r="E3020" s="2"/>
      <c r="F3020" s="2"/>
      <c r="G3020" s="2"/>
      <c r="H3020" s="2"/>
      <c r="I3020" s="2"/>
      <c r="J3020" s="2"/>
      <c r="K3020" s="2"/>
    </row>
    <row r="3021" spans="4:11" x14ac:dyDescent="0.2">
      <c r="D3021" s="2"/>
      <c r="E3021" s="2"/>
      <c r="F3021" s="2"/>
      <c r="G3021" s="2"/>
      <c r="H3021" s="2"/>
      <c r="I3021" s="2"/>
      <c r="J3021" s="2"/>
      <c r="K3021" s="2"/>
    </row>
    <row r="3022" spans="4:11" x14ac:dyDescent="0.2">
      <c r="D3022" s="2"/>
      <c r="E3022" s="2"/>
      <c r="F3022" s="2"/>
      <c r="G3022" s="2"/>
      <c r="H3022" s="2"/>
      <c r="I3022" s="2"/>
      <c r="J3022" s="2"/>
      <c r="K3022" s="2"/>
    </row>
    <row r="3023" spans="4:11" x14ac:dyDescent="0.2">
      <c r="D3023" s="2"/>
      <c r="E3023" s="2"/>
      <c r="F3023" s="2"/>
      <c r="G3023" s="2"/>
      <c r="H3023" s="2"/>
      <c r="I3023" s="2"/>
      <c r="J3023" s="2"/>
      <c r="K3023" s="2"/>
    </row>
    <row r="3024" spans="4:11" x14ac:dyDescent="0.2">
      <c r="D3024" s="2"/>
      <c r="E3024" s="2"/>
      <c r="F3024" s="2"/>
      <c r="G3024" s="2"/>
      <c r="H3024" s="2"/>
      <c r="I3024" s="2"/>
      <c r="J3024" s="2"/>
      <c r="K3024" s="2"/>
    </row>
    <row r="3025" spans="4:11" x14ac:dyDescent="0.2">
      <c r="D3025" s="2"/>
      <c r="E3025" s="2"/>
      <c r="F3025" s="2"/>
      <c r="G3025" s="2"/>
      <c r="H3025" s="2"/>
      <c r="I3025" s="2"/>
      <c r="J3025" s="2"/>
      <c r="K3025" s="2"/>
    </row>
    <row r="3026" spans="4:11" x14ac:dyDescent="0.2">
      <c r="D3026" s="2"/>
      <c r="E3026" s="2"/>
      <c r="F3026" s="2"/>
      <c r="G3026" s="2"/>
      <c r="H3026" s="2"/>
      <c r="I3026" s="2"/>
      <c r="J3026" s="2"/>
      <c r="K3026" s="2"/>
    </row>
    <row r="3027" spans="4:11" x14ac:dyDescent="0.2">
      <c r="D3027" s="2"/>
      <c r="E3027" s="2"/>
      <c r="F3027" s="2"/>
      <c r="G3027" s="2"/>
      <c r="H3027" s="2"/>
      <c r="I3027" s="2"/>
      <c r="J3027" s="2"/>
      <c r="K3027" s="2"/>
    </row>
    <row r="3028" spans="4:11" x14ac:dyDescent="0.2">
      <c r="D3028" s="2"/>
      <c r="E3028" s="2"/>
      <c r="F3028" s="2"/>
      <c r="G3028" s="2"/>
      <c r="H3028" s="2"/>
      <c r="I3028" s="2"/>
      <c r="J3028" s="2"/>
      <c r="K3028" s="2"/>
    </row>
    <row r="3029" spans="4:11" x14ac:dyDescent="0.2">
      <c r="D3029" s="2"/>
      <c r="E3029" s="2"/>
      <c r="F3029" s="2"/>
      <c r="G3029" s="2"/>
      <c r="H3029" s="2"/>
      <c r="I3029" s="2"/>
      <c r="J3029" s="2"/>
      <c r="K3029" s="2"/>
    </row>
    <row r="3030" spans="4:11" x14ac:dyDescent="0.2">
      <c r="D3030" s="2"/>
      <c r="E3030" s="2"/>
      <c r="F3030" s="2"/>
      <c r="G3030" s="2"/>
      <c r="H3030" s="2"/>
      <c r="I3030" s="2"/>
      <c r="J3030" s="2"/>
      <c r="K3030" s="2"/>
    </row>
    <row r="3031" spans="4:11" x14ac:dyDescent="0.2">
      <c r="D3031" s="2"/>
      <c r="E3031" s="2"/>
      <c r="F3031" s="2"/>
      <c r="G3031" s="2"/>
      <c r="H3031" s="2"/>
      <c r="I3031" s="2"/>
      <c r="J3031" s="2"/>
      <c r="K3031" s="2"/>
    </row>
    <row r="3032" spans="4:11" x14ac:dyDescent="0.2">
      <c r="D3032" s="2"/>
      <c r="E3032" s="2"/>
      <c r="F3032" s="2"/>
      <c r="G3032" s="2"/>
      <c r="H3032" s="2"/>
      <c r="I3032" s="2"/>
      <c r="J3032" s="2"/>
      <c r="K3032" s="2"/>
    </row>
    <row r="3033" spans="4:11" x14ac:dyDescent="0.2">
      <c r="D3033" s="2"/>
      <c r="E3033" s="2"/>
      <c r="F3033" s="2"/>
      <c r="G3033" s="2"/>
      <c r="H3033" s="2"/>
      <c r="I3033" s="2"/>
      <c r="J3033" s="2"/>
      <c r="K3033" s="2"/>
    </row>
    <row r="3034" spans="4:11" x14ac:dyDescent="0.2">
      <c r="D3034" s="2"/>
      <c r="E3034" s="2"/>
      <c r="F3034" s="2"/>
      <c r="G3034" s="2"/>
      <c r="H3034" s="2"/>
      <c r="I3034" s="2"/>
      <c r="J3034" s="2"/>
      <c r="K3034" s="2"/>
    </row>
    <row r="3035" spans="4:11" x14ac:dyDescent="0.2">
      <c r="D3035" s="2"/>
      <c r="E3035" s="2"/>
      <c r="F3035" s="2"/>
      <c r="G3035" s="2"/>
      <c r="H3035" s="2"/>
      <c r="I3035" s="2"/>
      <c r="J3035" s="2"/>
      <c r="K3035" s="2"/>
    </row>
    <row r="3036" spans="4:11" x14ac:dyDescent="0.2">
      <c r="D3036" s="2"/>
      <c r="E3036" s="2"/>
      <c r="F3036" s="2"/>
      <c r="G3036" s="2"/>
      <c r="H3036" s="2"/>
      <c r="I3036" s="2"/>
      <c r="J3036" s="2"/>
      <c r="K3036" s="2"/>
    </row>
    <row r="3037" spans="4:11" x14ac:dyDescent="0.2">
      <c r="D3037" s="2"/>
      <c r="E3037" s="2"/>
      <c r="F3037" s="2"/>
      <c r="G3037" s="2"/>
      <c r="H3037" s="2"/>
      <c r="I3037" s="2"/>
      <c r="J3037" s="2"/>
      <c r="K3037" s="2"/>
    </row>
    <row r="3038" spans="4:11" x14ac:dyDescent="0.2">
      <c r="D3038" s="2"/>
      <c r="E3038" s="2"/>
      <c r="F3038" s="2"/>
      <c r="G3038" s="2"/>
      <c r="H3038" s="2"/>
      <c r="I3038" s="2"/>
      <c r="J3038" s="2"/>
      <c r="K3038" s="2"/>
    </row>
    <row r="3039" spans="4:11" x14ac:dyDescent="0.2">
      <c r="D3039" s="2"/>
      <c r="E3039" s="2"/>
      <c r="F3039" s="2"/>
      <c r="G3039" s="2"/>
      <c r="H3039" s="2"/>
      <c r="I3039" s="2"/>
      <c r="J3039" s="2"/>
      <c r="K3039" s="2"/>
    </row>
    <row r="3040" spans="4:11" x14ac:dyDescent="0.2">
      <c r="D3040" s="2"/>
      <c r="E3040" s="2"/>
      <c r="F3040" s="2"/>
      <c r="G3040" s="2"/>
      <c r="H3040" s="2"/>
      <c r="I3040" s="2"/>
      <c r="J3040" s="2"/>
      <c r="K3040" s="2"/>
    </row>
    <row r="3041" spans="4:11" x14ac:dyDescent="0.2">
      <c r="D3041" s="2"/>
      <c r="E3041" s="2"/>
      <c r="F3041" s="2"/>
      <c r="G3041" s="2"/>
      <c r="H3041" s="2"/>
      <c r="I3041" s="2"/>
      <c r="J3041" s="2"/>
      <c r="K3041" s="2"/>
    </row>
    <row r="3042" spans="4:11" x14ac:dyDescent="0.2">
      <c r="D3042" s="2"/>
      <c r="E3042" s="2"/>
      <c r="F3042" s="2"/>
      <c r="G3042" s="2"/>
      <c r="H3042" s="2"/>
      <c r="I3042" s="2"/>
      <c r="J3042" s="2"/>
      <c r="K3042" s="2"/>
    </row>
    <row r="3043" spans="4:11" x14ac:dyDescent="0.2">
      <c r="D3043" s="2"/>
      <c r="E3043" s="2"/>
      <c r="F3043" s="2"/>
      <c r="G3043" s="2"/>
      <c r="H3043" s="2"/>
      <c r="I3043" s="2"/>
      <c r="J3043" s="2"/>
      <c r="K3043" s="2"/>
    </row>
    <row r="3044" spans="4:11" x14ac:dyDescent="0.2">
      <c r="D3044" s="2"/>
      <c r="E3044" s="2"/>
      <c r="F3044" s="2"/>
      <c r="G3044" s="2"/>
      <c r="H3044" s="2"/>
      <c r="I3044" s="2"/>
      <c r="J3044" s="2"/>
      <c r="K3044" s="2"/>
    </row>
    <row r="3045" spans="4:11" x14ac:dyDescent="0.2">
      <c r="D3045" s="2"/>
      <c r="E3045" s="2"/>
      <c r="F3045" s="2"/>
      <c r="G3045" s="2"/>
      <c r="H3045" s="2"/>
      <c r="I3045" s="2"/>
      <c r="J3045" s="2"/>
      <c r="K3045" s="2"/>
    </row>
    <row r="3046" spans="4:11" x14ac:dyDescent="0.2">
      <c r="D3046" s="2"/>
      <c r="E3046" s="2"/>
      <c r="F3046" s="2"/>
      <c r="G3046" s="2"/>
      <c r="H3046" s="2"/>
      <c r="I3046" s="2"/>
      <c r="J3046" s="2"/>
      <c r="K3046" s="2"/>
    </row>
    <row r="3047" spans="4:11" x14ac:dyDescent="0.2">
      <c r="D3047" s="2"/>
      <c r="E3047" s="2"/>
      <c r="F3047" s="2"/>
      <c r="G3047" s="2"/>
      <c r="H3047" s="2"/>
      <c r="I3047" s="2"/>
      <c r="J3047" s="2"/>
      <c r="K3047" s="2"/>
    </row>
    <row r="3048" spans="4:11" x14ac:dyDescent="0.2">
      <c r="D3048" s="2"/>
      <c r="E3048" s="2"/>
      <c r="F3048" s="2"/>
      <c r="G3048" s="2"/>
      <c r="H3048" s="2"/>
      <c r="I3048" s="2"/>
      <c r="J3048" s="2"/>
      <c r="K3048" s="2"/>
    </row>
    <row r="3049" spans="4:11" x14ac:dyDescent="0.2">
      <c r="D3049" s="2"/>
      <c r="E3049" s="2"/>
      <c r="F3049" s="2"/>
      <c r="G3049" s="2"/>
      <c r="H3049" s="2"/>
      <c r="I3049" s="2"/>
      <c r="J3049" s="2"/>
      <c r="K3049" s="2"/>
    </row>
    <row r="3050" spans="4:11" x14ac:dyDescent="0.2">
      <c r="D3050" s="2"/>
      <c r="E3050" s="2"/>
      <c r="F3050" s="2"/>
      <c r="G3050" s="2"/>
      <c r="H3050" s="2"/>
      <c r="I3050" s="2"/>
      <c r="J3050" s="2"/>
      <c r="K3050" s="2"/>
    </row>
    <row r="3051" spans="4:11" x14ac:dyDescent="0.2">
      <c r="D3051" s="2"/>
      <c r="E3051" s="2"/>
      <c r="F3051" s="2"/>
      <c r="G3051" s="2"/>
      <c r="H3051" s="2"/>
      <c r="I3051" s="2"/>
      <c r="J3051" s="2"/>
      <c r="K3051" s="2"/>
    </row>
    <row r="3052" spans="4:11" x14ac:dyDescent="0.2">
      <c r="D3052" s="2"/>
      <c r="E3052" s="2"/>
      <c r="F3052" s="2"/>
      <c r="G3052" s="2"/>
      <c r="H3052" s="2"/>
      <c r="I3052" s="2"/>
      <c r="J3052" s="2"/>
      <c r="K3052" s="2"/>
    </row>
    <row r="3053" spans="4:11" x14ac:dyDescent="0.2">
      <c r="D3053" s="2"/>
      <c r="E3053" s="2"/>
      <c r="F3053" s="2"/>
      <c r="G3053" s="2"/>
      <c r="H3053" s="2"/>
      <c r="I3053" s="2"/>
      <c r="J3053" s="2"/>
      <c r="K3053" s="2"/>
    </row>
    <row r="3054" spans="4:11" x14ac:dyDescent="0.2">
      <c r="D3054" s="2"/>
      <c r="E3054" s="2"/>
      <c r="F3054" s="2"/>
      <c r="G3054" s="2"/>
      <c r="H3054" s="2"/>
      <c r="I3054" s="2"/>
      <c r="J3054" s="2"/>
      <c r="K3054" s="2"/>
    </row>
    <row r="3055" spans="4:11" x14ac:dyDescent="0.2">
      <c r="D3055" s="2"/>
      <c r="E3055" s="2"/>
      <c r="F3055" s="2"/>
      <c r="G3055" s="2"/>
      <c r="H3055" s="2"/>
      <c r="I3055" s="2"/>
      <c r="J3055" s="2"/>
      <c r="K3055" s="2"/>
    </row>
    <row r="3056" spans="4:11" x14ac:dyDescent="0.2">
      <c r="D3056" s="2"/>
      <c r="E3056" s="2"/>
      <c r="F3056" s="2"/>
      <c r="G3056" s="2"/>
      <c r="H3056" s="2"/>
      <c r="I3056" s="2"/>
      <c r="J3056" s="2"/>
      <c r="K3056" s="2"/>
    </row>
    <row r="3057" spans="4:11" x14ac:dyDescent="0.2">
      <c r="D3057" s="2"/>
      <c r="E3057" s="2"/>
      <c r="F3057" s="2"/>
      <c r="G3057" s="2"/>
      <c r="H3057" s="2"/>
      <c r="I3057" s="2"/>
      <c r="J3057" s="2"/>
      <c r="K3057" s="2"/>
    </row>
    <row r="3058" spans="4:11" x14ac:dyDescent="0.2">
      <c r="D3058" s="2"/>
      <c r="E3058" s="2"/>
      <c r="F3058" s="2"/>
      <c r="G3058" s="2"/>
      <c r="H3058" s="2"/>
      <c r="I3058" s="2"/>
      <c r="J3058" s="2"/>
      <c r="K3058" s="2"/>
    </row>
    <row r="3059" spans="4:11" x14ac:dyDescent="0.2">
      <c r="D3059" s="2"/>
      <c r="E3059" s="2"/>
      <c r="F3059" s="2"/>
      <c r="G3059" s="2"/>
      <c r="H3059" s="2"/>
      <c r="I3059" s="2"/>
      <c r="J3059" s="2"/>
      <c r="K3059" s="2"/>
    </row>
    <row r="3060" spans="4:11" x14ac:dyDescent="0.2">
      <c r="D3060" s="2"/>
      <c r="E3060" s="2"/>
      <c r="F3060" s="2"/>
      <c r="G3060" s="2"/>
      <c r="H3060" s="2"/>
      <c r="I3060" s="2"/>
      <c r="J3060" s="2"/>
      <c r="K3060" s="2"/>
    </row>
    <row r="3061" spans="4:11" x14ac:dyDescent="0.2">
      <c r="D3061" s="2"/>
      <c r="E3061" s="2"/>
      <c r="F3061" s="2"/>
      <c r="G3061" s="2"/>
      <c r="H3061" s="2"/>
      <c r="I3061" s="2"/>
      <c r="J3061" s="2"/>
      <c r="K3061" s="2"/>
    </row>
    <row r="3062" spans="4:11" x14ac:dyDescent="0.2">
      <c r="D3062" s="2"/>
      <c r="E3062" s="2"/>
      <c r="F3062" s="2"/>
      <c r="G3062" s="2"/>
      <c r="H3062" s="2"/>
      <c r="I3062" s="2"/>
      <c r="J3062" s="2"/>
      <c r="K3062" s="2"/>
    </row>
    <row r="3063" spans="4:11" x14ac:dyDescent="0.2">
      <c r="D3063" s="2"/>
      <c r="E3063" s="2"/>
      <c r="F3063" s="2"/>
      <c r="G3063" s="2"/>
      <c r="H3063" s="2"/>
      <c r="I3063" s="2"/>
      <c r="J3063" s="2"/>
      <c r="K3063" s="2"/>
    </row>
    <row r="3064" spans="4:11" x14ac:dyDescent="0.2">
      <c r="D3064" s="2"/>
      <c r="E3064" s="2"/>
      <c r="F3064" s="2"/>
      <c r="G3064" s="2"/>
      <c r="H3064" s="2"/>
      <c r="I3064" s="2"/>
      <c r="J3064" s="2"/>
      <c r="K3064" s="2"/>
    </row>
    <row r="3065" spans="4:11" x14ac:dyDescent="0.2">
      <c r="D3065" s="2"/>
      <c r="E3065" s="2"/>
      <c r="F3065" s="2"/>
      <c r="G3065" s="2"/>
      <c r="H3065" s="2"/>
      <c r="I3065" s="2"/>
      <c r="J3065" s="2"/>
      <c r="K3065" s="2"/>
    </row>
    <row r="3066" spans="4:11" x14ac:dyDescent="0.2">
      <c r="D3066" s="2"/>
      <c r="E3066" s="2"/>
      <c r="F3066" s="2"/>
      <c r="G3066" s="2"/>
      <c r="H3066" s="2"/>
      <c r="I3066" s="2"/>
      <c r="J3066" s="2"/>
      <c r="K3066" s="2"/>
    </row>
    <row r="3067" spans="4:11" x14ac:dyDescent="0.2">
      <c r="D3067" s="2"/>
      <c r="E3067" s="2"/>
      <c r="F3067" s="2"/>
      <c r="G3067" s="2"/>
      <c r="H3067" s="2"/>
      <c r="I3067" s="2"/>
      <c r="J3067" s="2"/>
      <c r="K3067" s="2"/>
    </row>
    <row r="3068" spans="4:11" x14ac:dyDescent="0.2">
      <c r="D3068" s="2"/>
      <c r="E3068" s="2"/>
      <c r="F3068" s="2"/>
      <c r="G3068" s="2"/>
      <c r="H3068" s="2"/>
      <c r="I3068" s="2"/>
      <c r="J3068" s="2"/>
      <c r="K3068" s="2"/>
    </row>
    <row r="3069" spans="4:11" x14ac:dyDescent="0.2">
      <c r="D3069" s="2"/>
      <c r="E3069" s="2"/>
      <c r="F3069" s="2"/>
      <c r="G3069" s="2"/>
      <c r="H3069" s="2"/>
      <c r="I3069" s="2"/>
      <c r="J3069" s="2"/>
      <c r="K3069" s="2"/>
    </row>
    <row r="3070" spans="4:11" x14ac:dyDescent="0.2">
      <c r="D3070" s="2"/>
      <c r="E3070" s="2"/>
      <c r="F3070" s="2"/>
      <c r="G3070" s="2"/>
      <c r="H3070" s="2"/>
      <c r="I3070" s="2"/>
      <c r="J3070" s="2"/>
      <c r="K3070" s="2"/>
    </row>
    <row r="3071" spans="4:11" x14ac:dyDescent="0.2">
      <c r="D3071" s="2"/>
      <c r="E3071" s="2"/>
      <c r="F3071" s="2"/>
      <c r="G3071" s="2"/>
      <c r="H3071" s="2"/>
      <c r="I3071" s="2"/>
      <c r="J3071" s="2"/>
      <c r="K3071" s="2"/>
    </row>
    <row r="3072" spans="4:11" x14ac:dyDescent="0.2">
      <c r="D3072" s="2"/>
      <c r="E3072" s="2"/>
      <c r="F3072" s="2"/>
      <c r="G3072" s="2"/>
      <c r="H3072" s="2"/>
      <c r="I3072" s="2"/>
      <c r="J3072" s="2"/>
      <c r="K3072" s="2"/>
    </row>
    <row r="3073" spans="4:11" x14ac:dyDescent="0.2">
      <c r="D3073" s="2"/>
      <c r="E3073" s="2"/>
      <c r="F3073" s="2"/>
      <c r="G3073" s="2"/>
      <c r="H3073" s="2"/>
      <c r="I3073" s="2"/>
      <c r="J3073" s="2"/>
      <c r="K3073" s="2"/>
    </row>
    <row r="3074" spans="4:11" x14ac:dyDescent="0.2">
      <c r="D3074" s="2"/>
      <c r="E3074" s="2"/>
      <c r="F3074" s="2"/>
      <c r="G3074" s="2"/>
      <c r="H3074" s="2"/>
      <c r="I3074" s="2"/>
      <c r="J3074" s="2"/>
      <c r="K3074" s="2"/>
    </row>
    <row r="3075" spans="4:11" x14ac:dyDescent="0.2">
      <c r="D3075" s="2"/>
      <c r="E3075" s="2"/>
      <c r="F3075" s="2"/>
      <c r="G3075" s="2"/>
      <c r="H3075" s="2"/>
      <c r="I3075" s="2"/>
      <c r="J3075" s="2"/>
      <c r="K3075" s="2"/>
    </row>
    <row r="3076" spans="4:11" x14ac:dyDescent="0.2">
      <c r="D3076" s="2"/>
      <c r="E3076" s="2"/>
      <c r="F3076" s="2"/>
      <c r="G3076" s="2"/>
      <c r="H3076" s="2"/>
      <c r="I3076" s="2"/>
      <c r="J3076" s="2"/>
      <c r="K3076" s="2"/>
    </row>
    <row r="3077" spans="4:11" x14ac:dyDescent="0.2">
      <c r="D3077" s="2"/>
      <c r="E3077" s="2"/>
      <c r="F3077" s="2"/>
      <c r="G3077" s="2"/>
      <c r="H3077" s="2"/>
      <c r="I3077" s="2"/>
      <c r="J3077" s="2"/>
      <c r="K3077" s="2"/>
    </row>
    <row r="3078" spans="4:11" x14ac:dyDescent="0.2">
      <c r="D3078" s="2"/>
      <c r="E3078" s="2"/>
      <c r="F3078" s="2"/>
      <c r="G3078" s="2"/>
      <c r="H3078" s="2"/>
      <c r="I3078" s="2"/>
      <c r="J3078" s="2"/>
      <c r="K3078" s="2"/>
    </row>
    <row r="3079" spans="4:11" x14ac:dyDescent="0.2">
      <c r="D3079" s="2"/>
      <c r="E3079" s="2"/>
      <c r="F3079" s="2"/>
      <c r="G3079" s="2"/>
      <c r="H3079" s="2"/>
      <c r="I3079" s="2"/>
      <c r="J3079" s="2"/>
      <c r="K3079" s="2"/>
    </row>
    <row r="3080" spans="4:11" x14ac:dyDescent="0.2">
      <c r="D3080" s="2"/>
      <c r="E3080" s="2"/>
      <c r="F3080" s="2"/>
      <c r="G3080" s="2"/>
      <c r="H3080" s="2"/>
      <c r="I3080" s="2"/>
      <c r="J3080" s="2"/>
      <c r="K3080" s="2"/>
    </row>
    <row r="3081" spans="4:11" x14ac:dyDescent="0.2">
      <c r="D3081" s="2"/>
      <c r="E3081" s="2"/>
      <c r="F3081" s="2"/>
      <c r="G3081" s="2"/>
      <c r="H3081" s="2"/>
      <c r="I3081" s="2"/>
      <c r="J3081" s="2"/>
      <c r="K3081" s="2"/>
    </row>
    <row r="3082" spans="4:11" x14ac:dyDescent="0.2">
      <c r="D3082" s="2"/>
      <c r="E3082" s="2"/>
      <c r="F3082" s="2"/>
      <c r="G3082" s="2"/>
      <c r="H3082" s="2"/>
      <c r="I3082" s="2"/>
      <c r="J3082" s="2"/>
      <c r="K3082" s="2"/>
    </row>
    <row r="3083" spans="4:11" x14ac:dyDescent="0.2">
      <c r="D3083" s="2"/>
      <c r="E3083" s="2"/>
      <c r="F3083" s="2"/>
      <c r="G3083" s="2"/>
      <c r="H3083" s="2"/>
      <c r="I3083" s="2"/>
      <c r="J3083" s="2"/>
      <c r="K3083" s="2"/>
    </row>
    <row r="3084" spans="4:11" x14ac:dyDescent="0.2">
      <c r="D3084" s="2"/>
      <c r="E3084" s="2"/>
      <c r="F3084" s="2"/>
      <c r="G3084" s="2"/>
      <c r="H3084" s="2"/>
      <c r="I3084" s="2"/>
      <c r="J3084" s="2"/>
      <c r="K3084" s="2"/>
    </row>
    <row r="3085" spans="4:11" x14ac:dyDescent="0.2">
      <c r="D3085" s="2"/>
      <c r="E3085" s="2"/>
      <c r="F3085" s="2"/>
      <c r="G3085" s="2"/>
      <c r="H3085" s="2"/>
      <c r="I3085" s="2"/>
      <c r="J3085" s="2"/>
      <c r="K3085" s="2"/>
    </row>
    <row r="3086" spans="4:11" x14ac:dyDescent="0.2">
      <c r="D3086" s="2"/>
      <c r="E3086" s="2"/>
      <c r="F3086" s="2"/>
      <c r="G3086" s="2"/>
      <c r="H3086" s="2"/>
      <c r="I3086" s="2"/>
      <c r="J3086" s="2"/>
      <c r="K3086" s="2"/>
    </row>
    <row r="3087" spans="4:11" x14ac:dyDescent="0.2">
      <c r="D3087" s="2"/>
      <c r="E3087" s="2"/>
      <c r="F3087" s="2"/>
      <c r="G3087" s="2"/>
      <c r="H3087" s="2"/>
      <c r="I3087" s="2"/>
      <c r="J3087" s="2"/>
      <c r="K3087" s="2"/>
    </row>
    <row r="3088" spans="4:11" x14ac:dyDescent="0.2">
      <c r="D3088" s="2"/>
      <c r="E3088" s="2"/>
      <c r="F3088" s="2"/>
      <c r="G3088" s="2"/>
      <c r="H3088" s="2"/>
      <c r="I3088" s="2"/>
      <c r="J3088" s="2"/>
      <c r="K3088" s="2"/>
    </row>
    <row r="3089" spans="4:11" x14ac:dyDescent="0.2">
      <c r="D3089" s="2"/>
      <c r="E3089" s="2"/>
      <c r="F3089" s="2"/>
      <c r="G3089" s="2"/>
      <c r="H3089" s="2"/>
      <c r="I3089" s="2"/>
      <c r="J3089" s="2"/>
      <c r="K3089" s="2"/>
    </row>
    <row r="3090" spans="4:11" x14ac:dyDescent="0.2">
      <c r="D3090" s="2"/>
      <c r="E3090" s="2"/>
      <c r="F3090" s="2"/>
      <c r="G3090" s="2"/>
      <c r="H3090" s="2"/>
      <c r="I3090" s="2"/>
      <c r="J3090" s="2"/>
      <c r="K3090" s="2"/>
    </row>
    <row r="3091" spans="4:11" x14ac:dyDescent="0.2">
      <c r="D3091" s="2"/>
      <c r="E3091" s="2"/>
      <c r="F3091" s="2"/>
      <c r="G3091" s="2"/>
      <c r="H3091" s="2"/>
      <c r="I3091" s="2"/>
      <c r="J3091" s="2"/>
      <c r="K3091" s="2"/>
    </row>
    <row r="3092" spans="4:11" x14ac:dyDescent="0.2">
      <c r="D3092" s="2"/>
      <c r="E3092" s="2"/>
      <c r="F3092" s="2"/>
      <c r="G3092" s="2"/>
      <c r="H3092" s="2"/>
      <c r="I3092" s="2"/>
      <c r="J3092" s="2"/>
      <c r="K3092" s="2"/>
    </row>
    <row r="3093" spans="4:11" x14ac:dyDescent="0.2">
      <c r="D3093" s="2"/>
      <c r="E3093" s="2"/>
      <c r="F3093" s="2"/>
      <c r="G3093" s="2"/>
      <c r="H3093" s="2"/>
      <c r="I3093" s="2"/>
      <c r="J3093" s="2"/>
      <c r="K3093" s="2"/>
    </row>
    <row r="3094" spans="4:11" x14ac:dyDescent="0.2">
      <c r="D3094" s="2"/>
      <c r="E3094" s="2"/>
      <c r="F3094" s="2"/>
      <c r="G3094" s="2"/>
      <c r="H3094" s="2"/>
      <c r="I3094" s="2"/>
      <c r="J3094" s="2"/>
      <c r="K3094" s="2"/>
    </row>
    <row r="3095" spans="4:11" x14ac:dyDescent="0.2">
      <c r="D3095" s="2"/>
      <c r="E3095" s="2"/>
      <c r="F3095" s="2"/>
      <c r="G3095" s="2"/>
      <c r="H3095" s="2"/>
      <c r="I3095" s="2"/>
      <c r="J3095" s="2"/>
      <c r="K3095" s="2"/>
    </row>
    <row r="3096" spans="4:11" x14ac:dyDescent="0.2">
      <c r="D3096" s="2"/>
      <c r="E3096" s="2"/>
      <c r="F3096" s="2"/>
      <c r="G3096" s="2"/>
      <c r="H3096" s="2"/>
      <c r="I3096" s="2"/>
      <c r="J3096" s="2"/>
      <c r="K3096" s="2"/>
    </row>
    <row r="3097" spans="4:11" x14ac:dyDescent="0.2">
      <c r="D3097" s="2"/>
      <c r="E3097" s="2"/>
      <c r="F3097" s="2"/>
      <c r="G3097" s="2"/>
      <c r="H3097" s="2"/>
      <c r="I3097" s="2"/>
      <c r="J3097" s="2"/>
      <c r="K3097" s="2"/>
    </row>
    <row r="3098" spans="4:11" x14ac:dyDescent="0.2">
      <c r="D3098" s="2"/>
      <c r="E3098" s="2"/>
      <c r="F3098" s="2"/>
      <c r="G3098" s="2"/>
      <c r="H3098" s="2"/>
      <c r="I3098" s="2"/>
      <c r="J3098" s="2"/>
      <c r="K3098" s="2"/>
    </row>
    <row r="3099" spans="4:11" x14ac:dyDescent="0.2">
      <c r="D3099" s="2"/>
      <c r="E3099" s="2"/>
      <c r="F3099" s="2"/>
      <c r="G3099" s="2"/>
      <c r="H3099" s="2"/>
      <c r="I3099" s="2"/>
      <c r="J3099" s="2"/>
      <c r="K3099" s="2"/>
    </row>
    <row r="3100" spans="4:11" x14ac:dyDescent="0.2">
      <c r="D3100" s="2"/>
      <c r="E3100" s="2"/>
      <c r="F3100" s="2"/>
      <c r="G3100" s="2"/>
      <c r="H3100" s="2"/>
      <c r="I3100" s="2"/>
      <c r="J3100" s="2"/>
      <c r="K3100" s="2"/>
    </row>
    <row r="3101" spans="4:11" x14ac:dyDescent="0.2">
      <c r="D3101" s="2"/>
      <c r="E3101" s="2"/>
      <c r="F3101" s="2"/>
      <c r="G3101" s="2"/>
      <c r="H3101" s="2"/>
      <c r="I3101" s="2"/>
      <c r="J3101" s="2"/>
      <c r="K3101" s="2"/>
    </row>
    <row r="3102" spans="4:11" x14ac:dyDescent="0.2">
      <c r="D3102" s="2"/>
      <c r="E3102" s="2"/>
      <c r="F3102" s="2"/>
      <c r="G3102" s="2"/>
      <c r="H3102" s="2"/>
      <c r="I3102" s="2"/>
      <c r="J3102" s="2"/>
      <c r="K3102" s="2"/>
    </row>
    <row r="3103" spans="4:11" x14ac:dyDescent="0.2">
      <c r="D3103" s="2"/>
      <c r="E3103" s="2"/>
      <c r="F3103" s="2"/>
      <c r="G3103" s="2"/>
      <c r="H3103" s="2"/>
      <c r="I3103" s="2"/>
      <c r="J3103" s="2"/>
      <c r="K3103" s="2"/>
    </row>
    <row r="3104" spans="4:11" x14ac:dyDescent="0.2">
      <c r="D3104" s="2"/>
      <c r="E3104" s="2"/>
      <c r="F3104" s="2"/>
      <c r="G3104" s="2"/>
      <c r="H3104" s="2"/>
      <c r="I3104" s="2"/>
      <c r="J3104" s="2"/>
      <c r="K3104" s="2"/>
    </row>
    <row r="3105" spans="4:11" x14ac:dyDescent="0.2">
      <c r="D3105" s="2"/>
      <c r="E3105" s="2"/>
      <c r="F3105" s="2"/>
      <c r="G3105" s="2"/>
      <c r="H3105" s="2"/>
      <c r="I3105" s="2"/>
      <c r="J3105" s="2"/>
      <c r="K3105" s="2"/>
    </row>
    <row r="3106" spans="4:11" x14ac:dyDescent="0.2">
      <c r="D3106" s="2"/>
      <c r="E3106" s="2"/>
      <c r="F3106" s="2"/>
      <c r="G3106" s="2"/>
      <c r="H3106" s="2"/>
      <c r="I3106" s="2"/>
      <c r="J3106" s="2"/>
      <c r="K3106" s="2"/>
    </row>
    <row r="3107" spans="4:11" x14ac:dyDescent="0.2">
      <c r="D3107" s="2"/>
      <c r="E3107" s="2"/>
      <c r="F3107" s="2"/>
      <c r="G3107" s="2"/>
      <c r="H3107" s="2"/>
      <c r="I3107" s="2"/>
      <c r="J3107" s="2"/>
      <c r="K3107" s="2"/>
    </row>
    <row r="3108" spans="4:11" x14ac:dyDescent="0.2">
      <c r="D3108" s="2"/>
      <c r="E3108" s="2"/>
      <c r="F3108" s="2"/>
      <c r="G3108" s="2"/>
      <c r="H3108" s="2"/>
      <c r="I3108" s="2"/>
      <c r="J3108" s="2"/>
      <c r="K3108" s="2"/>
    </row>
    <row r="3109" spans="4:11" x14ac:dyDescent="0.2">
      <c r="D3109" s="2"/>
      <c r="E3109" s="2"/>
      <c r="F3109" s="2"/>
      <c r="G3109" s="2"/>
      <c r="H3109" s="2"/>
      <c r="I3109" s="2"/>
      <c r="J3109" s="2"/>
      <c r="K3109" s="2"/>
    </row>
    <row r="3110" spans="4:11" x14ac:dyDescent="0.2">
      <c r="D3110" s="2"/>
      <c r="E3110" s="2"/>
      <c r="F3110" s="2"/>
      <c r="G3110" s="2"/>
      <c r="H3110" s="2"/>
      <c r="I3110" s="2"/>
      <c r="J3110" s="2"/>
      <c r="K3110" s="2"/>
    </row>
    <row r="3111" spans="4:11" x14ac:dyDescent="0.2">
      <c r="D3111" s="2"/>
      <c r="E3111" s="2"/>
      <c r="F3111" s="2"/>
      <c r="G3111" s="2"/>
      <c r="H3111" s="2"/>
      <c r="I3111" s="2"/>
      <c r="J3111" s="2"/>
      <c r="K3111" s="2"/>
    </row>
    <row r="3112" spans="4:11" x14ac:dyDescent="0.2">
      <c r="D3112" s="2"/>
      <c r="E3112" s="2"/>
      <c r="F3112" s="2"/>
      <c r="G3112" s="2"/>
      <c r="H3112" s="2"/>
      <c r="I3112" s="2"/>
      <c r="J3112" s="2"/>
      <c r="K3112" s="2"/>
    </row>
    <row r="3113" spans="4:11" x14ac:dyDescent="0.2">
      <c r="D3113" s="2"/>
      <c r="E3113" s="2"/>
      <c r="F3113" s="2"/>
      <c r="G3113" s="2"/>
      <c r="H3113" s="2"/>
      <c r="I3113" s="2"/>
      <c r="J3113" s="2"/>
      <c r="K3113" s="2"/>
    </row>
    <row r="3114" spans="4:11" x14ac:dyDescent="0.2">
      <c r="D3114" s="2"/>
      <c r="E3114" s="2"/>
      <c r="F3114" s="2"/>
      <c r="G3114" s="2"/>
      <c r="H3114" s="2"/>
      <c r="I3114" s="2"/>
      <c r="J3114" s="2"/>
      <c r="K3114" s="2"/>
    </row>
    <row r="3115" spans="4:11" x14ac:dyDescent="0.2">
      <c r="D3115" s="2"/>
      <c r="E3115" s="2"/>
      <c r="F3115" s="2"/>
      <c r="G3115" s="2"/>
      <c r="H3115" s="2"/>
      <c r="I3115" s="2"/>
      <c r="J3115" s="2"/>
      <c r="K3115" s="2"/>
    </row>
    <row r="3116" spans="4:11" x14ac:dyDescent="0.2">
      <c r="D3116" s="2"/>
      <c r="E3116" s="2"/>
      <c r="F3116" s="2"/>
      <c r="G3116" s="2"/>
      <c r="H3116" s="2"/>
      <c r="I3116" s="2"/>
      <c r="J3116" s="2"/>
      <c r="K3116" s="2"/>
    </row>
    <row r="3117" spans="4:11" x14ac:dyDescent="0.2">
      <c r="D3117" s="2"/>
      <c r="E3117" s="2"/>
      <c r="F3117" s="2"/>
      <c r="G3117" s="2"/>
      <c r="H3117" s="2"/>
      <c r="I3117" s="2"/>
      <c r="J3117" s="2"/>
      <c r="K3117" s="2"/>
    </row>
    <row r="3118" spans="4:11" x14ac:dyDescent="0.2">
      <c r="D3118" s="2"/>
      <c r="E3118" s="2"/>
      <c r="F3118" s="2"/>
      <c r="G3118" s="2"/>
      <c r="H3118" s="2"/>
      <c r="I3118" s="2"/>
      <c r="J3118" s="2"/>
      <c r="K3118" s="2"/>
    </row>
    <row r="3119" spans="4:11" x14ac:dyDescent="0.2">
      <c r="D3119" s="2"/>
      <c r="E3119" s="2"/>
      <c r="F3119" s="2"/>
      <c r="G3119" s="2"/>
      <c r="H3119" s="2"/>
      <c r="I3119" s="2"/>
      <c r="J3119" s="2"/>
      <c r="K3119" s="2"/>
    </row>
    <row r="3120" spans="4:11" x14ac:dyDescent="0.2">
      <c r="D3120" s="2"/>
      <c r="E3120" s="2"/>
      <c r="F3120" s="2"/>
      <c r="G3120" s="2"/>
      <c r="H3120" s="2"/>
      <c r="I3120" s="2"/>
      <c r="J3120" s="2"/>
      <c r="K3120" s="2"/>
    </row>
    <row r="3121" spans="4:11" x14ac:dyDescent="0.2">
      <c r="D3121" s="2"/>
      <c r="E3121" s="2"/>
      <c r="F3121" s="2"/>
      <c r="G3121" s="2"/>
      <c r="H3121" s="2"/>
      <c r="I3121" s="2"/>
      <c r="J3121" s="2"/>
      <c r="K3121" s="2"/>
    </row>
    <row r="3122" spans="4:11" x14ac:dyDescent="0.2">
      <c r="D3122" s="2"/>
      <c r="E3122" s="2"/>
      <c r="F3122" s="2"/>
      <c r="G3122" s="2"/>
      <c r="H3122" s="2"/>
      <c r="I3122" s="2"/>
      <c r="J3122" s="2"/>
      <c r="K3122" s="2"/>
    </row>
    <row r="3123" spans="4:11" x14ac:dyDescent="0.2">
      <c r="D3123" s="2"/>
      <c r="E3123" s="2"/>
      <c r="F3123" s="2"/>
      <c r="G3123" s="2"/>
      <c r="H3123" s="2"/>
      <c r="I3123" s="2"/>
      <c r="J3123" s="2"/>
      <c r="K3123" s="2"/>
    </row>
    <row r="3124" spans="4:11" x14ac:dyDescent="0.2">
      <c r="D3124" s="2"/>
      <c r="E3124" s="2"/>
      <c r="F3124" s="2"/>
      <c r="G3124" s="2"/>
      <c r="H3124" s="2"/>
      <c r="I3124" s="2"/>
      <c r="J3124" s="2"/>
      <c r="K3124" s="2"/>
    </row>
    <row r="3125" spans="4:11" x14ac:dyDescent="0.2">
      <c r="D3125" s="2"/>
      <c r="E3125" s="2"/>
      <c r="F3125" s="2"/>
      <c r="G3125" s="2"/>
      <c r="H3125" s="2"/>
      <c r="I3125" s="2"/>
      <c r="J3125" s="2"/>
      <c r="K3125" s="2"/>
    </row>
    <row r="3126" spans="4:11" x14ac:dyDescent="0.2">
      <c r="D3126" s="2"/>
      <c r="E3126" s="2"/>
      <c r="F3126" s="2"/>
      <c r="G3126" s="2"/>
      <c r="H3126" s="2"/>
      <c r="I3126" s="2"/>
      <c r="J3126" s="2"/>
      <c r="K3126" s="2"/>
    </row>
    <row r="3127" spans="4:11" x14ac:dyDescent="0.2">
      <c r="D3127" s="2"/>
      <c r="E3127" s="2"/>
      <c r="F3127" s="2"/>
      <c r="G3127" s="2"/>
      <c r="H3127" s="2"/>
      <c r="I3127" s="2"/>
      <c r="J3127" s="2"/>
      <c r="K3127" s="2"/>
    </row>
    <row r="3128" spans="4:11" x14ac:dyDescent="0.2">
      <c r="D3128" s="2"/>
      <c r="E3128" s="2"/>
      <c r="F3128" s="2"/>
      <c r="G3128" s="2"/>
      <c r="H3128" s="2"/>
      <c r="I3128" s="2"/>
      <c r="J3128" s="2"/>
      <c r="K3128" s="2"/>
    </row>
    <row r="3129" spans="4:11" x14ac:dyDescent="0.2">
      <c r="D3129" s="2"/>
      <c r="E3129" s="2"/>
      <c r="F3129" s="2"/>
      <c r="G3129" s="2"/>
      <c r="H3129" s="2"/>
      <c r="I3129" s="2"/>
      <c r="J3129" s="2"/>
      <c r="K3129" s="2"/>
    </row>
    <row r="3130" spans="4:11" x14ac:dyDescent="0.2">
      <c r="D3130" s="2"/>
      <c r="E3130" s="2"/>
      <c r="F3130" s="2"/>
      <c r="G3130" s="2"/>
      <c r="H3130" s="2"/>
      <c r="I3130" s="2"/>
      <c r="J3130" s="2"/>
      <c r="K3130" s="2"/>
    </row>
    <row r="3131" spans="4:11" x14ac:dyDescent="0.2">
      <c r="D3131" s="2"/>
      <c r="E3131" s="2"/>
      <c r="F3131" s="2"/>
      <c r="G3131" s="2"/>
      <c r="H3131" s="2"/>
      <c r="I3131" s="2"/>
      <c r="J3131" s="2"/>
      <c r="K3131" s="2"/>
    </row>
    <row r="3132" spans="4:11" x14ac:dyDescent="0.2">
      <c r="D3132" s="2"/>
      <c r="E3132" s="2"/>
      <c r="F3132" s="2"/>
      <c r="G3132" s="2"/>
      <c r="H3132" s="2"/>
      <c r="I3132" s="2"/>
      <c r="J3132" s="2"/>
      <c r="K3132" s="2"/>
    </row>
    <row r="3133" spans="4:11" x14ac:dyDescent="0.2">
      <c r="D3133" s="2"/>
      <c r="E3133" s="2"/>
      <c r="F3133" s="2"/>
      <c r="G3133" s="2"/>
      <c r="H3133" s="2"/>
      <c r="I3133" s="2"/>
      <c r="J3133" s="2"/>
      <c r="K3133" s="2"/>
    </row>
    <row r="3134" spans="4:11" x14ac:dyDescent="0.2">
      <c r="D3134" s="2"/>
      <c r="E3134" s="2"/>
      <c r="F3134" s="2"/>
      <c r="G3134" s="2"/>
      <c r="H3134" s="2"/>
      <c r="I3134" s="2"/>
      <c r="J3134" s="2"/>
      <c r="K3134" s="2"/>
    </row>
    <row r="3135" spans="4:11" x14ac:dyDescent="0.2">
      <c r="D3135" s="2"/>
      <c r="E3135" s="2"/>
      <c r="F3135" s="2"/>
      <c r="G3135" s="2"/>
      <c r="H3135" s="2"/>
      <c r="I3135" s="2"/>
      <c r="J3135" s="2"/>
      <c r="K3135" s="2"/>
    </row>
    <row r="3136" spans="4:11" x14ac:dyDescent="0.2">
      <c r="D3136" s="2"/>
      <c r="E3136" s="2"/>
      <c r="F3136" s="2"/>
      <c r="G3136" s="2"/>
      <c r="H3136" s="2"/>
      <c r="I3136" s="2"/>
      <c r="J3136" s="2"/>
      <c r="K3136" s="2"/>
    </row>
    <row r="3137" spans="4:11" x14ac:dyDescent="0.2">
      <c r="D3137" s="2"/>
      <c r="E3137" s="2"/>
      <c r="F3137" s="2"/>
      <c r="G3137" s="2"/>
      <c r="H3137" s="2"/>
      <c r="I3137" s="2"/>
      <c r="J3137" s="2"/>
      <c r="K3137" s="2"/>
    </row>
    <row r="3138" spans="4:11" x14ac:dyDescent="0.2">
      <c r="D3138" s="2"/>
      <c r="E3138" s="2"/>
      <c r="F3138" s="2"/>
      <c r="G3138" s="2"/>
      <c r="H3138" s="2"/>
      <c r="I3138" s="2"/>
      <c r="J3138" s="2"/>
      <c r="K3138" s="2"/>
    </row>
    <row r="3139" spans="4:11" x14ac:dyDescent="0.2">
      <c r="D3139" s="2"/>
      <c r="E3139" s="2"/>
      <c r="F3139" s="2"/>
      <c r="G3139" s="2"/>
      <c r="H3139" s="2"/>
      <c r="I3139" s="2"/>
      <c r="J3139" s="2"/>
      <c r="K3139" s="2"/>
    </row>
    <row r="3140" spans="4:11" x14ac:dyDescent="0.2">
      <c r="D3140" s="2"/>
      <c r="E3140" s="2"/>
      <c r="F3140" s="2"/>
      <c r="G3140" s="2"/>
      <c r="H3140" s="2"/>
      <c r="I3140" s="2"/>
      <c r="J3140" s="2"/>
      <c r="K3140" s="2"/>
    </row>
    <row r="3141" spans="4:11" x14ac:dyDescent="0.2">
      <c r="D3141" s="2"/>
      <c r="E3141" s="2"/>
      <c r="F3141" s="2"/>
      <c r="G3141" s="2"/>
      <c r="H3141" s="2"/>
      <c r="I3141" s="2"/>
      <c r="J3141" s="2"/>
      <c r="K3141" s="2"/>
    </row>
    <row r="3142" spans="4:11" x14ac:dyDescent="0.2">
      <c r="D3142" s="2"/>
      <c r="E3142" s="2"/>
      <c r="F3142" s="2"/>
      <c r="G3142" s="2"/>
      <c r="H3142" s="2"/>
      <c r="I3142" s="2"/>
      <c r="J3142" s="2"/>
      <c r="K3142" s="2"/>
    </row>
    <row r="3143" spans="4:11" x14ac:dyDescent="0.2">
      <c r="D3143" s="2"/>
      <c r="E3143" s="2"/>
      <c r="F3143" s="2"/>
      <c r="G3143" s="2"/>
      <c r="H3143" s="2"/>
      <c r="I3143" s="2"/>
      <c r="J3143" s="2"/>
      <c r="K3143" s="2"/>
    </row>
    <row r="3144" spans="4:11" x14ac:dyDescent="0.2">
      <c r="D3144" s="2"/>
      <c r="E3144" s="2"/>
      <c r="F3144" s="2"/>
      <c r="G3144" s="2"/>
      <c r="H3144" s="2"/>
      <c r="I3144" s="2"/>
      <c r="J3144" s="2"/>
      <c r="K3144" s="2"/>
    </row>
    <row r="3145" spans="4:11" x14ac:dyDescent="0.2">
      <c r="D3145" s="2"/>
      <c r="E3145" s="2"/>
      <c r="F3145" s="2"/>
      <c r="G3145" s="2"/>
      <c r="H3145" s="2"/>
      <c r="I3145" s="2"/>
      <c r="J3145" s="2"/>
      <c r="K3145" s="2"/>
    </row>
    <row r="3146" spans="4:11" x14ac:dyDescent="0.2">
      <c r="D3146" s="2"/>
      <c r="E3146" s="2"/>
      <c r="F3146" s="2"/>
      <c r="G3146" s="2"/>
      <c r="H3146" s="2"/>
      <c r="I3146" s="2"/>
      <c r="J3146" s="2"/>
      <c r="K3146" s="2"/>
    </row>
    <row r="3147" spans="4:11" x14ac:dyDescent="0.2">
      <c r="D3147" s="2"/>
      <c r="E3147" s="2"/>
      <c r="F3147" s="2"/>
      <c r="G3147" s="2"/>
      <c r="H3147" s="2"/>
      <c r="I3147" s="2"/>
      <c r="J3147" s="2"/>
      <c r="K3147" s="2"/>
    </row>
    <row r="3148" spans="4:11" x14ac:dyDescent="0.2">
      <c r="D3148" s="2"/>
      <c r="E3148" s="2"/>
      <c r="F3148" s="2"/>
      <c r="G3148" s="2"/>
      <c r="H3148" s="2"/>
      <c r="I3148" s="2"/>
      <c r="J3148" s="2"/>
      <c r="K3148" s="2"/>
    </row>
    <row r="3149" spans="4:11" x14ac:dyDescent="0.2">
      <c r="D3149" s="2"/>
      <c r="E3149" s="2"/>
      <c r="F3149" s="2"/>
      <c r="G3149" s="2"/>
      <c r="H3149" s="2"/>
      <c r="I3149" s="2"/>
      <c r="J3149" s="2"/>
      <c r="K3149" s="2"/>
    </row>
    <row r="3150" spans="4:11" x14ac:dyDescent="0.2">
      <c r="D3150" s="2"/>
      <c r="E3150" s="2"/>
      <c r="F3150" s="2"/>
      <c r="G3150" s="2"/>
      <c r="H3150" s="2"/>
      <c r="I3150" s="2"/>
      <c r="J3150" s="2"/>
      <c r="K3150" s="2"/>
    </row>
    <row r="3151" spans="4:11" x14ac:dyDescent="0.2">
      <c r="D3151" s="2"/>
      <c r="E3151" s="2"/>
      <c r="F3151" s="2"/>
      <c r="G3151" s="2"/>
      <c r="H3151" s="2"/>
      <c r="I3151" s="2"/>
      <c r="J3151" s="2"/>
      <c r="K3151" s="2"/>
    </row>
    <row r="3152" spans="4:11" x14ac:dyDescent="0.2">
      <c r="D3152" s="2"/>
      <c r="E3152" s="2"/>
      <c r="F3152" s="2"/>
      <c r="G3152" s="2"/>
      <c r="H3152" s="2"/>
      <c r="I3152" s="2"/>
      <c r="J3152" s="2"/>
      <c r="K3152" s="2"/>
    </row>
    <row r="3153" spans="4:11" x14ac:dyDescent="0.2">
      <c r="D3153" s="2"/>
      <c r="E3153" s="2"/>
      <c r="F3153" s="2"/>
      <c r="G3153" s="2"/>
      <c r="H3153" s="2"/>
      <c r="I3153" s="2"/>
      <c r="J3153" s="2"/>
      <c r="K3153" s="2"/>
    </row>
    <row r="3154" spans="4:11" x14ac:dyDescent="0.2">
      <c r="D3154" s="2"/>
      <c r="E3154" s="2"/>
      <c r="F3154" s="2"/>
      <c r="G3154" s="2"/>
      <c r="H3154" s="2"/>
      <c r="I3154" s="2"/>
      <c r="J3154" s="2"/>
      <c r="K3154" s="2"/>
    </row>
    <row r="3155" spans="4:11" x14ac:dyDescent="0.2">
      <c r="D3155" s="2"/>
      <c r="E3155" s="2"/>
      <c r="F3155" s="2"/>
      <c r="G3155" s="2"/>
      <c r="H3155" s="2"/>
      <c r="I3155" s="2"/>
      <c r="J3155" s="2"/>
      <c r="K3155" s="2"/>
    </row>
    <row r="3156" spans="4:11" x14ac:dyDescent="0.2">
      <c r="D3156" s="2"/>
      <c r="E3156" s="2"/>
      <c r="F3156" s="2"/>
      <c r="G3156" s="2"/>
      <c r="H3156" s="2"/>
      <c r="I3156" s="2"/>
      <c r="J3156" s="2"/>
      <c r="K3156" s="2"/>
    </row>
    <row r="3157" spans="4:11" x14ac:dyDescent="0.2">
      <c r="D3157" s="2"/>
      <c r="E3157" s="2"/>
      <c r="F3157" s="2"/>
      <c r="G3157" s="2"/>
      <c r="H3157" s="2"/>
      <c r="I3157" s="2"/>
      <c r="J3157" s="2"/>
      <c r="K3157" s="2"/>
    </row>
    <row r="3158" spans="4:11" x14ac:dyDescent="0.2">
      <c r="D3158" s="2"/>
      <c r="E3158" s="2"/>
      <c r="F3158" s="2"/>
      <c r="G3158" s="2"/>
      <c r="H3158" s="2"/>
      <c r="I3158" s="2"/>
      <c r="J3158" s="2"/>
      <c r="K3158" s="2"/>
    </row>
    <row r="3159" spans="4:11" x14ac:dyDescent="0.2">
      <c r="D3159" s="2"/>
      <c r="E3159" s="2"/>
      <c r="F3159" s="2"/>
      <c r="G3159" s="2"/>
      <c r="H3159" s="2"/>
      <c r="I3159" s="2"/>
      <c r="J3159" s="2"/>
      <c r="K3159" s="2"/>
    </row>
    <row r="3160" spans="4:11" x14ac:dyDescent="0.2">
      <c r="D3160" s="2"/>
      <c r="E3160" s="2"/>
      <c r="F3160" s="2"/>
      <c r="G3160" s="2"/>
      <c r="H3160" s="2"/>
      <c r="I3160" s="2"/>
      <c r="J3160" s="2"/>
      <c r="K3160" s="2"/>
    </row>
    <row r="3161" spans="4:11" x14ac:dyDescent="0.2">
      <c r="D3161" s="2"/>
      <c r="E3161" s="2"/>
      <c r="F3161" s="2"/>
      <c r="G3161" s="2"/>
      <c r="H3161" s="2"/>
      <c r="I3161" s="2"/>
      <c r="J3161" s="2"/>
      <c r="K3161" s="2"/>
    </row>
    <row r="3162" spans="4:11" x14ac:dyDescent="0.2">
      <c r="D3162" s="2"/>
      <c r="E3162" s="2"/>
      <c r="F3162" s="2"/>
      <c r="G3162" s="2"/>
      <c r="H3162" s="2"/>
      <c r="I3162" s="2"/>
      <c r="J3162" s="2"/>
      <c r="K3162" s="2"/>
    </row>
    <row r="3163" spans="4:11" x14ac:dyDescent="0.2">
      <c r="D3163" s="2"/>
      <c r="E3163" s="2"/>
      <c r="F3163" s="2"/>
      <c r="G3163" s="2"/>
      <c r="H3163" s="2"/>
      <c r="I3163" s="2"/>
      <c r="J3163" s="2"/>
      <c r="K3163" s="2"/>
    </row>
    <row r="3164" spans="4:11" x14ac:dyDescent="0.2">
      <c r="D3164" s="2"/>
      <c r="E3164" s="2"/>
      <c r="F3164" s="2"/>
      <c r="G3164" s="2"/>
      <c r="H3164" s="2"/>
      <c r="I3164" s="2"/>
      <c r="J3164" s="2"/>
      <c r="K3164" s="2"/>
    </row>
    <row r="3165" spans="4:11" x14ac:dyDescent="0.2">
      <c r="D3165" s="2"/>
      <c r="E3165" s="2"/>
      <c r="F3165" s="2"/>
      <c r="G3165" s="2"/>
      <c r="H3165" s="2"/>
      <c r="I3165" s="2"/>
      <c r="J3165" s="2"/>
      <c r="K3165" s="2"/>
    </row>
    <row r="3166" spans="4:11" x14ac:dyDescent="0.2">
      <c r="D3166" s="2"/>
      <c r="E3166" s="2"/>
      <c r="F3166" s="2"/>
      <c r="G3166" s="2"/>
      <c r="H3166" s="2"/>
      <c r="I3166" s="2"/>
      <c r="J3166" s="2"/>
      <c r="K3166" s="2"/>
    </row>
    <row r="3167" spans="4:11" x14ac:dyDescent="0.2">
      <c r="D3167" s="2"/>
      <c r="E3167" s="2"/>
      <c r="F3167" s="2"/>
      <c r="G3167" s="2"/>
      <c r="H3167" s="2"/>
      <c r="I3167" s="2"/>
      <c r="J3167" s="2"/>
      <c r="K3167" s="2"/>
    </row>
    <row r="3168" spans="4:11" x14ac:dyDescent="0.2">
      <c r="D3168" s="2"/>
      <c r="E3168" s="2"/>
      <c r="F3168" s="2"/>
      <c r="G3168" s="2"/>
      <c r="H3168" s="2"/>
      <c r="I3168" s="2"/>
      <c r="J3168" s="2"/>
      <c r="K3168" s="2"/>
    </row>
    <row r="3169" spans="4:11" x14ac:dyDescent="0.2">
      <c r="D3169" s="2"/>
      <c r="E3169" s="2"/>
      <c r="F3169" s="2"/>
      <c r="G3169" s="2"/>
      <c r="H3169" s="2"/>
      <c r="I3169" s="2"/>
      <c r="J3169" s="2"/>
      <c r="K3169" s="2"/>
    </row>
    <row r="3170" spans="4:11" x14ac:dyDescent="0.2">
      <c r="D3170" s="2"/>
      <c r="E3170" s="2"/>
      <c r="F3170" s="2"/>
      <c r="G3170" s="2"/>
      <c r="H3170" s="2"/>
      <c r="I3170" s="2"/>
      <c r="J3170" s="2"/>
      <c r="K3170" s="2"/>
    </row>
    <row r="3171" spans="4:11" x14ac:dyDescent="0.2">
      <c r="D3171" s="2"/>
      <c r="E3171" s="2"/>
      <c r="F3171" s="2"/>
      <c r="G3171" s="2"/>
      <c r="H3171" s="2"/>
      <c r="I3171" s="2"/>
      <c r="J3171" s="2"/>
      <c r="K3171" s="2"/>
    </row>
    <row r="3172" spans="4:11" x14ac:dyDescent="0.2">
      <c r="D3172" s="2"/>
      <c r="E3172" s="2"/>
      <c r="F3172" s="2"/>
      <c r="G3172" s="2"/>
      <c r="H3172" s="2"/>
      <c r="I3172" s="2"/>
      <c r="J3172" s="2"/>
      <c r="K3172" s="2"/>
    </row>
    <row r="3173" spans="4:11" x14ac:dyDescent="0.2">
      <c r="D3173" s="2"/>
      <c r="E3173" s="2"/>
      <c r="F3173" s="2"/>
      <c r="G3173" s="2"/>
      <c r="H3173" s="2"/>
      <c r="I3173" s="2"/>
      <c r="J3173" s="2"/>
      <c r="K3173" s="2"/>
    </row>
    <row r="3174" spans="4:11" x14ac:dyDescent="0.2">
      <c r="D3174" s="2"/>
      <c r="E3174" s="2"/>
      <c r="F3174" s="2"/>
      <c r="G3174" s="2"/>
      <c r="H3174" s="2"/>
      <c r="I3174" s="2"/>
      <c r="J3174" s="2"/>
      <c r="K3174" s="2"/>
    </row>
    <row r="3175" spans="4:11" x14ac:dyDescent="0.2">
      <c r="D3175" s="2"/>
      <c r="E3175" s="2"/>
      <c r="F3175" s="2"/>
      <c r="G3175" s="2"/>
      <c r="H3175" s="2"/>
      <c r="I3175" s="2"/>
      <c r="J3175" s="2"/>
      <c r="K3175" s="2"/>
    </row>
    <row r="3176" spans="4:11" x14ac:dyDescent="0.2">
      <c r="D3176" s="2"/>
      <c r="E3176" s="2"/>
      <c r="F3176" s="2"/>
      <c r="G3176" s="2"/>
      <c r="H3176" s="2"/>
      <c r="I3176" s="2"/>
      <c r="J3176" s="2"/>
      <c r="K3176" s="2"/>
    </row>
    <row r="3177" spans="4:11" x14ac:dyDescent="0.2">
      <c r="D3177" s="2"/>
      <c r="E3177" s="2"/>
      <c r="F3177" s="2"/>
      <c r="G3177" s="2"/>
      <c r="H3177" s="2"/>
      <c r="I3177" s="2"/>
      <c r="J3177" s="2"/>
      <c r="K3177" s="2"/>
    </row>
    <row r="3178" spans="4:11" x14ac:dyDescent="0.2">
      <c r="D3178" s="2"/>
      <c r="E3178" s="2"/>
      <c r="F3178" s="2"/>
      <c r="G3178" s="2"/>
      <c r="H3178" s="2"/>
      <c r="I3178" s="2"/>
      <c r="J3178" s="2"/>
      <c r="K3178" s="2"/>
    </row>
    <row r="3179" spans="4:11" x14ac:dyDescent="0.2">
      <c r="D3179" s="2"/>
      <c r="E3179" s="2"/>
      <c r="F3179" s="2"/>
      <c r="G3179" s="2"/>
      <c r="H3179" s="2"/>
      <c r="I3179" s="2"/>
      <c r="J3179" s="2"/>
      <c r="K3179" s="2"/>
    </row>
    <row r="3180" spans="4:11" x14ac:dyDescent="0.2">
      <c r="D3180" s="2"/>
      <c r="E3180" s="2"/>
      <c r="F3180" s="2"/>
      <c r="G3180" s="2"/>
      <c r="H3180" s="2"/>
      <c r="I3180" s="2"/>
      <c r="J3180" s="2"/>
      <c r="K3180" s="2"/>
    </row>
    <row r="3181" spans="4:11" x14ac:dyDescent="0.2">
      <c r="D3181" s="2"/>
      <c r="E3181" s="2"/>
      <c r="F3181" s="2"/>
      <c r="G3181" s="2"/>
      <c r="H3181" s="2"/>
      <c r="I3181" s="2"/>
      <c r="J3181" s="2"/>
      <c r="K3181" s="2"/>
    </row>
    <row r="3182" spans="4:11" x14ac:dyDescent="0.2">
      <c r="D3182" s="2"/>
      <c r="E3182" s="2"/>
      <c r="F3182" s="2"/>
      <c r="G3182" s="2"/>
      <c r="H3182" s="2"/>
      <c r="I3182" s="2"/>
      <c r="J3182" s="2"/>
      <c r="K3182" s="2"/>
    </row>
    <row r="3183" spans="4:11" x14ac:dyDescent="0.2">
      <c r="D3183" s="2"/>
      <c r="E3183" s="2"/>
      <c r="F3183" s="2"/>
      <c r="G3183" s="2"/>
      <c r="H3183" s="2"/>
      <c r="I3183" s="2"/>
      <c r="J3183" s="2"/>
      <c r="K3183" s="2"/>
    </row>
    <row r="3184" spans="4:11" x14ac:dyDescent="0.2">
      <c r="D3184" s="2"/>
      <c r="E3184" s="2"/>
      <c r="F3184" s="2"/>
      <c r="G3184" s="2"/>
      <c r="H3184" s="2"/>
      <c r="I3184" s="2"/>
      <c r="J3184" s="2"/>
      <c r="K3184" s="2"/>
    </row>
    <row r="3185" spans="4:11" x14ac:dyDescent="0.2">
      <c r="D3185" s="2"/>
      <c r="E3185" s="2"/>
      <c r="F3185" s="2"/>
      <c r="G3185" s="2"/>
      <c r="H3185" s="2"/>
      <c r="I3185" s="2"/>
      <c r="J3185" s="2"/>
      <c r="K3185" s="2"/>
    </row>
    <row r="3186" spans="4:11" x14ac:dyDescent="0.2">
      <c r="D3186" s="2"/>
      <c r="E3186" s="2"/>
      <c r="F3186" s="2"/>
      <c r="G3186" s="2"/>
      <c r="H3186" s="2"/>
      <c r="I3186" s="2"/>
      <c r="J3186" s="2"/>
      <c r="K3186" s="2"/>
    </row>
    <row r="3187" spans="4:11" x14ac:dyDescent="0.2">
      <c r="D3187" s="2"/>
      <c r="E3187" s="2"/>
      <c r="F3187" s="2"/>
      <c r="G3187" s="2"/>
      <c r="H3187" s="2"/>
      <c r="I3187" s="2"/>
      <c r="J3187" s="2"/>
      <c r="K3187" s="2"/>
    </row>
    <row r="3188" spans="4:11" x14ac:dyDescent="0.2">
      <c r="D3188" s="2"/>
      <c r="E3188" s="2"/>
      <c r="F3188" s="2"/>
      <c r="G3188" s="2"/>
      <c r="H3188" s="2"/>
      <c r="I3188" s="2"/>
      <c r="J3188" s="2"/>
      <c r="K3188" s="2"/>
    </row>
    <row r="3189" spans="4:11" x14ac:dyDescent="0.2">
      <c r="D3189" s="2"/>
      <c r="E3189" s="2"/>
      <c r="F3189" s="2"/>
      <c r="G3189" s="2"/>
      <c r="H3189" s="2"/>
      <c r="I3189" s="2"/>
      <c r="J3189" s="2"/>
      <c r="K3189" s="2"/>
    </row>
    <row r="3190" spans="4:11" x14ac:dyDescent="0.2">
      <c r="D3190" s="2"/>
      <c r="E3190" s="2"/>
      <c r="F3190" s="2"/>
      <c r="G3190" s="2"/>
      <c r="H3190" s="2"/>
      <c r="I3190" s="2"/>
      <c r="J3190" s="2"/>
      <c r="K3190" s="2"/>
    </row>
    <row r="3191" spans="4:11" x14ac:dyDescent="0.2">
      <c r="D3191" s="2"/>
      <c r="E3191" s="2"/>
      <c r="F3191" s="2"/>
      <c r="G3191" s="2"/>
      <c r="H3191" s="2"/>
      <c r="I3191" s="2"/>
      <c r="J3191" s="2"/>
      <c r="K3191" s="2"/>
    </row>
    <row r="3192" spans="4:11" x14ac:dyDescent="0.2">
      <c r="D3192" s="2"/>
      <c r="E3192" s="2"/>
      <c r="F3192" s="2"/>
      <c r="G3192" s="2"/>
      <c r="H3192" s="2"/>
      <c r="I3192" s="2"/>
      <c r="J3192" s="2"/>
      <c r="K3192" s="2"/>
    </row>
    <row r="3193" spans="4:11" x14ac:dyDescent="0.2">
      <c r="D3193" s="2"/>
      <c r="E3193" s="2"/>
      <c r="F3193" s="2"/>
      <c r="G3193" s="2"/>
      <c r="H3193" s="2"/>
      <c r="I3193" s="2"/>
      <c r="J3193" s="2"/>
      <c r="K3193" s="2"/>
    </row>
    <row r="3194" spans="4:11" x14ac:dyDescent="0.2">
      <c r="D3194" s="2"/>
      <c r="E3194" s="2"/>
      <c r="F3194" s="2"/>
      <c r="G3194" s="2"/>
      <c r="H3194" s="2"/>
      <c r="I3194" s="2"/>
      <c r="J3194" s="2"/>
      <c r="K3194" s="2"/>
    </row>
    <row r="3195" spans="4:11" x14ac:dyDescent="0.2">
      <c r="D3195" s="2"/>
      <c r="E3195" s="2"/>
      <c r="F3195" s="2"/>
      <c r="G3195" s="2"/>
      <c r="H3195" s="2"/>
      <c r="I3195" s="2"/>
      <c r="J3195" s="2"/>
      <c r="K3195" s="2"/>
    </row>
    <row r="3196" spans="4:11" x14ac:dyDescent="0.2">
      <c r="D3196" s="2"/>
      <c r="E3196" s="2"/>
      <c r="F3196" s="2"/>
      <c r="G3196" s="2"/>
      <c r="H3196" s="2"/>
      <c r="I3196" s="2"/>
      <c r="J3196" s="2"/>
      <c r="K3196" s="2"/>
    </row>
    <row r="3197" spans="4:11" x14ac:dyDescent="0.2">
      <c r="D3197" s="2"/>
      <c r="E3197" s="2"/>
      <c r="F3197" s="2"/>
      <c r="G3197" s="2"/>
      <c r="H3197" s="2"/>
      <c r="I3197" s="2"/>
      <c r="J3197" s="2"/>
      <c r="K3197" s="2"/>
    </row>
    <row r="3198" spans="4:11" x14ac:dyDescent="0.2">
      <c r="D3198" s="2"/>
      <c r="E3198" s="2"/>
      <c r="F3198" s="2"/>
      <c r="G3198" s="2"/>
      <c r="H3198" s="2"/>
      <c r="I3198" s="2"/>
      <c r="J3198" s="2"/>
      <c r="K3198" s="2"/>
    </row>
    <row r="3199" spans="4:11" x14ac:dyDescent="0.2">
      <c r="D3199" s="2"/>
      <c r="E3199" s="2"/>
      <c r="F3199" s="2"/>
      <c r="G3199" s="2"/>
      <c r="H3199" s="2"/>
      <c r="I3199" s="2"/>
      <c r="J3199" s="2"/>
      <c r="K3199" s="2"/>
    </row>
    <row r="3200" spans="4:11" x14ac:dyDescent="0.2">
      <c r="D3200" s="2"/>
      <c r="E3200" s="2"/>
      <c r="F3200" s="2"/>
      <c r="G3200" s="2"/>
      <c r="H3200" s="2"/>
      <c r="I3200" s="2"/>
      <c r="J3200" s="2"/>
      <c r="K3200" s="2"/>
    </row>
    <row r="3201" spans="4:11" x14ac:dyDescent="0.2">
      <c r="D3201" s="2"/>
      <c r="E3201" s="2"/>
      <c r="F3201" s="2"/>
      <c r="G3201" s="2"/>
      <c r="H3201" s="2"/>
      <c r="I3201" s="2"/>
      <c r="J3201" s="2"/>
      <c r="K3201" s="2"/>
    </row>
    <row r="3202" spans="4:11" x14ac:dyDescent="0.2">
      <c r="D3202" s="2"/>
      <c r="E3202" s="2"/>
      <c r="F3202" s="2"/>
      <c r="G3202" s="2"/>
      <c r="H3202" s="2"/>
      <c r="I3202" s="2"/>
      <c r="J3202" s="2"/>
      <c r="K3202" s="2"/>
    </row>
    <row r="3203" spans="4:11" x14ac:dyDescent="0.2">
      <c r="D3203" s="2"/>
      <c r="E3203" s="2"/>
      <c r="F3203" s="2"/>
      <c r="G3203" s="2"/>
      <c r="H3203" s="2"/>
      <c r="I3203" s="2"/>
      <c r="J3203" s="2"/>
      <c r="K3203" s="2"/>
    </row>
    <row r="3204" spans="4:11" x14ac:dyDescent="0.2">
      <c r="D3204" s="2"/>
      <c r="E3204" s="2"/>
      <c r="F3204" s="2"/>
      <c r="G3204" s="2"/>
      <c r="H3204" s="2"/>
      <c r="I3204" s="2"/>
      <c r="J3204" s="2"/>
      <c r="K3204" s="2"/>
    </row>
    <row r="3205" spans="4:11" x14ac:dyDescent="0.2">
      <c r="D3205" s="2"/>
      <c r="E3205" s="2"/>
      <c r="F3205" s="2"/>
      <c r="G3205" s="2"/>
      <c r="H3205" s="2"/>
      <c r="I3205" s="2"/>
      <c r="J3205" s="2"/>
      <c r="K3205" s="2"/>
    </row>
    <row r="3206" spans="4:11" x14ac:dyDescent="0.2">
      <c r="D3206" s="2"/>
      <c r="E3206" s="2"/>
      <c r="F3206" s="2"/>
      <c r="G3206" s="2"/>
      <c r="H3206" s="2"/>
      <c r="I3206" s="2"/>
      <c r="J3206" s="2"/>
      <c r="K3206" s="2"/>
    </row>
    <row r="3207" spans="4:11" x14ac:dyDescent="0.2">
      <c r="D3207" s="2"/>
      <c r="E3207" s="2"/>
      <c r="F3207" s="2"/>
      <c r="G3207" s="2"/>
      <c r="H3207" s="2"/>
      <c r="I3207" s="2"/>
      <c r="J3207" s="2"/>
      <c r="K3207" s="2"/>
    </row>
    <row r="3208" spans="4:11" x14ac:dyDescent="0.2">
      <c r="D3208" s="2"/>
      <c r="E3208" s="2"/>
      <c r="F3208" s="2"/>
      <c r="G3208" s="2"/>
      <c r="H3208" s="2"/>
      <c r="I3208" s="2"/>
      <c r="J3208" s="2"/>
      <c r="K3208" s="2"/>
    </row>
    <row r="3209" spans="4:11" x14ac:dyDescent="0.2">
      <c r="D3209" s="2"/>
      <c r="E3209" s="2"/>
      <c r="F3209" s="2"/>
      <c r="G3209" s="2"/>
      <c r="H3209" s="2"/>
      <c r="I3209" s="2"/>
      <c r="J3209" s="2"/>
      <c r="K3209" s="2"/>
    </row>
    <row r="3210" spans="4:11" x14ac:dyDescent="0.2">
      <c r="D3210" s="2"/>
      <c r="E3210" s="2"/>
      <c r="F3210" s="2"/>
      <c r="G3210" s="2"/>
      <c r="H3210" s="2"/>
      <c r="I3210" s="2"/>
      <c r="J3210" s="2"/>
      <c r="K3210" s="2"/>
    </row>
    <row r="3211" spans="4:11" x14ac:dyDescent="0.2">
      <c r="D3211" s="2"/>
      <c r="E3211" s="2"/>
      <c r="F3211" s="2"/>
      <c r="G3211" s="2"/>
      <c r="H3211" s="2"/>
      <c r="I3211" s="2"/>
      <c r="J3211" s="2"/>
      <c r="K3211" s="2"/>
    </row>
    <row r="3212" spans="4:11" x14ac:dyDescent="0.2">
      <c r="D3212" s="2"/>
      <c r="E3212" s="2"/>
      <c r="F3212" s="2"/>
      <c r="G3212" s="2"/>
      <c r="H3212" s="2"/>
      <c r="I3212" s="2"/>
      <c r="J3212" s="2"/>
      <c r="K3212" s="2"/>
    </row>
    <row r="3213" spans="4:11" x14ac:dyDescent="0.2">
      <c r="D3213" s="2"/>
      <c r="E3213" s="2"/>
      <c r="F3213" s="2"/>
      <c r="G3213" s="2"/>
      <c r="H3213" s="2"/>
      <c r="I3213" s="2"/>
      <c r="J3213" s="2"/>
      <c r="K3213" s="2"/>
    </row>
    <row r="3214" spans="4:11" x14ac:dyDescent="0.2">
      <c r="D3214" s="2"/>
      <c r="E3214" s="2"/>
      <c r="F3214" s="2"/>
      <c r="G3214" s="2"/>
      <c r="H3214" s="2"/>
      <c r="I3214" s="2"/>
      <c r="J3214" s="2"/>
      <c r="K3214" s="2"/>
    </row>
    <row r="3215" spans="4:11" x14ac:dyDescent="0.2">
      <c r="D3215" s="2"/>
      <c r="E3215" s="2"/>
      <c r="F3215" s="2"/>
      <c r="G3215" s="2"/>
      <c r="H3215" s="2"/>
      <c r="I3215" s="2"/>
      <c r="J3215" s="2"/>
      <c r="K3215" s="2"/>
    </row>
    <row r="3216" spans="4:11" x14ac:dyDescent="0.2">
      <c r="D3216" s="2"/>
      <c r="E3216" s="2"/>
      <c r="F3216" s="2"/>
      <c r="G3216" s="2"/>
      <c r="H3216" s="2"/>
      <c r="I3216" s="2"/>
      <c r="J3216" s="2"/>
      <c r="K3216" s="2"/>
    </row>
    <row r="3217" spans="4:11" x14ac:dyDescent="0.2">
      <c r="D3217" s="2"/>
      <c r="E3217" s="2"/>
      <c r="F3217" s="2"/>
      <c r="G3217" s="2"/>
      <c r="H3217" s="2"/>
      <c r="I3217" s="2"/>
      <c r="J3217" s="2"/>
      <c r="K3217" s="2"/>
    </row>
    <row r="3218" spans="4:11" x14ac:dyDescent="0.2">
      <c r="D3218" s="2"/>
      <c r="E3218" s="2"/>
      <c r="F3218" s="2"/>
      <c r="G3218" s="2"/>
      <c r="H3218" s="2"/>
      <c r="I3218" s="2"/>
      <c r="J3218" s="2"/>
      <c r="K3218" s="2"/>
    </row>
    <row r="3219" spans="4:11" x14ac:dyDescent="0.2">
      <c r="D3219" s="2"/>
      <c r="E3219" s="2"/>
      <c r="F3219" s="2"/>
      <c r="G3219" s="2"/>
      <c r="H3219" s="2"/>
      <c r="I3219" s="2"/>
      <c r="J3219" s="2"/>
      <c r="K3219" s="2"/>
    </row>
    <row r="3220" spans="4:11" x14ac:dyDescent="0.2">
      <c r="D3220" s="2"/>
      <c r="E3220" s="2"/>
      <c r="F3220" s="2"/>
      <c r="G3220" s="2"/>
      <c r="H3220" s="2"/>
      <c r="I3220" s="2"/>
      <c r="J3220" s="2"/>
      <c r="K3220" s="2"/>
    </row>
    <row r="3221" spans="4:11" x14ac:dyDescent="0.2">
      <c r="D3221" s="2"/>
      <c r="E3221" s="2"/>
      <c r="F3221" s="2"/>
      <c r="G3221" s="2"/>
      <c r="H3221" s="2"/>
      <c r="I3221" s="2"/>
      <c r="J3221" s="2"/>
      <c r="K3221" s="2"/>
    </row>
    <row r="3222" spans="4:11" x14ac:dyDescent="0.2">
      <c r="D3222" s="2"/>
      <c r="E3222" s="2"/>
      <c r="F3222" s="2"/>
      <c r="G3222" s="2"/>
      <c r="H3222" s="2"/>
      <c r="I3222" s="2"/>
      <c r="J3222" s="2"/>
      <c r="K3222" s="2"/>
    </row>
    <row r="3223" spans="4:11" x14ac:dyDescent="0.2">
      <c r="D3223" s="2"/>
      <c r="E3223" s="2"/>
      <c r="F3223" s="2"/>
      <c r="G3223" s="2"/>
      <c r="H3223" s="2"/>
      <c r="I3223" s="2"/>
      <c r="J3223" s="2"/>
      <c r="K3223" s="2"/>
    </row>
    <row r="3224" spans="4:11" x14ac:dyDescent="0.2">
      <c r="D3224" s="2"/>
      <c r="E3224" s="2"/>
      <c r="F3224" s="2"/>
      <c r="G3224" s="2"/>
      <c r="H3224" s="2"/>
      <c r="I3224" s="2"/>
      <c r="J3224" s="2"/>
      <c r="K3224" s="2"/>
    </row>
    <row r="3225" spans="4:11" x14ac:dyDescent="0.2">
      <c r="D3225" s="2"/>
      <c r="E3225" s="2"/>
      <c r="F3225" s="2"/>
      <c r="G3225" s="2"/>
      <c r="H3225" s="2"/>
      <c r="I3225" s="2"/>
      <c r="J3225" s="2"/>
      <c r="K3225" s="2"/>
    </row>
    <row r="3226" spans="4:11" x14ac:dyDescent="0.2">
      <c r="D3226" s="2"/>
      <c r="E3226" s="2"/>
      <c r="F3226" s="2"/>
      <c r="G3226" s="2"/>
      <c r="H3226" s="2"/>
      <c r="I3226" s="2"/>
      <c r="J3226" s="2"/>
      <c r="K3226" s="2"/>
    </row>
    <row r="3227" spans="4:11" x14ac:dyDescent="0.2">
      <c r="D3227" s="2"/>
      <c r="E3227" s="2"/>
      <c r="F3227" s="2"/>
      <c r="G3227" s="2"/>
      <c r="H3227" s="2"/>
      <c r="I3227" s="2"/>
      <c r="J3227" s="2"/>
      <c r="K3227" s="2"/>
    </row>
    <row r="3228" spans="4:11" x14ac:dyDescent="0.2">
      <c r="D3228" s="2"/>
      <c r="E3228" s="2"/>
      <c r="F3228" s="2"/>
      <c r="G3228" s="2"/>
      <c r="H3228" s="2"/>
      <c r="I3228" s="2"/>
      <c r="J3228" s="2"/>
      <c r="K3228" s="2"/>
    </row>
    <row r="3229" spans="4:11" x14ac:dyDescent="0.2">
      <c r="D3229" s="2"/>
      <c r="E3229" s="2"/>
      <c r="F3229" s="2"/>
      <c r="G3229" s="2"/>
      <c r="H3229" s="2"/>
      <c r="I3229" s="2"/>
      <c r="J3229" s="2"/>
      <c r="K3229" s="2"/>
    </row>
    <row r="3230" spans="4:11" x14ac:dyDescent="0.2">
      <c r="D3230" s="2"/>
      <c r="E3230" s="2"/>
      <c r="F3230" s="2"/>
      <c r="G3230" s="2"/>
      <c r="H3230" s="2"/>
      <c r="I3230" s="2"/>
      <c r="J3230" s="2"/>
      <c r="K3230" s="2"/>
    </row>
    <row r="3231" spans="4:11" x14ac:dyDescent="0.2">
      <c r="D3231" s="2"/>
      <c r="E3231" s="2"/>
      <c r="F3231" s="2"/>
      <c r="G3231" s="2"/>
      <c r="H3231" s="2"/>
      <c r="I3231" s="2"/>
      <c r="J3231" s="2"/>
      <c r="K3231" s="2"/>
    </row>
    <row r="3232" spans="4:11" x14ac:dyDescent="0.2">
      <c r="D3232" s="2"/>
      <c r="E3232" s="2"/>
      <c r="F3232" s="2"/>
      <c r="G3232" s="2"/>
      <c r="H3232" s="2"/>
      <c r="I3232" s="2"/>
      <c r="J3232" s="2"/>
      <c r="K3232" s="2"/>
    </row>
    <row r="3233" spans="4:11" x14ac:dyDescent="0.2">
      <c r="D3233" s="2"/>
      <c r="E3233" s="2"/>
      <c r="F3233" s="2"/>
      <c r="G3233" s="2"/>
      <c r="H3233" s="2"/>
      <c r="I3233" s="2"/>
      <c r="J3233" s="2"/>
      <c r="K3233" s="2"/>
    </row>
    <row r="3234" spans="4:11" x14ac:dyDescent="0.2">
      <c r="D3234" s="2"/>
      <c r="E3234" s="2"/>
      <c r="F3234" s="2"/>
      <c r="G3234" s="2"/>
      <c r="H3234" s="2"/>
      <c r="I3234" s="2"/>
      <c r="J3234" s="2"/>
      <c r="K3234" s="2"/>
    </row>
    <row r="3235" spans="4:11" x14ac:dyDescent="0.2">
      <c r="D3235" s="2"/>
      <c r="E3235" s="2"/>
      <c r="F3235" s="2"/>
      <c r="G3235" s="2"/>
      <c r="H3235" s="2"/>
      <c r="I3235" s="2"/>
      <c r="J3235" s="2"/>
      <c r="K3235" s="2"/>
    </row>
    <row r="3236" spans="4:11" x14ac:dyDescent="0.2">
      <c r="D3236" s="2"/>
      <c r="E3236" s="2"/>
      <c r="F3236" s="2"/>
      <c r="G3236" s="2"/>
      <c r="H3236" s="2"/>
      <c r="I3236" s="2"/>
      <c r="J3236" s="2"/>
      <c r="K3236" s="2"/>
    </row>
    <row r="3237" spans="4:11" x14ac:dyDescent="0.2">
      <c r="D3237" s="2"/>
      <c r="E3237" s="2"/>
      <c r="F3237" s="2"/>
      <c r="G3237" s="2"/>
      <c r="H3237" s="2"/>
      <c r="I3237" s="2"/>
      <c r="J3237" s="2"/>
      <c r="K3237" s="2"/>
    </row>
    <row r="3238" spans="4:11" x14ac:dyDescent="0.2">
      <c r="D3238" s="2"/>
      <c r="E3238" s="2"/>
      <c r="F3238" s="2"/>
      <c r="G3238" s="2"/>
      <c r="H3238" s="2"/>
      <c r="I3238" s="2"/>
      <c r="J3238" s="2"/>
      <c r="K3238" s="2"/>
    </row>
    <row r="3239" spans="4:11" x14ac:dyDescent="0.2">
      <c r="D3239" s="2"/>
      <c r="E3239" s="2"/>
      <c r="F3239" s="2"/>
      <c r="G3239" s="2"/>
      <c r="H3239" s="2"/>
      <c r="I3239" s="2"/>
      <c r="J3239" s="2"/>
      <c r="K3239" s="2"/>
    </row>
    <row r="3240" spans="4:11" x14ac:dyDescent="0.2">
      <c r="D3240" s="2"/>
      <c r="E3240" s="2"/>
      <c r="F3240" s="2"/>
      <c r="G3240" s="2"/>
      <c r="H3240" s="2"/>
      <c r="I3240" s="2"/>
      <c r="J3240" s="2"/>
      <c r="K3240" s="2"/>
    </row>
    <row r="3241" spans="4:11" x14ac:dyDescent="0.2">
      <c r="D3241" s="2"/>
      <c r="E3241" s="2"/>
      <c r="F3241" s="2"/>
      <c r="G3241" s="2"/>
      <c r="H3241" s="2"/>
      <c r="I3241" s="2"/>
      <c r="J3241" s="2"/>
      <c r="K3241" s="2"/>
    </row>
    <row r="3242" spans="4:11" x14ac:dyDescent="0.2">
      <c r="D3242" s="2"/>
      <c r="E3242" s="2"/>
      <c r="F3242" s="2"/>
      <c r="G3242" s="2"/>
      <c r="H3242" s="2"/>
      <c r="I3242" s="2"/>
      <c r="J3242" s="2"/>
      <c r="K3242" s="2"/>
    </row>
    <row r="3243" spans="4:11" x14ac:dyDescent="0.2">
      <c r="D3243" s="2"/>
      <c r="E3243" s="2"/>
      <c r="F3243" s="2"/>
      <c r="G3243" s="2"/>
      <c r="H3243" s="2"/>
      <c r="I3243" s="2"/>
      <c r="J3243" s="2"/>
      <c r="K3243" s="2"/>
    </row>
    <row r="3244" spans="4:11" x14ac:dyDescent="0.2">
      <c r="D3244" s="2"/>
      <c r="E3244" s="2"/>
      <c r="F3244" s="2"/>
      <c r="G3244" s="2"/>
      <c r="H3244" s="2"/>
      <c r="I3244" s="2"/>
      <c r="J3244" s="2"/>
      <c r="K3244" s="2"/>
    </row>
    <row r="3245" spans="4:11" x14ac:dyDescent="0.2">
      <c r="D3245" s="2"/>
      <c r="E3245" s="2"/>
      <c r="F3245" s="2"/>
      <c r="G3245" s="2"/>
      <c r="H3245" s="2"/>
      <c r="I3245" s="2"/>
      <c r="J3245" s="2"/>
      <c r="K3245" s="2"/>
    </row>
    <row r="3246" spans="4:11" x14ac:dyDescent="0.2">
      <c r="D3246" s="2"/>
      <c r="E3246" s="2"/>
      <c r="F3246" s="2"/>
      <c r="G3246" s="2"/>
      <c r="H3246" s="2"/>
      <c r="I3246" s="2"/>
      <c r="J3246" s="2"/>
      <c r="K3246" s="2"/>
    </row>
    <row r="3247" spans="4:11" x14ac:dyDescent="0.2">
      <c r="D3247" s="2"/>
      <c r="E3247" s="2"/>
      <c r="F3247" s="2"/>
      <c r="G3247" s="2"/>
      <c r="H3247" s="2"/>
      <c r="I3247" s="2"/>
      <c r="J3247" s="2"/>
      <c r="K3247" s="2"/>
    </row>
    <row r="3248" spans="4:11" x14ac:dyDescent="0.2">
      <c r="D3248" s="2"/>
      <c r="E3248" s="2"/>
      <c r="F3248" s="2"/>
      <c r="G3248" s="2"/>
      <c r="H3248" s="2"/>
      <c r="I3248" s="2"/>
      <c r="J3248" s="2"/>
      <c r="K3248" s="2"/>
    </row>
    <row r="3249" spans="4:11" x14ac:dyDescent="0.2">
      <c r="D3249" s="2"/>
      <c r="E3249" s="2"/>
      <c r="F3249" s="2"/>
      <c r="G3249" s="2"/>
      <c r="H3249" s="2"/>
      <c r="I3249" s="2"/>
      <c r="J3249" s="2"/>
      <c r="K3249" s="2"/>
    </row>
    <row r="3250" spans="4:11" x14ac:dyDescent="0.2">
      <c r="D3250" s="2"/>
      <c r="E3250" s="2"/>
      <c r="F3250" s="2"/>
      <c r="G3250" s="2"/>
      <c r="H3250" s="2"/>
      <c r="I3250" s="2"/>
      <c r="J3250" s="2"/>
      <c r="K3250" s="2"/>
    </row>
    <row r="3251" spans="4:11" x14ac:dyDescent="0.2">
      <c r="D3251" s="2"/>
      <c r="E3251" s="2"/>
      <c r="F3251" s="2"/>
      <c r="G3251" s="2"/>
      <c r="H3251" s="2"/>
      <c r="I3251" s="2"/>
      <c r="J3251" s="2"/>
      <c r="K3251" s="2"/>
    </row>
    <row r="3252" spans="4:11" x14ac:dyDescent="0.2">
      <c r="D3252" s="2"/>
      <c r="E3252" s="2"/>
      <c r="F3252" s="2"/>
      <c r="G3252" s="2"/>
      <c r="H3252" s="2"/>
      <c r="I3252" s="2"/>
      <c r="J3252" s="2"/>
      <c r="K3252" s="2"/>
    </row>
    <row r="3253" spans="4:11" x14ac:dyDescent="0.2">
      <c r="D3253" s="2"/>
      <c r="E3253" s="2"/>
      <c r="F3253" s="2"/>
      <c r="G3253" s="2"/>
      <c r="H3253" s="2"/>
      <c r="I3253" s="2"/>
      <c r="J3253" s="2"/>
      <c r="K3253" s="2"/>
    </row>
    <row r="3254" spans="4:11" x14ac:dyDescent="0.2">
      <c r="D3254" s="2"/>
      <c r="E3254" s="2"/>
      <c r="F3254" s="2"/>
      <c r="G3254" s="2"/>
      <c r="H3254" s="2"/>
      <c r="I3254" s="2"/>
      <c r="J3254" s="2"/>
      <c r="K3254" s="2"/>
    </row>
    <row r="3255" spans="4:11" x14ac:dyDescent="0.2">
      <c r="D3255" s="2"/>
      <c r="E3255" s="2"/>
      <c r="F3255" s="2"/>
      <c r="G3255" s="2"/>
      <c r="H3255" s="2"/>
      <c r="I3255" s="2"/>
      <c r="J3255" s="2"/>
      <c r="K3255" s="2"/>
    </row>
    <row r="3256" spans="4:11" x14ac:dyDescent="0.2">
      <c r="D3256" s="2"/>
      <c r="E3256" s="2"/>
      <c r="F3256" s="2"/>
      <c r="G3256" s="2"/>
      <c r="H3256" s="2"/>
      <c r="I3256" s="2"/>
      <c r="J3256" s="2"/>
      <c r="K3256" s="2"/>
    </row>
    <row r="3257" spans="4:11" x14ac:dyDescent="0.2">
      <c r="D3257" s="2"/>
      <c r="E3257" s="2"/>
      <c r="F3257" s="2"/>
      <c r="G3257" s="2"/>
      <c r="H3257" s="2"/>
      <c r="I3257" s="2"/>
      <c r="J3257" s="2"/>
      <c r="K3257" s="2"/>
    </row>
    <row r="3258" spans="4:11" x14ac:dyDescent="0.2">
      <c r="D3258" s="2"/>
      <c r="E3258" s="2"/>
      <c r="F3258" s="2"/>
      <c r="G3258" s="2"/>
      <c r="H3258" s="2"/>
      <c r="I3258" s="2"/>
      <c r="J3258" s="2"/>
      <c r="K3258" s="2"/>
    </row>
    <row r="3259" spans="4:11" x14ac:dyDescent="0.2">
      <c r="D3259" s="2"/>
      <c r="E3259" s="2"/>
      <c r="F3259" s="2"/>
      <c r="G3259" s="2"/>
      <c r="H3259" s="2"/>
      <c r="I3259" s="2"/>
      <c r="J3259" s="2"/>
      <c r="K3259" s="2"/>
    </row>
    <row r="3260" spans="4:11" x14ac:dyDescent="0.2">
      <c r="D3260" s="2"/>
      <c r="E3260" s="2"/>
      <c r="F3260" s="2"/>
      <c r="G3260" s="2"/>
      <c r="H3260" s="2"/>
      <c r="I3260" s="2"/>
      <c r="J3260" s="2"/>
      <c r="K3260" s="2"/>
    </row>
    <row r="3261" spans="4:11" x14ac:dyDescent="0.2">
      <c r="D3261" s="2"/>
      <c r="E3261" s="2"/>
      <c r="F3261" s="2"/>
      <c r="G3261" s="2"/>
      <c r="H3261" s="2"/>
      <c r="I3261" s="2"/>
      <c r="J3261" s="2"/>
      <c r="K3261" s="2"/>
    </row>
    <row r="3262" spans="4:11" x14ac:dyDescent="0.2">
      <c r="D3262" s="2"/>
      <c r="E3262" s="2"/>
      <c r="F3262" s="2"/>
      <c r="G3262" s="2"/>
      <c r="H3262" s="2"/>
      <c r="I3262" s="2"/>
      <c r="J3262" s="2"/>
      <c r="K3262" s="2"/>
    </row>
    <row r="3263" spans="4:11" x14ac:dyDescent="0.2">
      <c r="D3263" s="2"/>
      <c r="E3263" s="2"/>
      <c r="F3263" s="2"/>
      <c r="G3263" s="2"/>
      <c r="H3263" s="2"/>
      <c r="I3263" s="2"/>
      <c r="J3263" s="2"/>
      <c r="K3263" s="2"/>
    </row>
    <row r="3264" spans="4:11" x14ac:dyDescent="0.2">
      <c r="D3264" s="2"/>
      <c r="E3264" s="2"/>
      <c r="F3264" s="2"/>
      <c r="G3264" s="2"/>
      <c r="H3264" s="2"/>
      <c r="I3264" s="2"/>
      <c r="J3264" s="2"/>
      <c r="K3264" s="2"/>
    </row>
    <row r="3265" spans="4:11" x14ac:dyDescent="0.2">
      <c r="D3265" s="2"/>
      <c r="E3265" s="2"/>
      <c r="F3265" s="2"/>
      <c r="G3265" s="2"/>
      <c r="H3265" s="2"/>
      <c r="I3265" s="2"/>
      <c r="J3265" s="2"/>
      <c r="K3265" s="2"/>
    </row>
    <row r="3266" spans="4:11" x14ac:dyDescent="0.2">
      <c r="D3266" s="2"/>
      <c r="E3266" s="2"/>
      <c r="F3266" s="2"/>
      <c r="G3266" s="2"/>
      <c r="H3266" s="2"/>
      <c r="I3266" s="2"/>
      <c r="J3266" s="2"/>
      <c r="K3266" s="2"/>
    </row>
    <row r="3267" spans="4:11" x14ac:dyDescent="0.2">
      <c r="D3267" s="2"/>
      <c r="E3267" s="2"/>
      <c r="F3267" s="2"/>
      <c r="G3267" s="2"/>
      <c r="H3267" s="2"/>
      <c r="I3267" s="2"/>
      <c r="J3267" s="2"/>
      <c r="K3267" s="2"/>
    </row>
    <row r="3268" spans="4:11" x14ac:dyDescent="0.2">
      <c r="D3268" s="2"/>
      <c r="E3268" s="2"/>
      <c r="F3268" s="2"/>
      <c r="G3268" s="2"/>
      <c r="H3268" s="2"/>
      <c r="I3268" s="2"/>
      <c r="J3268" s="2"/>
      <c r="K3268" s="2"/>
    </row>
    <row r="3269" spans="4:11" x14ac:dyDescent="0.2">
      <c r="D3269" s="2"/>
      <c r="E3269" s="2"/>
      <c r="F3269" s="2"/>
      <c r="G3269" s="2"/>
      <c r="H3269" s="2"/>
      <c r="I3269" s="2"/>
      <c r="J3269" s="2"/>
      <c r="K3269" s="2"/>
    </row>
    <row r="3270" spans="4:11" x14ac:dyDescent="0.2">
      <c r="D3270" s="2"/>
      <c r="E3270" s="2"/>
      <c r="F3270" s="2"/>
      <c r="G3270" s="2"/>
      <c r="H3270" s="2"/>
      <c r="I3270" s="2"/>
      <c r="J3270" s="2"/>
      <c r="K3270" s="2"/>
    </row>
    <row r="3271" spans="4:11" x14ac:dyDescent="0.2">
      <c r="D3271" s="2"/>
      <c r="E3271" s="2"/>
      <c r="F3271" s="2"/>
      <c r="G3271" s="2"/>
      <c r="H3271" s="2"/>
      <c r="I3271" s="2"/>
      <c r="J3271" s="2"/>
      <c r="K3271" s="2"/>
    </row>
    <row r="3272" spans="4:11" x14ac:dyDescent="0.2">
      <c r="D3272" s="2"/>
      <c r="E3272" s="2"/>
      <c r="F3272" s="2"/>
      <c r="G3272" s="2"/>
      <c r="H3272" s="2"/>
      <c r="I3272" s="2"/>
      <c r="J3272" s="2"/>
      <c r="K3272" s="2"/>
    </row>
    <row r="3273" spans="4:11" x14ac:dyDescent="0.2">
      <c r="D3273" s="2"/>
      <c r="E3273" s="2"/>
      <c r="F3273" s="2"/>
      <c r="G3273" s="2"/>
      <c r="H3273" s="2"/>
      <c r="I3273" s="2"/>
      <c r="J3273" s="2"/>
      <c r="K3273" s="2"/>
    </row>
    <row r="3274" spans="4:11" x14ac:dyDescent="0.2">
      <c r="D3274" s="2"/>
      <c r="E3274" s="2"/>
      <c r="F3274" s="2"/>
      <c r="G3274" s="2"/>
      <c r="H3274" s="2"/>
      <c r="I3274" s="2"/>
      <c r="J3274" s="2"/>
      <c r="K3274" s="2"/>
    </row>
    <row r="3275" spans="4:11" x14ac:dyDescent="0.2">
      <c r="D3275" s="2"/>
      <c r="E3275" s="2"/>
      <c r="F3275" s="2"/>
      <c r="G3275" s="2"/>
      <c r="H3275" s="2"/>
      <c r="I3275" s="2"/>
      <c r="J3275" s="2"/>
      <c r="K3275" s="2"/>
    </row>
    <row r="3276" spans="4:11" x14ac:dyDescent="0.2">
      <c r="D3276" s="2"/>
      <c r="E3276" s="2"/>
      <c r="F3276" s="2"/>
      <c r="G3276" s="2"/>
      <c r="H3276" s="2"/>
      <c r="I3276" s="2"/>
      <c r="J3276" s="2"/>
      <c r="K3276" s="2"/>
    </row>
    <row r="3277" spans="4:11" x14ac:dyDescent="0.2">
      <c r="D3277" s="2"/>
      <c r="E3277" s="2"/>
      <c r="F3277" s="2"/>
      <c r="G3277" s="2"/>
      <c r="H3277" s="2"/>
      <c r="I3277" s="2"/>
      <c r="J3277" s="2"/>
      <c r="K3277" s="2"/>
    </row>
    <row r="3278" spans="4:11" x14ac:dyDescent="0.2">
      <c r="D3278" s="2"/>
      <c r="E3278" s="2"/>
      <c r="F3278" s="2"/>
      <c r="G3278" s="2"/>
      <c r="H3278" s="2"/>
      <c r="I3278" s="2"/>
      <c r="J3278" s="2"/>
      <c r="K3278" s="2"/>
    </row>
    <row r="3279" spans="4:11" x14ac:dyDescent="0.2">
      <c r="D3279" s="2"/>
      <c r="E3279" s="2"/>
      <c r="F3279" s="2"/>
      <c r="G3279" s="2"/>
      <c r="H3279" s="2"/>
      <c r="I3279" s="2"/>
      <c r="J3279" s="2"/>
      <c r="K3279" s="2"/>
    </row>
    <row r="3280" spans="4:11" x14ac:dyDescent="0.2">
      <c r="D3280" s="2"/>
      <c r="E3280" s="2"/>
      <c r="F3280" s="2"/>
      <c r="G3280" s="2"/>
      <c r="H3280" s="2"/>
      <c r="I3280" s="2"/>
      <c r="J3280" s="2"/>
      <c r="K3280" s="2"/>
    </row>
    <row r="3281" spans="4:11" x14ac:dyDescent="0.2">
      <c r="D3281" s="2"/>
      <c r="E3281" s="2"/>
      <c r="F3281" s="2"/>
      <c r="G3281" s="2"/>
      <c r="H3281" s="2"/>
      <c r="I3281" s="2"/>
      <c r="J3281" s="2"/>
      <c r="K3281" s="2"/>
    </row>
    <row r="3282" spans="4:11" x14ac:dyDescent="0.2">
      <c r="D3282" s="2"/>
      <c r="E3282" s="2"/>
      <c r="F3282" s="2"/>
      <c r="G3282" s="2"/>
      <c r="H3282" s="2"/>
      <c r="I3282" s="2"/>
      <c r="J3282" s="2"/>
      <c r="K3282" s="2"/>
    </row>
    <row r="3283" spans="4:11" x14ac:dyDescent="0.2">
      <c r="D3283" s="2"/>
      <c r="E3283" s="2"/>
      <c r="F3283" s="2"/>
      <c r="G3283" s="2"/>
      <c r="H3283" s="2"/>
      <c r="I3283" s="2"/>
      <c r="J3283" s="2"/>
      <c r="K3283" s="2"/>
    </row>
    <row r="3284" spans="4:11" x14ac:dyDescent="0.2">
      <c r="D3284" s="2"/>
      <c r="E3284" s="2"/>
      <c r="F3284" s="2"/>
      <c r="G3284" s="2"/>
      <c r="H3284" s="2"/>
      <c r="I3284" s="2"/>
      <c r="J3284" s="2"/>
      <c r="K3284" s="2"/>
    </row>
    <row r="3285" spans="4:11" x14ac:dyDescent="0.2">
      <c r="D3285" s="2"/>
      <c r="E3285" s="2"/>
      <c r="F3285" s="2"/>
      <c r="G3285" s="2"/>
      <c r="H3285" s="2"/>
      <c r="I3285" s="2"/>
      <c r="J3285" s="2"/>
      <c r="K3285" s="2"/>
    </row>
    <row r="3286" spans="4:11" x14ac:dyDescent="0.2">
      <c r="D3286" s="2"/>
      <c r="E3286" s="2"/>
      <c r="F3286" s="2"/>
      <c r="G3286" s="2"/>
      <c r="H3286" s="2"/>
      <c r="I3286" s="2"/>
      <c r="J3286" s="2"/>
      <c r="K3286" s="2"/>
    </row>
    <row r="3287" spans="4:11" x14ac:dyDescent="0.2">
      <c r="D3287" s="2"/>
      <c r="E3287" s="2"/>
      <c r="F3287" s="2"/>
      <c r="G3287" s="2"/>
      <c r="H3287" s="2"/>
      <c r="I3287" s="2"/>
      <c r="J3287" s="2"/>
      <c r="K3287" s="2"/>
    </row>
    <row r="3288" spans="4:11" x14ac:dyDescent="0.2">
      <c r="D3288" s="2"/>
      <c r="E3288" s="2"/>
      <c r="F3288" s="2"/>
      <c r="G3288" s="2"/>
      <c r="H3288" s="2"/>
      <c r="I3288" s="2"/>
      <c r="J3288" s="2"/>
      <c r="K3288" s="2"/>
    </row>
    <row r="3289" spans="4:11" x14ac:dyDescent="0.2">
      <c r="D3289" s="2"/>
      <c r="E3289" s="2"/>
      <c r="F3289" s="2"/>
      <c r="G3289" s="2"/>
      <c r="H3289" s="2"/>
      <c r="I3289" s="2"/>
      <c r="J3289" s="2"/>
      <c r="K3289" s="2"/>
    </row>
    <row r="3290" spans="4:11" x14ac:dyDescent="0.2">
      <c r="D3290" s="2"/>
      <c r="E3290" s="2"/>
      <c r="F3290" s="2"/>
      <c r="G3290" s="2"/>
      <c r="H3290" s="2"/>
      <c r="I3290" s="2"/>
      <c r="J3290" s="2"/>
      <c r="K3290" s="2"/>
    </row>
    <row r="3291" spans="4:11" x14ac:dyDescent="0.2">
      <c r="D3291" s="2"/>
      <c r="E3291" s="2"/>
      <c r="F3291" s="2"/>
      <c r="G3291" s="2"/>
      <c r="H3291" s="2"/>
      <c r="I3291" s="2"/>
      <c r="J3291" s="2"/>
      <c r="K3291" s="2"/>
    </row>
    <row r="3292" spans="4:11" x14ac:dyDescent="0.2">
      <c r="D3292" s="2"/>
      <c r="E3292" s="2"/>
      <c r="F3292" s="2"/>
      <c r="G3292" s="2"/>
      <c r="H3292" s="2"/>
      <c r="I3292" s="2"/>
      <c r="J3292" s="2"/>
      <c r="K3292" s="2"/>
    </row>
    <row r="3293" spans="4:11" x14ac:dyDescent="0.2">
      <c r="D3293" s="2"/>
      <c r="E3293" s="2"/>
      <c r="F3293" s="2"/>
      <c r="G3293" s="2"/>
      <c r="H3293" s="2"/>
      <c r="I3293" s="2"/>
      <c r="J3293" s="2"/>
      <c r="K3293" s="2"/>
    </row>
    <row r="3294" spans="4:11" x14ac:dyDescent="0.2">
      <c r="D3294" s="2"/>
      <c r="E3294" s="2"/>
      <c r="F3294" s="2"/>
      <c r="G3294" s="2"/>
      <c r="H3294" s="2"/>
      <c r="I3294" s="2"/>
      <c r="J3294" s="2"/>
      <c r="K3294" s="2"/>
    </row>
    <row r="3295" spans="4:11" x14ac:dyDescent="0.2">
      <c r="D3295" s="2"/>
      <c r="E3295" s="2"/>
      <c r="F3295" s="2"/>
      <c r="G3295" s="2"/>
      <c r="H3295" s="2"/>
      <c r="I3295" s="2"/>
      <c r="J3295" s="2"/>
      <c r="K3295" s="2"/>
    </row>
    <row r="3296" spans="4:11" x14ac:dyDescent="0.2">
      <c r="D3296" s="2"/>
      <c r="E3296" s="2"/>
      <c r="F3296" s="2"/>
      <c r="G3296" s="2"/>
      <c r="H3296" s="2"/>
      <c r="I3296" s="2"/>
      <c r="J3296" s="2"/>
      <c r="K3296" s="2"/>
    </row>
    <row r="3297" spans="4:11" x14ac:dyDescent="0.2">
      <c r="D3297" s="2"/>
      <c r="E3297" s="2"/>
      <c r="F3297" s="2"/>
      <c r="G3297" s="2"/>
      <c r="H3297" s="2"/>
      <c r="I3297" s="2"/>
      <c r="J3297" s="2"/>
      <c r="K3297" s="2"/>
    </row>
    <row r="3298" spans="4:11" x14ac:dyDescent="0.2">
      <c r="D3298" s="2"/>
      <c r="E3298" s="2"/>
      <c r="F3298" s="2"/>
      <c r="G3298" s="2"/>
      <c r="H3298" s="2"/>
      <c r="I3298" s="2"/>
      <c r="J3298" s="2"/>
      <c r="K3298" s="2"/>
    </row>
    <row r="3299" spans="4:11" x14ac:dyDescent="0.2">
      <c r="D3299" s="2"/>
      <c r="E3299" s="2"/>
      <c r="F3299" s="2"/>
      <c r="G3299" s="2"/>
      <c r="H3299" s="2"/>
      <c r="I3299" s="2"/>
      <c r="J3299" s="2"/>
      <c r="K3299" s="2"/>
    </row>
    <row r="3300" spans="4:11" x14ac:dyDescent="0.2">
      <c r="D3300" s="2"/>
      <c r="E3300" s="2"/>
      <c r="F3300" s="2"/>
      <c r="G3300" s="2"/>
      <c r="H3300" s="2"/>
      <c r="I3300" s="2"/>
      <c r="J3300" s="2"/>
      <c r="K3300" s="2"/>
    </row>
    <row r="3301" spans="4:11" x14ac:dyDescent="0.2">
      <c r="D3301" s="2"/>
      <c r="E3301" s="2"/>
      <c r="F3301" s="2"/>
      <c r="G3301" s="2"/>
      <c r="H3301" s="2"/>
      <c r="I3301" s="2"/>
      <c r="J3301" s="2"/>
      <c r="K3301" s="2"/>
    </row>
    <row r="3302" spans="4:11" x14ac:dyDescent="0.2">
      <c r="D3302" s="2"/>
      <c r="E3302" s="2"/>
      <c r="F3302" s="2"/>
      <c r="G3302" s="2"/>
      <c r="H3302" s="2"/>
      <c r="I3302" s="2"/>
      <c r="J3302" s="2"/>
      <c r="K3302" s="2"/>
    </row>
    <row r="3303" spans="4:11" x14ac:dyDescent="0.2">
      <c r="D3303" s="2"/>
      <c r="E3303" s="2"/>
      <c r="F3303" s="2"/>
      <c r="G3303" s="2"/>
      <c r="H3303" s="2"/>
      <c r="I3303" s="2"/>
      <c r="J3303" s="2"/>
      <c r="K3303" s="2"/>
    </row>
    <row r="3304" spans="4:11" x14ac:dyDescent="0.2">
      <c r="D3304" s="2"/>
      <c r="E3304" s="2"/>
      <c r="F3304" s="2"/>
      <c r="G3304" s="2"/>
      <c r="H3304" s="2"/>
      <c r="I3304" s="2"/>
      <c r="J3304" s="2"/>
      <c r="K3304" s="2"/>
    </row>
    <row r="3305" spans="4:11" x14ac:dyDescent="0.2">
      <c r="D3305" s="2"/>
      <c r="E3305" s="2"/>
      <c r="F3305" s="2"/>
      <c r="G3305" s="2"/>
      <c r="H3305" s="2"/>
      <c r="I3305" s="2"/>
      <c r="J3305" s="2"/>
      <c r="K3305" s="2"/>
    </row>
    <row r="3306" spans="4:11" x14ac:dyDescent="0.2">
      <c r="D3306" s="2"/>
      <c r="E3306" s="2"/>
      <c r="F3306" s="2"/>
      <c r="G3306" s="2"/>
      <c r="H3306" s="2"/>
      <c r="I3306" s="2"/>
      <c r="J3306" s="2"/>
      <c r="K3306" s="2"/>
    </row>
    <row r="3307" spans="4:11" x14ac:dyDescent="0.2">
      <c r="D3307" s="2"/>
      <c r="E3307" s="2"/>
      <c r="F3307" s="2"/>
      <c r="G3307" s="2"/>
      <c r="H3307" s="2"/>
      <c r="I3307" s="2"/>
      <c r="J3307" s="2"/>
      <c r="K3307" s="2"/>
    </row>
    <row r="3308" spans="4:11" x14ac:dyDescent="0.2">
      <c r="D3308" s="2"/>
      <c r="E3308" s="2"/>
      <c r="F3308" s="2"/>
      <c r="G3308" s="2"/>
      <c r="H3308" s="2"/>
      <c r="I3308" s="2"/>
      <c r="J3308" s="2"/>
      <c r="K3308" s="2"/>
    </row>
    <row r="3309" spans="4:11" x14ac:dyDescent="0.2">
      <c r="D3309" s="2"/>
      <c r="E3309" s="2"/>
      <c r="F3309" s="2"/>
      <c r="G3309" s="2"/>
      <c r="H3309" s="2"/>
      <c r="I3309" s="2"/>
      <c r="J3309" s="2"/>
      <c r="K3309" s="2"/>
    </row>
    <row r="3310" spans="4:11" x14ac:dyDescent="0.2">
      <c r="D3310" s="2"/>
      <c r="E3310" s="2"/>
      <c r="F3310" s="2"/>
      <c r="G3310" s="2"/>
      <c r="H3310" s="2"/>
      <c r="I3310" s="2"/>
      <c r="J3310" s="2"/>
      <c r="K3310" s="2"/>
    </row>
    <row r="3311" spans="4:11" x14ac:dyDescent="0.2">
      <c r="D3311" s="2"/>
      <c r="E3311" s="2"/>
      <c r="F3311" s="2"/>
      <c r="G3311" s="2"/>
      <c r="H3311" s="2"/>
      <c r="I3311" s="2"/>
      <c r="J3311" s="2"/>
      <c r="K3311" s="2"/>
    </row>
    <row r="3312" spans="4:11" x14ac:dyDescent="0.2">
      <c r="D3312" s="2"/>
      <c r="E3312" s="2"/>
      <c r="F3312" s="2"/>
      <c r="G3312" s="2"/>
      <c r="H3312" s="2"/>
      <c r="I3312" s="2"/>
      <c r="J3312" s="2"/>
      <c r="K3312" s="2"/>
    </row>
    <row r="3313" spans="4:11" x14ac:dyDescent="0.2">
      <c r="D3313" s="2"/>
      <c r="E3313" s="2"/>
      <c r="F3313" s="2"/>
      <c r="G3313" s="2"/>
      <c r="H3313" s="2"/>
      <c r="I3313" s="2"/>
      <c r="J3313" s="2"/>
      <c r="K3313" s="2"/>
    </row>
    <row r="3314" spans="4:11" x14ac:dyDescent="0.2">
      <c r="D3314" s="2"/>
      <c r="E3314" s="2"/>
      <c r="F3314" s="2"/>
      <c r="G3314" s="2"/>
      <c r="H3314" s="2"/>
      <c r="I3314" s="2"/>
      <c r="J3314" s="2"/>
      <c r="K3314" s="2"/>
    </row>
    <row r="3315" spans="4:11" x14ac:dyDescent="0.2">
      <c r="D3315" s="2"/>
      <c r="E3315" s="2"/>
      <c r="F3315" s="2"/>
      <c r="G3315" s="2"/>
      <c r="H3315" s="2"/>
      <c r="I3315" s="2"/>
      <c r="J3315" s="2"/>
      <c r="K3315" s="2"/>
    </row>
    <row r="3316" spans="4:11" x14ac:dyDescent="0.2">
      <c r="D3316" s="2"/>
      <c r="E3316" s="2"/>
      <c r="F3316" s="2"/>
      <c r="G3316" s="2"/>
      <c r="H3316" s="2"/>
      <c r="I3316" s="2"/>
      <c r="J3316" s="2"/>
      <c r="K3316" s="2"/>
    </row>
    <row r="3317" spans="4:11" x14ac:dyDescent="0.2">
      <c r="D3317" s="2"/>
      <c r="E3317" s="2"/>
      <c r="F3317" s="2"/>
      <c r="G3317" s="2"/>
      <c r="H3317" s="2"/>
      <c r="I3317" s="2"/>
      <c r="J3317" s="2"/>
      <c r="K3317" s="2"/>
    </row>
    <row r="3318" spans="4:11" x14ac:dyDescent="0.2">
      <c r="D3318" s="2"/>
      <c r="E3318" s="2"/>
      <c r="F3318" s="2"/>
      <c r="G3318" s="2"/>
      <c r="H3318" s="2"/>
      <c r="I3318" s="2"/>
      <c r="J3318" s="2"/>
      <c r="K3318" s="2"/>
    </row>
    <row r="3319" spans="4:11" x14ac:dyDescent="0.2">
      <c r="D3319" s="2"/>
      <c r="E3319" s="2"/>
      <c r="F3319" s="2"/>
      <c r="G3319" s="2"/>
      <c r="H3319" s="2"/>
      <c r="I3319" s="2"/>
      <c r="J3319" s="2"/>
      <c r="K3319" s="2"/>
    </row>
    <row r="3320" spans="4:11" x14ac:dyDescent="0.2">
      <c r="D3320" s="2"/>
      <c r="E3320" s="2"/>
      <c r="F3320" s="2"/>
      <c r="G3320" s="2"/>
      <c r="H3320" s="2"/>
      <c r="I3320" s="2"/>
      <c r="J3320" s="2"/>
      <c r="K3320" s="2"/>
    </row>
    <row r="3321" spans="4:11" x14ac:dyDescent="0.2">
      <c r="D3321" s="2"/>
      <c r="E3321" s="2"/>
      <c r="F3321" s="2"/>
      <c r="G3321" s="2"/>
      <c r="H3321" s="2"/>
      <c r="I3321" s="2"/>
      <c r="J3321" s="2"/>
      <c r="K3321" s="2"/>
    </row>
    <row r="3322" spans="4:11" x14ac:dyDescent="0.2">
      <c r="D3322" s="2"/>
      <c r="E3322" s="2"/>
      <c r="F3322" s="2"/>
      <c r="G3322" s="2"/>
      <c r="H3322" s="2"/>
      <c r="I3322" s="2"/>
      <c r="J3322" s="2"/>
      <c r="K3322" s="2"/>
    </row>
    <row r="3323" spans="4:11" x14ac:dyDescent="0.2">
      <c r="D3323" s="2"/>
      <c r="E3323" s="2"/>
      <c r="F3323" s="2"/>
      <c r="G3323" s="2"/>
      <c r="H3323" s="2"/>
      <c r="I3323" s="2"/>
      <c r="J3323" s="2"/>
      <c r="K3323" s="2"/>
    </row>
    <row r="3324" spans="4:11" x14ac:dyDescent="0.2">
      <c r="D3324" s="2"/>
      <c r="E3324" s="2"/>
      <c r="F3324" s="2"/>
      <c r="G3324" s="2"/>
      <c r="H3324" s="2"/>
      <c r="I3324" s="2"/>
      <c r="J3324" s="2"/>
      <c r="K3324" s="2"/>
    </row>
    <row r="3325" spans="4:11" x14ac:dyDescent="0.2">
      <c r="D3325" s="2"/>
      <c r="E3325" s="2"/>
      <c r="F3325" s="2"/>
      <c r="G3325" s="2"/>
      <c r="H3325" s="2"/>
      <c r="I3325" s="2"/>
      <c r="J3325" s="2"/>
      <c r="K3325" s="2"/>
    </row>
    <row r="3326" spans="4:11" x14ac:dyDescent="0.2">
      <c r="D3326" s="2"/>
      <c r="E3326" s="2"/>
      <c r="F3326" s="2"/>
      <c r="G3326" s="2"/>
      <c r="H3326" s="2"/>
      <c r="I3326" s="2"/>
      <c r="J3326" s="2"/>
      <c r="K3326" s="2"/>
    </row>
    <row r="3327" spans="4:11" x14ac:dyDescent="0.2">
      <c r="D3327" s="2"/>
      <c r="E3327" s="2"/>
      <c r="F3327" s="2"/>
      <c r="G3327" s="2"/>
      <c r="H3327" s="2"/>
      <c r="I3327" s="2"/>
      <c r="J3327" s="2"/>
      <c r="K3327" s="2"/>
    </row>
    <row r="3328" spans="4:11" x14ac:dyDescent="0.2">
      <c r="D3328" s="2"/>
      <c r="E3328" s="2"/>
      <c r="F3328" s="2"/>
      <c r="G3328" s="2"/>
      <c r="H3328" s="2"/>
      <c r="I3328" s="2"/>
      <c r="J3328" s="2"/>
      <c r="K3328" s="2"/>
    </row>
    <row r="3329" spans="4:11" x14ac:dyDescent="0.2">
      <c r="D3329" s="2"/>
      <c r="E3329" s="2"/>
      <c r="F3329" s="2"/>
      <c r="G3329" s="2"/>
      <c r="H3329" s="2"/>
      <c r="I3329" s="2"/>
      <c r="J3329" s="2"/>
      <c r="K3329" s="2"/>
    </row>
    <row r="3330" spans="4:11" x14ac:dyDescent="0.2">
      <c r="D3330" s="2"/>
      <c r="E3330" s="2"/>
      <c r="F3330" s="2"/>
      <c r="G3330" s="2"/>
      <c r="H3330" s="2"/>
      <c r="I3330" s="2"/>
      <c r="J3330" s="2"/>
      <c r="K3330" s="2"/>
    </row>
    <row r="3331" spans="4:11" x14ac:dyDescent="0.2">
      <c r="D3331" s="2"/>
      <c r="E3331" s="2"/>
      <c r="F3331" s="2"/>
      <c r="G3331" s="2"/>
      <c r="H3331" s="2"/>
      <c r="I3331" s="2"/>
      <c r="J3331" s="2"/>
      <c r="K3331" s="2"/>
    </row>
    <row r="3332" spans="4:11" x14ac:dyDescent="0.2">
      <c r="D3332" s="2"/>
      <c r="E3332" s="2"/>
      <c r="F3332" s="2"/>
      <c r="G3332" s="2"/>
      <c r="H3332" s="2"/>
      <c r="I3332" s="2"/>
      <c r="J3332" s="2"/>
      <c r="K3332" s="2"/>
    </row>
    <row r="3333" spans="4:11" x14ac:dyDescent="0.2">
      <c r="D3333" s="2"/>
      <c r="E3333" s="2"/>
      <c r="F3333" s="2"/>
      <c r="G3333" s="2"/>
      <c r="H3333" s="2"/>
      <c r="I3333" s="2"/>
      <c r="J3333" s="2"/>
      <c r="K3333" s="2"/>
    </row>
    <row r="3334" spans="4:11" x14ac:dyDescent="0.2">
      <c r="D3334" s="2"/>
      <c r="E3334" s="2"/>
      <c r="F3334" s="2"/>
      <c r="G3334" s="2"/>
      <c r="H3334" s="2"/>
      <c r="I3334" s="2"/>
      <c r="J3334" s="2"/>
      <c r="K3334" s="2"/>
    </row>
    <row r="3335" spans="4:11" x14ac:dyDescent="0.2">
      <c r="D3335" s="2"/>
      <c r="E3335" s="2"/>
      <c r="F3335" s="2"/>
      <c r="G3335" s="2"/>
      <c r="H3335" s="2"/>
      <c r="I3335" s="2"/>
      <c r="J3335" s="2"/>
      <c r="K3335" s="2"/>
    </row>
    <row r="3336" spans="4:11" x14ac:dyDescent="0.2">
      <c r="D3336" s="2"/>
      <c r="E3336" s="2"/>
      <c r="F3336" s="2"/>
      <c r="G3336" s="2"/>
      <c r="H3336" s="2"/>
      <c r="I3336" s="2"/>
      <c r="J3336" s="2"/>
      <c r="K3336" s="2"/>
    </row>
    <row r="3337" spans="4:11" x14ac:dyDescent="0.2">
      <c r="D3337" s="2"/>
      <c r="E3337" s="2"/>
      <c r="F3337" s="2"/>
      <c r="G3337" s="2"/>
      <c r="H3337" s="2"/>
      <c r="I3337" s="2"/>
      <c r="J3337" s="2"/>
      <c r="K3337" s="2"/>
    </row>
    <row r="3338" spans="4:11" x14ac:dyDescent="0.2">
      <c r="D3338" s="2"/>
      <c r="E3338" s="2"/>
      <c r="F3338" s="2"/>
      <c r="G3338" s="2"/>
      <c r="H3338" s="2"/>
      <c r="I3338" s="2"/>
      <c r="J3338" s="2"/>
      <c r="K3338" s="2"/>
    </row>
    <row r="3339" spans="4:11" x14ac:dyDescent="0.2">
      <c r="D3339" s="2"/>
      <c r="E3339" s="2"/>
      <c r="F3339" s="2"/>
      <c r="G3339" s="2"/>
      <c r="H3339" s="2"/>
      <c r="I3339" s="2"/>
      <c r="J3339" s="2"/>
      <c r="K3339" s="2"/>
    </row>
    <row r="3340" spans="4:11" x14ac:dyDescent="0.2">
      <c r="D3340" s="2"/>
      <c r="E3340" s="2"/>
      <c r="F3340" s="2"/>
      <c r="G3340" s="2"/>
      <c r="H3340" s="2"/>
      <c r="I3340" s="2"/>
      <c r="J3340" s="2"/>
      <c r="K3340" s="2"/>
    </row>
    <row r="3341" spans="4:11" x14ac:dyDescent="0.2">
      <c r="D3341" s="2"/>
      <c r="E3341" s="2"/>
      <c r="F3341" s="2"/>
      <c r="G3341" s="2"/>
      <c r="H3341" s="2"/>
      <c r="I3341" s="2"/>
      <c r="J3341" s="2"/>
      <c r="K3341" s="2"/>
    </row>
    <row r="3342" spans="4:11" x14ac:dyDescent="0.2">
      <c r="D3342" s="2"/>
      <c r="E3342" s="2"/>
      <c r="F3342" s="2"/>
      <c r="G3342" s="2"/>
      <c r="H3342" s="2"/>
      <c r="I3342" s="2"/>
      <c r="J3342" s="2"/>
      <c r="K3342" s="2"/>
    </row>
    <row r="3343" spans="4:11" x14ac:dyDescent="0.2">
      <c r="D3343" s="2"/>
      <c r="E3343" s="2"/>
      <c r="F3343" s="2"/>
      <c r="G3343" s="2"/>
      <c r="H3343" s="2"/>
      <c r="I3343" s="2"/>
      <c r="J3343" s="2"/>
      <c r="K3343" s="2"/>
    </row>
    <row r="3344" spans="4:11" x14ac:dyDescent="0.2">
      <c r="D3344" s="2"/>
      <c r="E3344" s="2"/>
      <c r="F3344" s="2"/>
      <c r="G3344" s="2"/>
      <c r="H3344" s="2"/>
      <c r="I3344" s="2"/>
      <c r="J3344" s="2"/>
      <c r="K3344" s="2"/>
    </row>
    <row r="3345" spans="4:11" x14ac:dyDescent="0.2">
      <c r="D3345" s="2"/>
      <c r="E3345" s="2"/>
      <c r="F3345" s="2"/>
      <c r="G3345" s="2"/>
      <c r="H3345" s="2"/>
      <c r="I3345" s="2"/>
      <c r="J3345" s="2"/>
      <c r="K3345" s="2"/>
    </row>
    <row r="3346" spans="4:11" x14ac:dyDescent="0.2">
      <c r="D3346" s="2"/>
      <c r="E3346" s="2"/>
      <c r="F3346" s="2"/>
      <c r="G3346" s="2"/>
      <c r="H3346" s="2"/>
      <c r="I3346" s="2"/>
      <c r="J3346" s="2"/>
      <c r="K3346" s="2"/>
    </row>
    <row r="3347" spans="4:11" x14ac:dyDescent="0.2">
      <c r="D3347" s="2"/>
      <c r="E3347" s="2"/>
      <c r="F3347" s="2"/>
      <c r="G3347" s="2"/>
      <c r="H3347" s="2"/>
      <c r="I3347" s="2"/>
      <c r="J3347" s="2"/>
      <c r="K3347" s="2"/>
    </row>
    <row r="3348" spans="4:11" x14ac:dyDescent="0.2">
      <c r="D3348" s="2"/>
      <c r="E3348" s="2"/>
      <c r="F3348" s="2"/>
      <c r="G3348" s="2"/>
      <c r="H3348" s="2"/>
      <c r="I3348" s="2"/>
      <c r="J3348" s="2"/>
      <c r="K3348" s="2"/>
    </row>
    <row r="3349" spans="4:11" x14ac:dyDescent="0.2">
      <c r="D3349" s="2"/>
      <c r="E3349" s="2"/>
      <c r="F3349" s="2"/>
      <c r="G3349" s="2"/>
      <c r="H3349" s="2"/>
      <c r="I3349" s="2"/>
      <c r="J3349" s="2"/>
      <c r="K3349" s="2"/>
    </row>
    <row r="3350" spans="4:11" x14ac:dyDescent="0.2">
      <c r="D3350" s="2"/>
      <c r="E3350" s="2"/>
      <c r="F3350" s="2"/>
      <c r="G3350" s="2"/>
      <c r="H3350" s="2"/>
      <c r="I3350" s="2"/>
      <c r="J3350" s="2"/>
      <c r="K3350" s="2"/>
    </row>
    <row r="3351" spans="4:11" x14ac:dyDescent="0.2">
      <c r="D3351" s="2"/>
      <c r="E3351" s="2"/>
      <c r="F3351" s="2"/>
      <c r="G3351" s="2"/>
      <c r="H3351" s="2"/>
      <c r="I3351" s="2"/>
      <c r="J3351" s="2"/>
      <c r="K3351" s="2"/>
    </row>
    <row r="3352" spans="4:11" x14ac:dyDescent="0.2">
      <c r="D3352" s="2"/>
      <c r="E3352" s="2"/>
      <c r="F3352" s="2"/>
      <c r="G3352" s="2"/>
      <c r="H3352" s="2"/>
      <c r="I3352" s="2"/>
      <c r="J3352" s="2"/>
      <c r="K3352" s="2"/>
    </row>
    <row r="3353" spans="4:11" x14ac:dyDescent="0.2">
      <c r="D3353" s="2"/>
      <c r="E3353" s="2"/>
      <c r="F3353" s="2"/>
      <c r="G3353" s="2"/>
      <c r="H3353" s="2"/>
      <c r="I3353" s="2"/>
      <c r="J3353" s="2"/>
      <c r="K3353" s="2"/>
    </row>
    <row r="3354" spans="4:11" x14ac:dyDescent="0.2">
      <c r="D3354" s="2"/>
      <c r="E3354" s="2"/>
      <c r="F3354" s="2"/>
      <c r="G3354" s="2"/>
      <c r="H3354" s="2"/>
      <c r="I3354" s="2"/>
      <c r="J3354" s="2"/>
      <c r="K3354" s="2"/>
    </row>
    <row r="3355" spans="4:11" x14ac:dyDescent="0.2">
      <c r="D3355" s="2"/>
      <c r="E3355" s="2"/>
      <c r="F3355" s="2"/>
      <c r="G3355" s="2"/>
      <c r="H3355" s="2"/>
      <c r="I3355" s="2"/>
      <c r="J3355" s="2"/>
      <c r="K3355" s="2"/>
    </row>
    <row r="3356" spans="4:11" x14ac:dyDescent="0.2">
      <c r="D3356" s="2"/>
      <c r="E3356" s="2"/>
      <c r="F3356" s="2"/>
      <c r="G3356" s="2"/>
      <c r="H3356" s="2"/>
      <c r="I3356" s="2"/>
      <c r="J3356" s="2"/>
      <c r="K3356" s="2"/>
    </row>
    <row r="3357" spans="4:11" x14ac:dyDescent="0.2">
      <c r="D3357" s="2"/>
      <c r="E3357" s="2"/>
      <c r="F3357" s="2"/>
      <c r="G3357" s="2"/>
      <c r="H3357" s="2"/>
      <c r="I3357" s="2"/>
      <c r="J3357" s="2"/>
      <c r="K3357" s="2"/>
    </row>
    <row r="3358" spans="4:11" x14ac:dyDescent="0.2">
      <c r="D3358" s="2"/>
      <c r="E3358" s="2"/>
      <c r="F3358" s="2"/>
      <c r="G3358" s="2"/>
      <c r="H3358" s="2"/>
      <c r="I3358" s="2"/>
      <c r="J3358" s="2"/>
      <c r="K3358" s="2"/>
    </row>
    <row r="3359" spans="4:11" x14ac:dyDescent="0.2">
      <c r="D3359" s="2"/>
      <c r="E3359" s="2"/>
      <c r="F3359" s="2"/>
      <c r="G3359" s="2"/>
      <c r="H3359" s="2"/>
      <c r="I3359" s="2"/>
      <c r="J3359" s="2"/>
      <c r="K3359" s="2"/>
    </row>
    <row r="3360" spans="4:11" x14ac:dyDescent="0.2">
      <c r="D3360" s="2"/>
      <c r="E3360" s="2"/>
      <c r="F3360" s="2"/>
      <c r="G3360" s="2"/>
      <c r="H3360" s="2"/>
      <c r="I3360" s="2"/>
      <c r="J3360" s="2"/>
      <c r="K3360" s="2"/>
    </row>
    <row r="3361" spans="4:11" x14ac:dyDescent="0.2">
      <c r="D3361" s="2"/>
      <c r="E3361" s="2"/>
      <c r="F3361" s="2"/>
      <c r="G3361" s="2"/>
      <c r="H3361" s="2"/>
      <c r="I3361" s="2"/>
      <c r="J3361" s="2"/>
      <c r="K3361" s="2"/>
    </row>
    <row r="3362" spans="4:11" x14ac:dyDescent="0.2">
      <c r="D3362" s="2"/>
      <c r="E3362" s="2"/>
      <c r="F3362" s="2"/>
      <c r="G3362" s="2"/>
      <c r="H3362" s="2"/>
      <c r="I3362" s="2"/>
      <c r="J3362" s="2"/>
      <c r="K3362" s="2"/>
    </row>
    <row r="3363" spans="4:11" x14ac:dyDescent="0.2">
      <c r="D3363" s="2"/>
      <c r="E3363" s="2"/>
      <c r="F3363" s="2"/>
      <c r="G3363" s="2"/>
      <c r="H3363" s="2"/>
      <c r="I3363" s="2"/>
      <c r="J3363" s="2"/>
      <c r="K3363" s="2"/>
    </row>
    <row r="3364" spans="4:11" x14ac:dyDescent="0.2">
      <c r="D3364" s="2"/>
      <c r="E3364" s="2"/>
      <c r="F3364" s="2"/>
      <c r="G3364" s="2"/>
      <c r="H3364" s="2"/>
      <c r="I3364" s="2"/>
      <c r="J3364" s="2"/>
      <c r="K3364" s="2"/>
    </row>
    <row r="3365" spans="4:11" x14ac:dyDescent="0.2">
      <c r="D3365" s="2"/>
      <c r="E3365" s="2"/>
      <c r="F3365" s="2"/>
      <c r="G3365" s="2"/>
      <c r="H3365" s="2"/>
      <c r="I3365" s="2"/>
      <c r="J3365" s="2"/>
      <c r="K3365" s="2"/>
    </row>
    <row r="3366" spans="4:11" x14ac:dyDescent="0.2">
      <c r="D3366" s="2"/>
      <c r="E3366" s="2"/>
      <c r="F3366" s="2"/>
      <c r="G3366" s="2"/>
      <c r="H3366" s="2"/>
      <c r="I3366" s="2"/>
      <c r="J3366" s="2"/>
      <c r="K3366" s="2"/>
    </row>
    <row r="3367" spans="4:11" x14ac:dyDescent="0.2">
      <c r="D3367" s="2"/>
      <c r="E3367" s="2"/>
      <c r="F3367" s="2"/>
      <c r="G3367" s="2"/>
      <c r="H3367" s="2"/>
      <c r="I3367" s="2"/>
      <c r="J3367" s="2"/>
      <c r="K3367" s="2"/>
    </row>
    <row r="3368" spans="4:11" x14ac:dyDescent="0.2">
      <c r="D3368" s="2"/>
      <c r="E3368" s="2"/>
      <c r="F3368" s="2"/>
      <c r="G3368" s="2"/>
      <c r="H3368" s="2"/>
      <c r="I3368" s="2"/>
      <c r="J3368" s="2"/>
      <c r="K3368" s="2"/>
    </row>
    <row r="3369" spans="4:11" x14ac:dyDescent="0.2">
      <c r="D3369" s="2"/>
      <c r="E3369" s="2"/>
      <c r="F3369" s="2"/>
      <c r="G3369" s="2"/>
      <c r="H3369" s="2"/>
      <c r="I3369" s="2"/>
      <c r="J3369" s="2"/>
      <c r="K3369" s="2"/>
    </row>
    <row r="3370" spans="4:11" x14ac:dyDescent="0.2">
      <c r="D3370" s="2"/>
      <c r="E3370" s="2"/>
      <c r="F3370" s="2"/>
      <c r="G3370" s="2"/>
      <c r="H3370" s="2"/>
      <c r="I3370" s="2"/>
      <c r="J3370" s="2"/>
      <c r="K3370" s="2"/>
    </row>
    <row r="3371" spans="4:11" x14ac:dyDescent="0.2">
      <c r="D3371" s="2"/>
      <c r="E3371" s="2"/>
      <c r="F3371" s="2"/>
      <c r="G3371" s="2"/>
      <c r="H3371" s="2"/>
      <c r="I3371" s="2"/>
      <c r="J3371" s="2"/>
      <c r="K3371" s="2"/>
    </row>
    <row r="3372" spans="4:11" x14ac:dyDescent="0.2">
      <c r="D3372" s="2"/>
      <c r="E3372" s="2"/>
      <c r="F3372" s="2"/>
      <c r="G3372" s="2"/>
      <c r="H3372" s="2"/>
      <c r="I3372" s="2"/>
      <c r="J3372" s="2"/>
      <c r="K3372" s="2"/>
    </row>
    <row r="3373" spans="4:11" x14ac:dyDescent="0.2">
      <c r="D3373" s="2"/>
      <c r="E3373" s="2"/>
      <c r="F3373" s="2"/>
      <c r="G3373" s="2"/>
      <c r="H3373" s="2"/>
      <c r="I3373" s="2"/>
      <c r="J3373" s="2"/>
      <c r="K3373" s="2"/>
    </row>
    <row r="3374" spans="4:11" x14ac:dyDescent="0.2">
      <c r="D3374" s="2"/>
      <c r="E3374" s="2"/>
      <c r="F3374" s="2"/>
      <c r="G3374" s="2"/>
      <c r="H3374" s="2"/>
      <c r="I3374" s="2"/>
      <c r="J3374" s="2"/>
      <c r="K3374" s="2"/>
    </row>
    <row r="3375" spans="4:11" x14ac:dyDescent="0.2">
      <c r="D3375" s="2"/>
      <c r="E3375" s="2"/>
      <c r="F3375" s="2"/>
      <c r="G3375" s="2"/>
      <c r="H3375" s="2"/>
      <c r="I3375" s="2"/>
      <c r="J3375" s="2"/>
      <c r="K3375" s="2"/>
    </row>
    <row r="3376" spans="4:11" x14ac:dyDescent="0.2">
      <c r="D3376" s="2"/>
      <c r="E3376" s="2"/>
      <c r="F3376" s="2"/>
      <c r="G3376" s="2"/>
      <c r="H3376" s="2"/>
      <c r="I3376" s="2"/>
      <c r="J3376" s="2"/>
      <c r="K3376" s="2"/>
    </row>
    <row r="3377" spans="4:11" x14ac:dyDescent="0.2">
      <c r="D3377" s="2"/>
      <c r="E3377" s="2"/>
      <c r="F3377" s="2"/>
      <c r="G3377" s="2"/>
      <c r="H3377" s="2"/>
      <c r="I3377" s="2"/>
      <c r="J3377" s="2"/>
      <c r="K3377" s="2"/>
    </row>
    <row r="3378" spans="4:11" x14ac:dyDescent="0.2">
      <c r="D3378" s="2"/>
      <c r="E3378" s="2"/>
      <c r="F3378" s="2"/>
      <c r="G3378" s="2"/>
      <c r="H3378" s="2"/>
      <c r="I3378" s="2"/>
      <c r="J3378" s="2"/>
      <c r="K3378" s="2"/>
    </row>
    <row r="3379" spans="4:11" x14ac:dyDescent="0.2">
      <c r="D3379" s="2"/>
      <c r="E3379" s="2"/>
      <c r="F3379" s="2"/>
      <c r="G3379" s="2"/>
      <c r="H3379" s="2"/>
      <c r="I3379" s="2"/>
      <c r="J3379" s="2"/>
      <c r="K3379" s="2"/>
    </row>
    <row r="3380" spans="4:11" x14ac:dyDescent="0.2">
      <c r="D3380" s="2"/>
      <c r="E3380" s="2"/>
      <c r="F3380" s="2"/>
      <c r="G3380" s="2"/>
      <c r="H3380" s="2"/>
      <c r="I3380" s="2"/>
      <c r="J3380" s="2"/>
      <c r="K3380" s="2"/>
    </row>
    <row r="3381" spans="4:11" x14ac:dyDescent="0.2">
      <c r="D3381" s="2"/>
      <c r="E3381" s="2"/>
      <c r="F3381" s="2"/>
      <c r="G3381" s="2"/>
      <c r="H3381" s="2"/>
      <c r="I3381" s="2"/>
      <c r="J3381" s="2"/>
      <c r="K3381" s="2"/>
    </row>
    <row r="3382" spans="4:11" x14ac:dyDescent="0.2">
      <c r="D3382" s="2"/>
      <c r="E3382" s="2"/>
      <c r="F3382" s="2"/>
      <c r="G3382" s="2"/>
      <c r="H3382" s="2"/>
      <c r="I3382" s="2"/>
      <c r="J3382" s="2"/>
      <c r="K3382" s="2"/>
    </row>
    <row r="3383" spans="4:11" x14ac:dyDescent="0.2">
      <c r="D3383" s="2"/>
      <c r="E3383" s="2"/>
      <c r="F3383" s="2"/>
      <c r="G3383" s="2"/>
      <c r="H3383" s="2"/>
      <c r="I3383" s="2"/>
      <c r="J3383" s="2"/>
      <c r="K3383" s="2"/>
    </row>
    <row r="3384" spans="4:11" x14ac:dyDescent="0.2">
      <c r="D3384" s="2"/>
      <c r="E3384" s="2"/>
      <c r="F3384" s="2"/>
      <c r="G3384" s="2"/>
      <c r="H3384" s="2"/>
      <c r="I3384" s="2"/>
      <c r="J3384" s="2"/>
      <c r="K3384" s="2"/>
    </row>
    <row r="3385" spans="4:11" x14ac:dyDescent="0.2">
      <c r="D3385" s="2"/>
      <c r="E3385" s="2"/>
      <c r="F3385" s="2"/>
      <c r="G3385" s="2"/>
      <c r="H3385" s="2"/>
      <c r="I3385" s="2"/>
      <c r="J3385" s="2"/>
      <c r="K3385" s="2"/>
    </row>
    <row r="3386" spans="4:11" x14ac:dyDescent="0.2">
      <c r="D3386" s="2"/>
      <c r="E3386" s="2"/>
      <c r="F3386" s="2"/>
      <c r="G3386" s="2"/>
      <c r="H3386" s="2"/>
      <c r="I3386" s="2"/>
      <c r="J3386" s="2"/>
      <c r="K3386" s="2"/>
    </row>
    <row r="3387" spans="4:11" x14ac:dyDescent="0.2">
      <c r="D3387" s="2"/>
      <c r="E3387" s="2"/>
      <c r="F3387" s="2"/>
      <c r="G3387" s="2"/>
      <c r="H3387" s="2"/>
      <c r="I3387" s="2"/>
      <c r="J3387" s="2"/>
      <c r="K3387" s="2"/>
    </row>
    <row r="3388" spans="4:11" x14ac:dyDescent="0.2">
      <c r="D3388" s="2"/>
      <c r="E3388" s="2"/>
      <c r="F3388" s="2"/>
      <c r="G3388" s="2"/>
      <c r="H3388" s="2"/>
      <c r="I3388" s="2"/>
      <c r="J3388" s="2"/>
      <c r="K3388" s="2"/>
    </row>
    <row r="3389" spans="4:11" x14ac:dyDescent="0.2">
      <c r="D3389" s="2"/>
      <c r="E3389" s="2"/>
      <c r="F3389" s="2"/>
      <c r="G3389" s="2"/>
      <c r="H3389" s="2"/>
      <c r="I3389" s="2"/>
      <c r="J3389" s="2"/>
      <c r="K3389" s="2"/>
    </row>
    <row r="3390" spans="4:11" x14ac:dyDescent="0.2">
      <c r="D3390" s="2"/>
      <c r="E3390" s="2"/>
      <c r="F3390" s="2"/>
      <c r="G3390" s="2"/>
      <c r="H3390" s="2"/>
      <c r="I3390" s="2"/>
      <c r="J3390" s="2"/>
      <c r="K3390" s="2"/>
    </row>
    <row r="3391" spans="4:11" x14ac:dyDescent="0.2">
      <c r="D3391" s="2"/>
      <c r="E3391" s="2"/>
      <c r="F3391" s="2"/>
      <c r="G3391" s="2"/>
      <c r="H3391" s="2"/>
      <c r="I3391" s="2"/>
      <c r="J3391" s="2"/>
      <c r="K3391" s="2"/>
    </row>
    <row r="3392" spans="4:11" x14ac:dyDescent="0.2">
      <c r="D3392" s="2"/>
      <c r="E3392" s="2"/>
      <c r="F3392" s="2"/>
      <c r="G3392" s="2"/>
      <c r="H3392" s="2"/>
      <c r="I3392" s="2"/>
      <c r="J3392" s="2"/>
      <c r="K3392" s="2"/>
    </row>
    <row r="3393" spans="4:11" x14ac:dyDescent="0.2">
      <c r="D3393" s="2"/>
      <c r="E3393" s="2"/>
      <c r="F3393" s="2"/>
      <c r="G3393" s="2"/>
      <c r="H3393" s="2"/>
      <c r="I3393" s="2"/>
      <c r="J3393" s="2"/>
      <c r="K3393" s="2"/>
    </row>
    <row r="3394" spans="4:11" x14ac:dyDescent="0.2">
      <c r="D3394" s="2"/>
      <c r="E3394" s="2"/>
      <c r="F3394" s="2"/>
      <c r="G3394" s="2"/>
      <c r="H3394" s="2"/>
      <c r="I3394" s="2"/>
      <c r="J3394" s="2"/>
      <c r="K3394" s="2"/>
    </row>
    <row r="3395" spans="4:11" x14ac:dyDescent="0.2">
      <c r="D3395" s="2"/>
      <c r="E3395" s="2"/>
      <c r="F3395" s="2"/>
      <c r="G3395" s="2"/>
      <c r="H3395" s="2"/>
      <c r="I3395" s="2"/>
      <c r="J3395" s="2"/>
      <c r="K3395" s="2"/>
    </row>
    <row r="3396" spans="4:11" x14ac:dyDescent="0.2">
      <c r="D3396" s="2"/>
      <c r="E3396" s="2"/>
      <c r="F3396" s="2"/>
      <c r="G3396" s="2"/>
      <c r="H3396" s="2"/>
      <c r="I3396" s="2"/>
      <c r="J3396" s="2"/>
      <c r="K3396" s="2"/>
    </row>
    <row r="3397" spans="4:11" x14ac:dyDescent="0.2">
      <c r="D3397" s="2"/>
      <c r="E3397" s="2"/>
      <c r="F3397" s="2"/>
      <c r="G3397" s="2"/>
      <c r="H3397" s="2"/>
      <c r="I3397" s="2"/>
      <c r="J3397" s="2"/>
      <c r="K3397" s="2"/>
    </row>
    <row r="3398" spans="4:11" x14ac:dyDescent="0.2">
      <c r="D3398" s="2"/>
      <c r="E3398" s="2"/>
      <c r="F3398" s="2"/>
      <c r="G3398" s="2"/>
      <c r="H3398" s="2"/>
      <c r="I3398" s="2"/>
      <c r="J3398" s="2"/>
      <c r="K3398" s="2"/>
    </row>
    <row r="3399" spans="4:11" x14ac:dyDescent="0.2">
      <c r="D3399" s="2"/>
      <c r="E3399" s="2"/>
      <c r="F3399" s="2"/>
      <c r="G3399" s="2"/>
      <c r="H3399" s="2"/>
      <c r="I3399" s="2"/>
      <c r="J3399" s="2"/>
      <c r="K3399" s="2"/>
    </row>
    <row r="3400" spans="4:11" x14ac:dyDescent="0.2">
      <c r="D3400" s="2"/>
      <c r="E3400" s="2"/>
      <c r="F3400" s="2"/>
      <c r="G3400" s="2"/>
      <c r="H3400" s="2"/>
      <c r="I3400" s="2"/>
      <c r="J3400" s="2"/>
      <c r="K3400" s="2"/>
    </row>
    <row r="3401" spans="4:11" x14ac:dyDescent="0.2">
      <c r="D3401" s="2"/>
      <c r="E3401" s="2"/>
      <c r="F3401" s="2"/>
      <c r="G3401" s="2"/>
      <c r="H3401" s="2"/>
      <c r="I3401" s="2"/>
      <c r="J3401" s="2"/>
      <c r="K3401" s="2"/>
    </row>
    <row r="3402" spans="4:11" x14ac:dyDescent="0.2">
      <c r="D3402" s="2"/>
      <c r="E3402" s="2"/>
      <c r="F3402" s="2"/>
      <c r="G3402" s="2"/>
      <c r="H3402" s="2"/>
      <c r="I3402" s="2"/>
      <c r="J3402" s="2"/>
      <c r="K3402" s="2"/>
    </row>
    <row r="3403" spans="4:11" x14ac:dyDescent="0.2">
      <c r="D3403" s="2"/>
      <c r="E3403" s="2"/>
      <c r="F3403" s="2"/>
      <c r="G3403" s="2"/>
      <c r="H3403" s="2"/>
      <c r="I3403" s="2"/>
      <c r="J3403" s="2"/>
      <c r="K3403" s="2"/>
    </row>
    <row r="3404" spans="4:11" x14ac:dyDescent="0.2">
      <c r="D3404" s="2"/>
      <c r="E3404" s="2"/>
      <c r="F3404" s="2"/>
      <c r="G3404" s="2"/>
      <c r="H3404" s="2"/>
      <c r="I3404" s="2"/>
      <c r="J3404" s="2"/>
      <c r="K3404" s="2"/>
    </row>
    <row r="3405" spans="4:11" x14ac:dyDescent="0.2">
      <c r="D3405" s="2"/>
      <c r="E3405" s="2"/>
      <c r="F3405" s="2"/>
      <c r="G3405" s="2"/>
      <c r="H3405" s="2"/>
      <c r="I3405" s="2"/>
      <c r="J3405" s="2"/>
      <c r="K3405" s="2"/>
    </row>
    <row r="3406" spans="4:11" x14ac:dyDescent="0.2">
      <c r="D3406" s="2"/>
      <c r="E3406" s="2"/>
      <c r="F3406" s="2"/>
      <c r="G3406" s="2"/>
      <c r="H3406" s="2"/>
      <c r="I3406" s="2"/>
      <c r="J3406" s="2"/>
      <c r="K3406" s="2"/>
    </row>
    <row r="3407" spans="4:11" x14ac:dyDescent="0.2">
      <c r="D3407" s="2"/>
      <c r="E3407" s="2"/>
      <c r="F3407" s="2"/>
      <c r="G3407" s="2"/>
      <c r="H3407" s="2"/>
      <c r="I3407" s="2"/>
      <c r="J3407" s="2"/>
      <c r="K3407" s="2"/>
    </row>
    <row r="3408" spans="4:11" x14ac:dyDescent="0.2">
      <c r="D3408" s="2"/>
      <c r="E3408" s="2"/>
      <c r="F3408" s="2"/>
      <c r="G3408" s="2"/>
      <c r="H3408" s="2"/>
      <c r="I3408" s="2"/>
      <c r="J3408" s="2"/>
      <c r="K3408" s="2"/>
    </row>
    <row r="3409" spans="4:11" x14ac:dyDescent="0.2">
      <c r="D3409" s="2"/>
      <c r="E3409" s="2"/>
      <c r="F3409" s="2"/>
      <c r="G3409" s="2"/>
      <c r="H3409" s="2"/>
      <c r="I3409" s="2"/>
      <c r="J3409" s="2"/>
      <c r="K3409" s="2"/>
    </row>
    <row r="3410" spans="4:11" x14ac:dyDescent="0.2">
      <c r="D3410" s="2"/>
      <c r="E3410" s="2"/>
      <c r="F3410" s="2"/>
      <c r="G3410" s="2"/>
      <c r="H3410" s="2"/>
      <c r="I3410" s="2"/>
      <c r="J3410" s="2"/>
      <c r="K3410" s="2"/>
    </row>
    <row r="3411" spans="4:11" x14ac:dyDescent="0.2">
      <c r="D3411" s="2"/>
      <c r="E3411" s="2"/>
      <c r="F3411" s="2"/>
      <c r="G3411" s="2"/>
      <c r="H3411" s="2"/>
      <c r="I3411" s="2"/>
      <c r="J3411" s="2"/>
      <c r="K3411" s="2"/>
    </row>
    <row r="3412" spans="4:11" x14ac:dyDescent="0.2">
      <c r="D3412" s="2"/>
      <c r="E3412" s="2"/>
      <c r="F3412" s="2"/>
      <c r="G3412" s="2"/>
      <c r="H3412" s="2"/>
      <c r="I3412" s="2"/>
      <c r="J3412" s="2"/>
      <c r="K3412" s="2"/>
    </row>
    <row r="3413" spans="4:11" x14ac:dyDescent="0.2">
      <c r="D3413" s="2"/>
      <c r="E3413" s="2"/>
      <c r="F3413" s="2"/>
      <c r="G3413" s="2"/>
      <c r="H3413" s="2"/>
      <c r="I3413" s="2"/>
      <c r="J3413" s="2"/>
      <c r="K3413" s="2"/>
    </row>
    <row r="3414" spans="4:11" x14ac:dyDescent="0.2">
      <c r="D3414" s="2"/>
      <c r="E3414" s="2"/>
      <c r="F3414" s="2"/>
      <c r="G3414" s="2"/>
      <c r="H3414" s="2"/>
      <c r="I3414" s="2"/>
      <c r="J3414" s="2"/>
      <c r="K3414" s="2"/>
    </row>
    <row r="3415" spans="4:11" x14ac:dyDescent="0.2">
      <c r="D3415" s="2"/>
      <c r="E3415" s="2"/>
      <c r="F3415" s="2"/>
      <c r="G3415" s="2"/>
      <c r="H3415" s="2"/>
      <c r="I3415" s="2"/>
      <c r="J3415" s="2"/>
      <c r="K3415" s="2"/>
    </row>
    <row r="3416" spans="4:11" x14ac:dyDescent="0.2">
      <c r="D3416" s="2"/>
      <c r="E3416" s="2"/>
      <c r="F3416" s="2"/>
      <c r="G3416" s="2"/>
      <c r="H3416" s="2"/>
      <c r="I3416" s="2"/>
      <c r="J3416" s="2"/>
      <c r="K3416" s="2"/>
    </row>
    <row r="3417" spans="4:11" x14ac:dyDescent="0.2">
      <c r="D3417" s="2"/>
      <c r="E3417" s="2"/>
      <c r="F3417" s="2"/>
      <c r="G3417" s="2"/>
      <c r="H3417" s="2"/>
      <c r="I3417" s="2"/>
      <c r="J3417" s="2"/>
      <c r="K3417" s="2"/>
    </row>
    <row r="3418" spans="4:11" x14ac:dyDescent="0.2">
      <c r="D3418" s="2"/>
      <c r="E3418" s="2"/>
      <c r="F3418" s="2"/>
      <c r="G3418" s="2"/>
      <c r="H3418" s="2"/>
      <c r="I3418" s="2"/>
      <c r="J3418" s="2"/>
      <c r="K3418" s="2"/>
    </row>
    <row r="3419" spans="4:11" x14ac:dyDescent="0.2">
      <c r="D3419" s="2"/>
      <c r="E3419" s="2"/>
      <c r="F3419" s="2"/>
      <c r="G3419" s="2"/>
      <c r="H3419" s="2"/>
      <c r="I3419" s="2"/>
      <c r="J3419" s="2"/>
      <c r="K3419" s="2"/>
    </row>
    <row r="3420" spans="4:11" x14ac:dyDescent="0.2">
      <c r="D3420" s="2"/>
      <c r="E3420" s="2"/>
      <c r="F3420" s="2"/>
      <c r="G3420" s="2"/>
      <c r="H3420" s="2"/>
      <c r="I3420" s="2"/>
      <c r="J3420" s="2"/>
      <c r="K3420" s="2"/>
    </row>
    <row r="3421" spans="4:11" x14ac:dyDescent="0.2">
      <c r="D3421" s="2"/>
      <c r="E3421" s="2"/>
      <c r="F3421" s="2"/>
      <c r="G3421" s="2"/>
      <c r="H3421" s="2"/>
      <c r="I3421" s="2"/>
      <c r="J3421" s="2"/>
      <c r="K3421" s="2"/>
    </row>
    <row r="3422" spans="4:11" x14ac:dyDescent="0.2">
      <c r="D3422" s="2"/>
      <c r="E3422" s="2"/>
      <c r="F3422" s="2"/>
      <c r="G3422" s="2"/>
      <c r="H3422" s="2"/>
      <c r="I3422" s="2"/>
      <c r="J3422" s="2"/>
      <c r="K3422" s="2"/>
    </row>
    <row r="3423" spans="4:11" x14ac:dyDescent="0.2">
      <c r="D3423" s="2"/>
      <c r="E3423" s="2"/>
      <c r="F3423" s="2"/>
      <c r="G3423" s="2"/>
      <c r="H3423" s="2"/>
      <c r="I3423" s="2"/>
      <c r="J3423" s="2"/>
      <c r="K3423" s="2"/>
    </row>
    <row r="3424" spans="4:11" x14ac:dyDescent="0.2">
      <c r="D3424" s="2"/>
      <c r="E3424" s="2"/>
      <c r="F3424" s="2"/>
      <c r="G3424" s="2"/>
      <c r="H3424" s="2"/>
      <c r="I3424" s="2"/>
      <c r="J3424" s="2"/>
      <c r="K3424" s="2"/>
    </row>
    <row r="3425" spans="4:11" x14ac:dyDescent="0.2">
      <c r="D3425" s="2"/>
      <c r="E3425" s="2"/>
      <c r="F3425" s="2"/>
      <c r="G3425" s="2"/>
      <c r="H3425" s="2"/>
      <c r="I3425" s="2"/>
      <c r="J3425" s="2"/>
      <c r="K3425" s="2"/>
    </row>
    <row r="3426" spans="4:11" x14ac:dyDescent="0.2">
      <c r="D3426" s="2"/>
      <c r="E3426" s="2"/>
      <c r="F3426" s="2"/>
      <c r="G3426" s="2"/>
      <c r="H3426" s="2"/>
      <c r="I3426" s="2"/>
      <c r="J3426" s="2"/>
      <c r="K3426" s="2"/>
    </row>
    <row r="3427" spans="4:11" x14ac:dyDescent="0.2">
      <c r="D3427" s="2"/>
      <c r="E3427" s="2"/>
      <c r="F3427" s="2"/>
      <c r="G3427" s="2"/>
      <c r="H3427" s="2"/>
      <c r="I3427" s="2"/>
      <c r="J3427" s="2"/>
      <c r="K3427" s="2"/>
    </row>
    <row r="3428" spans="4:11" x14ac:dyDescent="0.2">
      <c r="D3428" s="2"/>
      <c r="E3428" s="2"/>
      <c r="F3428" s="2"/>
      <c r="G3428" s="2"/>
      <c r="H3428" s="2"/>
      <c r="I3428" s="2"/>
      <c r="J3428" s="2"/>
      <c r="K3428" s="2"/>
    </row>
    <row r="3429" spans="4:11" x14ac:dyDescent="0.2">
      <c r="D3429" s="2"/>
      <c r="E3429" s="2"/>
      <c r="F3429" s="2"/>
      <c r="G3429" s="2"/>
      <c r="H3429" s="2"/>
      <c r="I3429" s="2"/>
      <c r="J3429" s="2"/>
      <c r="K3429" s="2"/>
    </row>
    <row r="3430" spans="4:11" x14ac:dyDescent="0.2">
      <c r="D3430" s="2"/>
      <c r="E3430" s="2"/>
      <c r="F3430" s="2"/>
      <c r="G3430" s="2"/>
      <c r="H3430" s="2"/>
      <c r="I3430" s="2"/>
      <c r="J3430" s="2"/>
      <c r="K3430" s="2"/>
    </row>
    <row r="3431" spans="4:11" x14ac:dyDescent="0.2">
      <c r="D3431" s="2"/>
      <c r="E3431" s="2"/>
      <c r="F3431" s="2"/>
      <c r="G3431" s="2"/>
      <c r="H3431" s="2"/>
      <c r="I3431" s="2"/>
      <c r="J3431" s="2"/>
      <c r="K3431" s="2"/>
    </row>
    <row r="3432" spans="4:11" x14ac:dyDescent="0.2">
      <c r="D3432" s="2"/>
      <c r="E3432" s="2"/>
      <c r="F3432" s="2"/>
      <c r="G3432" s="2"/>
      <c r="H3432" s="2"/>
      <c r="I3432" s="2"/>
      <c r="J3432" s="2"/>
      <c r="K3432" s="2"/>
    </row>
    <row r="3433" spans="4:11" x14ac:dyDescent="0.2">
      <c r="D3433" s="2"/>
      <c r="E3433" s="2"/>
      <c r="F3433" s="2"/>
      <c r="G3433" s="2"/>
      <c r="H3433" s="2"/>
      <c r="I3433" s="2"/>
      <c r="J3433" s="2"/>
      <c r="K3433" s="2"/>
    </row>
    <row r="3434" spans="4:11" x14ac:dyDescent="0.2">
      <c r="D3434" s="2"/>
      <c r="E3434" s="2"/>
      <c r="F3434" s="2"/>
      <c r="G3434" s="2"/>
      <c r="H3434" s="2"/>
      <c r="I3434" s="2"/>
      <c r="J3434" s="2"/>
      <c r="K3434" s="2"/>
    </row>
    <row r="3435" spans="4:11" x14ac:dyDescent="0.2">
      <c r="D3435" s="2"/>
      <c r="E3435" s="2"/>
      <c r="F3435" s="2"/>
      <c r="G3435" s="2"/>
      <c r="H3435" s="2"/>
      <c r="I3435" s="2"/>
      <c r="J3435" s="2"/>
      <c r="K3435" s="2"/>
    </row>
    <row r="3436" spans="4:11" x14ac:dyDescent="0.2">
      <c r="D3436" s="2"/>
      <c r="E3436" s="2"/>
      <c r="F3436" s="2"/>
      <c r="G3436" s="2"/>
      <c r="H3436" s="2"/>
      <c r="I3436" s="2"/>
      <c r="J3436" s="2"/>
      <c r="K3436" s="2"/>
    </row>
    <row r="3437" spans="4:11" x14ac:dyDescent="0.2">
      <c r="D3437" s="2"/>
      <c r="E3437" s="2"/>
      <c r="F3437" s="2"/>
      <c r="G3437" s="2"/>
      <c r="H3437" s="2"/>
      <c r="I3437" s="2"/>
      <c r="J3437" s="2"/>
      <c r="K3437" s="2"/>
    </row>
    <row r="3438" spans="4:11" x14ac:dyDescent="0.2">
      <c r="D3438" s="2"/>
      <c r="E3438" s="2"/>
      <c r="F3438" s="2"/>
      <c r="G3438" s="2"/>
      <c r="H3438" s="2"/>
      <c r="I3438" s="2"/>
      <c r="J3438" s="2"/>
      <c r="K3438" s="2"/>
    </row>
    <row r="3439" spans="4:11" x14ac:dyDescent="0.2">
      <c r="D3439" s="2"/>
      <c r="E3439" s="2"/>
      <c r="F3439" s="2"/>
      <c r="G3439" s="2"/>
      <c r="H3439" s="2"/>
      <c r="I3439" s="2"/>
      <c r="J3439" s="2"/>
      <c r="K3439" s="2"/>
    </row>
    <row r="3440" spans="4:11" x14ac:dyDescent="0.2">
      <c r="D3440" s="2"/>
      <c r="E3440" s="2"/>
      <c r="F3440" s="2"/>
      <c r="G3440" s="2"/>
      <c r="H3440" s="2"/>
      <c r="I3440" s="2"/>
      <c r="J3440" s="2"/>
      <c r="K3440" s="2"/>
    </row>
    <row r="3441" spans="4:11" x14ac:dyDescent="0.2">
      <c r="D3441" s="2"/>
      <c r="E3441" s="2"/>
      <c r="F3441" s="2"/>
      <c r="G3441" s="2"/>
      <c r="H3441" s="2"/>
      <c r="I3441" s="2"/>
      <c r="J3441" s="2"/>
      <c r="K3441" s="2"/>
    </row>
    <row r="3442" spans="4:11" x14ac:dyDescent="0.2">
      <c r="D3442" s="2"/>
      <c r="E3442" s="2"/>
      <c r="F3442" s="2"/>
      <c r="G3442" s="2"/>
      <c r="H3442" s="2"/>
      <c r="I3442" s="2"/>
      <c r="J3442" s="2"/>
      <c r="K3442" s="2"/>
    </row>
    <row r="3443" spans="4:11" x14ac:dyDescent="0.2">
      <c r="D3443" s="2"/>
      <c r="E3443" s="2"/>
      <c r="F3443" s="2"/>
      <c r="G3443" s="2"/>
      <c r="H3443" s="2"/>
      <c r="I3443" s="2"/>
      <c r="J3443" s="2"/>
      <c r="K3443" s="2"/>
    </row>
    <row r="3444" spans="4:11" x14ac:dyDescent="0.2">
      <c r="D3444" s="2"/>
      <c r="E3444" s="2"/>
      <c r="F3444" s="2"/>
      <c r="G3444" s="2"/>
      <c r="H3444" s="2"/>
      <c r="I3444" s="2"/>
      <c r="J3444" s="2"/>
      <c r="K3444" s="2"/>
    </row>
    <row r="3445" spans="4:11" x14ac:dyDescent="0.2">
      <c r="D3445" s="2"/>
      <c r="E3445" s="2"/>
      <c r="F3445" s="2"/>
      <c r="G3445" s="2"/>
      <c r="H3445" s="2"/>
      <c r="I3445" s="2"/>
      <c r="J3445" s="2"/>
      <c r="K3445" s="2"/>
    </row>
    <row r="3446" spans="4:11" x14ac:dyDescent="0.2">
      <c r="D3446" s="2"/>
      <c r="E3446" s="2"/>
      <c r="F3446" s="2"/>
      <c r="G3446" s="2"/>
      <c r="H3446" s="2"/>
      <c r="I3446" s="2"/>
      <c r="J3446" s="2"/>
      <c r="K3446" s="2"/>
    </row>
    <row r="3447" spans="4:11" x14ac:dyDescent="0.2">
      <c r="D3447" s="2"/>
      <c r="E3447" s="2"/>
      <c r="F3447" s="2"/>
      <c r="G3447" s="2"/>
      <c r="H3447" s="2"/>
      <c r="I3447" s="2"/>
      <c r="J3447" s="2"/>
      <c r="K3447" s="2"/>
    </row>
    <row r="3448" spans="4:11" x14ac:dyDescent="0.2">
      <c r="D3448" s="2"/>
      <c r="E3448" s="2"/>
      <c r="F3448" s="2"/>
      <c r="G3448" s="2"/>
      <c r="H3448" s="2"/>
      <c r="I3448" s="2"/>
      <c r="J3448" s="2"/>
      <c r="K3448" s="2"/>
    </row>
    <row r="3449" spans="4:11" x14ac:dyDescent="0.2">
      <c r="D3449" s="2"/>
      <c r="E3449" s="2"/>
      <c r="F3449" s="2"/>
      <c r="G3449" s="2"/>
      <c r="H3449" s="2"/>
      <c r="I3449" s="2"/>
      <c r="J3449" s="2"/>
      <c r="K3449" s="2"/>
    </row>
    <row r="3450" spans="4:11" x14ac:dyDescent="0.2">
      <c r="D3450" s="2"/>
      <c r="E3450" s="2"/>
      <c r="F3450" s="2"/>
      <c r="G3450" s="2"/>
      <c r="H3450" s="2"/>
      <c r="I3450" s="2"/>
      <c r="J3450" s="2"/>
      <c r="K3450" s="2"/>
    </row>
    <row r="3451" spans="4:11" x14ac:dyDescent="0.2">
      <c r="D3451" s="2"/>
      <c r="E3451" s="2"/>
      <c r="F3451" s="2"/>
      <c r="G3451" s="2"/>
      <c r="H3451" s="2"/>
      <c r="I3451" s="2"/>
      <c r="J3451" s="2"/>
      <c r="K3451" s="2"/>
    </row>
    <row r="3452" spans="4:11" x14ac:dyDescent="0.2">
      <c r="D3452" s="2"/>
      <c r="E3452" s="2"/>
      <c r="F3452" s="2"/>
      <c r="G3452" s="2"/>
      <c r="H3452" s="2"/>
      <c r="I3452" s="2"/>
      <c r="J3452" s="2"/>
      <c r="K3452" s="2"/>
    </row>
    <row r="3453" spans="4:11" x14ac:dyDescent="0.2">
      <c r="D3453" s="2"/>
      <c r="E3453" s="2"/>
      <c r="F3453" s="2"/>
      <c r="G3453" s="2"/>
      <c r="H3453" s="2"/>
      <c r="I3453" s="2"/>
      <c r="J3453" s="2"/>
      <c r="K3453" s="2"/>
    </row>
    <row r="3454" spans="4:11" x14ac:dyDescent="0.2">
      <c r="D3454" s="2"/>
      <c r="E3454" s="2"/>
      <c r="F3454" s="2"/>
      <c r="G3454" s="2"/>
      <c r="H3454" s="2"/>
      <c r="I3454" s="2"/>
      <c r="J3454" s="2"/>
      <c r="K3454" s="2"/>
    </row>
    <row r="3455" spans="4:11" x14ac:dyDescent="0.2">
      <c r="D3455" s="2"/>
      <c r="E3455" s="2"/>
      <c r="F3455" s="2"/>
      <c r="G3455" s="2"/>
      <c r="H3455" s="2"/>
      <c r="I3455" s="2"/>
      <c r="J3455" s="2"/>
      <c r="K3455" s="2"/>
    </row>
    <row r="3456" spans="4:11" x14ac:dyDescent="0.2">
      <c r="D3456" s="2"/>
      <c r="E3456" s="2"/>
      <c r="F3456" s="2"/>
      <c r="G3456" s="2"/>
      <c r="H3456" s="2"/>
      <c r="I3456" s="2"/>
      <c r="J3456" s="2"/>
      <c r="K3456" s="2"/>
    </row>
    <row r="3457" spans="4:11" x14ac:dyDescent="0.2">
      <c r="D3457" s="2"/>
      <c r="E3457" s="2"/>
      <c r="F3457" s="2"/>
      <c r="G3457" s="2"/>
      <c r="H3457" s="2"/>
      <c r="I3457" s="2"/>
      <c r="J3457" s="2"/>
      <c r="K3457" s="2"/>
    </row>
    <row r="3458" spans="4:11" x14ac:dyDescent="0.2">
      <c r="D3458" s="2"/>
      <c r="E3458" s="2"/>
      <c r="F3458" s="2"/>
      <c r="G3458" s="2"/>
      <c r="H3458" s="2"/>
      <c r="I3458" s="2"/>
      <c r="J3458" s="2"/>
      <c r="K3458" s="2"/>
    </row>
    <row r="3459" spans="4:11" x14ac:dyDescent="0.2">
      <c r="D3459" s="2"/>
      <c r="E3459" s="2"/>
      <c r="F3459" s="2"/>
      <c r="G3459" s="2"/>
      <c r="H3459" s="2"/>
      <c r="I3459" s="2"/>
      <c r="J3459" s="2"/>
      <c r="K3459" s="2"/>
    </row>
    <row r="3460" spans="4:11" x14ac:dyDescent="0.2">
      <c r="D3460" s="2"/>
      <c r="E3460" s="2"/>
      <c r="F3460" s="2"/>
      <c r="G3460" s="2"/>
      <c r="H3460" s="2"/>
      <c r="I3460" s="2"/>
      <c r="J3460" s="2"/>
      <c r="K3460" s="2"/>
    </row>
    <row r="3461" spans="4:11" x14ac:dyDescent="0.2">
      <c r="D3461" s="2"/>
      <c r="E3461" s="2"/>
      <c r="F3461" s="2"/>
      <c r="G3461" s="2"/>
      <c r="H3461" s="2"/>
      <c r="I3461" s="2"/>
      <c r="J3461" s="2"/>
      <c r="K3461" s="2"/>
    </row>
    <row r="3462" spans="4:11" x14ac:dyDescent="0.2">
      <c r="D3462" s="2"/>
      <c r="E3462" s="2"/>
      <c r="F3462" s="2"/>
      <c r="G3462" s="2"/>
      <c r="H3462" s="2"/>
      <c r="I3462" s="2"/>
      <c r="J3462" s="2"/>
      <c r="K3462" s="2"/>
    </row>
    <row r="3463" spans="4:11" x14ac:dyDescent="0.2">
      <c r="D3463" s="2"/>
      <c r="E3463" s="2"/>
      <c r="F3463" s="2"/>
      <c r="G3463" s="2"/>
      <c r="H3463" s="2"/>
      <c r="I3463" s="2"/>
      <c r="J3463" s="2"/>
      <c r="K3463" s="2"/>
    </row>
    <row r="3464" spans="4:11" x14ac:dyDescent="0.2">
      <c r="D3464" s="2"/>
      <c r="E3464" s="2"/>
      <c r="F3464" s="2"/>
      <c r="G3464" s="2"/>
      <c r="H3464" s="2"/>
      <c r="I3464" s="2"/>
      <c r="J3464" s="2"/>
      <c r="K3464" s="2"/>
    </row>
    <row r="3465" spans="4:11" x14ac:dyDescent="0.2">
      <c r="D3465" s="2"/>
      <c r="E3465" s="2"/>
      <c r="F3465" s="2"/>
      <c r="G3465" s="2"/>
      <c r="H3465" s="2"/>
      <c r="I3465" s="2"/>
      <c r="J3465" s="2"/>
      <c r="K3465" s="2"/>
    </row>
    <row r="3466" spans="4:11" x14ac:dyDescent="0.2">
      <c r="D3466" s="2"/>
      <c r="E3466" s="2"/>
      <c r="F3466" s="2"/>
      <c r="G3466" s="2"/>
      <c r="H3466" s="2"/>
      <c r="I3466" s="2"/>
      <c r="J3466" s="2"/>
      <c r="K3466" s="2"/>
    </row>
    <row r="3467" spans="4:11" x14ac:dyDescent="0.2">
      <c r="D3467" s="2"/>
      <c r="E3467" s="2"/>
      <c r="F3467" s="2"/>
      <c r="G3467" s="2"/>
      <c r="H3467" s="2"/>
      <c r="I3467" s="2"/>
      <c r="J3467" s="2"/>
      <c r="K3467" s="2"/>
    </row>
    <row r="3468" spans="4:11" x14ac:dyDescent="0.2">
      <c r="D3468" s="2"/>
      <c r="E3468" s="2"/>
      <c r="F3468" s="2"/>
      <c r="G3468" s="2"/>
      <c r="H3468" s="2"/>
      <c r="I3468" s="2"/>
      <c r="J3468" s="2"/>
      <c r="K3468" s="2"/>
    </row>
    <row r="3469" spans="4:11" x14ac:dyDescent="0.2">
      <c r="D3469" s="2"/>
      <c r="E3469" s="2"/>
      <c r="F3469" s="2"/>
      <c r="G3469" s="2"/>
      <c r="H3469" s="2"/>
      <c r="I3469" s="2"/>
      <c r="J3469" s="2"/>
      <c r="K3469" s="2"/>
    </row>
    <row r="3470" spans="4:11" x14ac:dyDescent="0.2">
      <c r="D3470" s="2"/>
      <c r="E3470" s="2"/>
      <c r="F3470" s="2"/>
      <c r="G3470" s="2"/>
      <c r="H3470" s="2"/>
      <c r="I3470" s="2"/>
      <c r="J3470" s="2"/>
      <c r="K3470" s="2"/>
    </row>
    <row r="3471" spans="4:11" x14ac:dyDescent="0.2">
      <c r="D3471" s="2"/>
      <c r="E3471" s="2"/>
      <c r="F3471" s="2"/>
      <c r="G3471" s="2"/>
      <c r="H3471" s="2"/>
      <c r="I3471" s="2"/>
      <c r="J3471" s="2"/>
      <c r="K3471" s="2"/>
    </row>
    <row r="3472" spans="4:11" x14ac:dyDescent="0.2">
      <c r="D3472" s="2"/>
      <c r="E3472" s="2"/>
      <c r="F3472" s="2"/>
      <c r="G3472" s="2"/>
      <c r="H3472" s="2"/>
      <c r="I3472" s="2"/>
      <c r="J3472" s="2"/>
      <c r="K3472" s="2"/>
    </row>
    <row r="3473" spans="4:11" x14ac:dyDescent="0.2">
      <c r="D3473" s="2"/>
      <c r="E3473" s="2"/>
      <c r="F3473" s="2"/>
      <c r="G3473" s="2"/>
      <c r="H3473" s="2"/>
      <c r="I3473" s="2"/>
      <c r="J3473" s="2"/>
      <c r="K3473" s="2"/>
    </row>
    <row r="3474" spans="4:11" x14ac:dyDescent="0.2">
      <c r="D3474" s="2"/>
      <c r="E3474" s="2"/>
      <c r="F3474" s="2"/>
      <c r="G3474" s="2"/>
      <c r="H3474" s="2"/>
      <c r="I3474" s="2"/>
      <c r="J3474" s="2"/>
      <c r="K3474" s="2"/>
    </row>
    <row r="3475" spans="4:11" x14ac:dyDescent="0.2">
      <c r="D3475" s="2"/>
      <c r="E3475" s="2"/>
      <c r="F3475" s="2"/>
      <c r="G3475" s="2"/>
      <c r="H3475" s="2"/>
      <c r="I3475" s="2"/>
      <c r="J3475" s="2"/>
      <c r="K3475" s="2"/>
    </row>
    <row r="3476" spans="4:11" x14ac:dyDescent="0.2">
      <c r="D3476" s="2"/>
      <c r="E3476" s="2"/>
      <c r="F3476" s="2"/>
      <c r="G3476" s="2"/>
      <c r="H3476" s="2"/>
      <c r="I3476" s="2"/>
      <c r="J3476" s="2"/>
      <c r="K3476" s="2"/>
    </row>
    <row r="3477" spans="4:11" x14ac:dyDescent="0.2">
      <c r="D3477" s="2"/>
      <c r="E3477" s="2"/>
      <c r="F3477" s="2"/>
      <c r="G3477" s="2"/>
      <c r="H3477" s="2"/>
      <c r="I3477" s="2"/>
      <c r="J3477" s="2"/>
      <c r="K3477" s="2"/>
    </row>
    <row r="3478" spans="4:11" x14ac:dyDescent="0.2">
      <c r="D3478" s="2"/>
      <c r="E3478" s="2"/>
      <c r="F3478" s="2"/>
      <c r="G3478" s="2"/>
      <c r="H3478" s="2"/>
      <c r="I3478" s="2"/>
      <c r="J3478" s="2"/>
      <c r="K3478" s="2"/>
    </row>
    <row r="3479" spans="4:11" x14ac:dyDescent="0.2">
      <c r="D3479" s="2"/>
      <c r="E3479" s="2"/>
      <c r="F3479" s="2"/>
      <c r="G3479" s="2"/>
      <c r="H3479" s="2"/>
      <c r="I3479" s="2"/>
      <c r="J3479" s="2"/>
      <c r="K3479" s="2"/>
    </row>
    <row r="3480" spans="4:11" x14ac:dyDescent="0.2">
      <c r="D3480" s="2"/>
      <c r="E3480" s="2"/>
      <c r="F3480" s="2"/>
      <c r="G3480" s="2"/>
      <c r="H3480" s="2"/>
      <c r="I3480" s="2"/>
      <c r="J3480" s="2"/>
      <c r="K3480" s="2"/>
    </row>
    <row r="3481" spans="4:11" x14ac:dyDescent="0.2">
      <c r="D3481" s="2"/>
      <c r="E3481" s="2"/>
      <c r="F3481" s="2"/>
      <c r="G3481" s="2"/>
      <c r="H3481" s="2"/>
      <c r="I3481" s="2"/>
      <c r="J3481" s="2"/>
      <c r="K3481" s="2"/>
    </row>
    <row r="3482" spans="4:11" x14ac:dyDescent="0.2">
      <c r="D3482" s="2"/>
      <c r="E3482" s="2"/>
      <c r="F3482" s="2"/>
      <c r="G3482" s="2"/>
      <c r="H3482" s="2"/>
      <c r="I3482" s="2"/>
      <c r="J3482" s="2"/>
      <c r="K3482" s="2"/>
    </row>
    <row r="3483" spans="4:11" x14ac:dyDescent="0.2">
      <c r="D3483" s="2"/>
      <c r="E3483" s="2"/>
      <c r="F3483" s="2"/>
      <c r="G3483" s="2"/>
      <c r="H3483" s="2"/>
      <c r="I3483" s="2"/>
      <c r="J3483" s="2"/>
      <c r="K3483" s="2"/>
    </row>
    <row r="3484" spans="4:11" x14ac:dyDescent="0.2">
      <c r="D3484" s="2"/>
      <c r="E3484" s="2"/>
      <c r="F3484" s="2"/>
      <c r="G3484" s="2"/>
      <c r="H3484" s="2"/>
      <c r="I3484" s="2"/>
      <c r="J3484" s="2"/>
      <c r="K3484" s="2"/>
    </row>
    <row r="3485" spans="4:11" x14ac:dyDescent="0.2">
      <c r="D3485" s="2"/>
      <c r="E3485" s="2"/>
      <c r="F3485" s="2"/>
      <c r="G3485" s="2"/>
      <c r="H3485" s="2"/>
      <c r="I3485" s="2"/>
      <c r="J3485" s="2"/>
      <c r="K3485" s="2"/>
    </row>
    <row r="3486" spans="4:11" x14ac:dyDescent="0.2">
      <c r="D3486" s="2"/>
      <c r="E3486" s="2"/>
      <c r="F3486" s="2"/>
      <c r="G3486" s="2"/>
      <c r="H3486" s="2"/>
      <c r="I3486" s="2"/>
      <c r="J3486" s="2"/>
      <c r="K3486" s="2"/>
    </row>
    <row r="3487" spans="4:11" x14ac:dyDescent="0.2">
      <c r="D3487" s="2"/>
      <c r="E3487" s="2"/>
      <c r="F3487" s="2"/>
      <c r="G3487" s="2"/>
      <c r="H3487" s="2"/>
      <c r="I3487" s="2"/>
      <c r="J3487" s="2"/>
      <c r="K3487" s="2"/>
    </row>
    <row r="3488" spans="4:11" x14ac:dyDescent="0.2">
      <c r="D3488" s="2"/>
      <c r="E3488" s="2"/>
      <c r="F3488" s="2"/>
      <c r="G3488" s="2"/>
      <c r="H3488" s="2"/>
      <c r="I3488" s="2"/>
      <c r="J3488" s="2"/>
      <c r="K3488" s="2"/>
    </row>
    <row r="3489" spans="4:11" x14ac:dyDescent="0.2">
      <c r="D3489" s="2"/>
      <c r="E3489" s="2"/>
      <c r="F3489" s="2"/>
      <c r="G3489" s="2"/>
      <c r="H3489" s="2"/>
      <c r="I3489" s="2"/>
      <c r="J3489" s="2"/>
      <c r="K3489" s="2"/>
    </row>
    <row r="3490" spans="4:11" x14ac:dyDescent="0.2">
      <c r="D3490" s="2"/>
      <c r="E3490" s="2"/>
      <c r="F3490" s="2"/>
      <c r="G3490" s="2"/>
      <c r="H3490" s="2"/>
      <c r="I3490" s="2"/>
      <c r="J3490" s="2"/>
      <c r="K3490" s="2"/>
    </row>
    <row r="3491" spans="4:11" x14ac:dyDescent="0.2">
      <c r="D3491" s="2"/>
      <c r="E3491" s="2"/>
      <c r="F3491" s="2"/>
      <c r="G3491" s="2"/>
      <c r="H3491" s="2"/>
      <c r="I3491" s="2"/>
      <c r="J3491" s="2"/>
      <c r="K3491" s="2"/>
    </row>
    <row r="3492" spans="4:11" x14ac:dyDescent="0.2">
      <c r="D3492" s="2"/>
      <c r="E3492" s="2"/>
      <c r="F3492" s="2"/>
      <c r="G3492" s="2"/>
      <c r="H3492" s="2"/>
      <c r="I3492" s="2"/>
      <c r="J3492" s="2"/>
      <c r="K3492" s="2"/>
    </row>
    <row r="3493" spans="4:11" x14ac:dyDescent="0.2">
      <c r="D3493" s="2"/>
      <c r="E3493" s="2"/>
      <c r="F3493" s="2"/>
      <c r="G3493" s="2"/>
      <c r="H3493" s="2"/>
      <c r="I3493" s="2"/>
      <c r="J3493" s="2"/>
      <c r="K3493" s="2"/>
    </row>
    <row r="3494" spans="4:11" x14ac:dyDescent="0.2">
      <c r="D3494" s="2"/>
      <c r="E3494" s="2"/>
      <c r="F3494" s="2"/>
      <c r="G3494" s="2"/>
      <c r="H3494" s="2"/>
      <c r="I3494" s="2"/>
      <c r="J3494" s="2"/>
      <c r="K3494" s="2"/>
    </row>
    <row r="3495" spans="4:11" x14ac:dyDescent="0.2">
      <c r="D3495" s="2"/>
      <c r="E3495" s="2"/>
      <c r="F3495" s="2"/>
      <c r="G3495" s="2"/>
      <c r="H3495" s="2"/>
      <c r="I3495" s="2"/>
      <c r="J3495" s="2"/>
      <c r="K3495" s="2"/>
    </row>
    <row r="3496" spans="4:11" x14ac:dyDescent="0.2">
      <c r="D3496" s="2"/>
      <c r="E3496" s="2"/>
      <c r="F3496" s="2"/>
      <c r="G3496" s="2"/>
      <c r="H3496" s="2"/>
      <c r="I3496" s="2"/>
      <c r="J3496" s="2"/>
      <c r="K3496" s="2"/>
    </row>
    <row r="3497" spans="4:11" x14ac:dyDescent="0.2">
      <c r="D3497" s="2"/>
      <c r="E3497" s="2"/>
      <c r="F3497" s="2"/>
      <c r="G3497" s="2"/>
      <c r="H3497" s="2"/>
      <c r="I3497" s="2"/>
      <c r="J3497" s="2"/>
      <c r="K3497" s="2"/>
    </row>
    <row r="3498" spans="4:11" x14ac:dyDescent="0.2">
      <c r="D3498" s="2"/>
      <c r="E3498" s="2"/>
      <c r="F3498" s="2"/>
      <c r="G3498" s="2"/>
      <c r="H3498" s="2"/>
      <c r="I3498" s="2"/>
      <c r="J3498" s="2"/>
      <c r="K3498" s="2"/>
    </row>
    <row r="3499" spans="4:11" x14ac:dyDescent="0.2">
      <c r="D3499" s="2"/>
      <c r="E3499" s="2"/>
      <c r="F3499" s="2"/>
      <c r="G3499" s="2"/>
      <c r="H3499" s="2"/>
      <c r="I3499" s="2"/>
      <c r="J3499" s="2"/>
      <c r="K3499" s="2"/>
    </row>
    <row r="3500" spans="4:11" x14ac:dyDescent="0.2">
      <c r="D3500" s="2"/>
      <c r="E3500" s="2"/>
      <c r="F3500" s="2"/>
      <c r="G3500" s="2"/>
      <c r="H3500" s="2"/>
      <c r="I3500" s="2"/>
      <c r="J3500" s="2"/>
      <c r="K3500" s="2"/>
    </row>
    <row r="3501" spans="4:11" x14ac:dyDescent="0.2">
      <c r="D3501" s="2"/>
      <c r="E3501" s="2"/>
      <c r="F3501" s="2"/>
      <c r="G3501" s="2"/>
      <c r="H3501" s="2"/>
      <c r="I3501" s="2"/>
      <c r="J3501" s="2"/>
      <c r="K3501" s="2"/>
    </row>
    <row r="3502" spans="4:11" x14ac:dyDescent="0.2">
      <c r="D3502" s="2"/>
      <c r="E3502" s="2"/>
      <c r="F3502" s="2"/>
      <c r="G3502" s="2"/>
      <c r="H3502" s="2"/>
      <c r="I3502" s="2"/>
      <c r="J3502" s="2"/>
      <c r="K3502" s="2"/>
    </row>
    <row r="3503" spans="4:11" x14ac:dyDescent="0.2">
      <c r="D3503" s="2"/>
      <c r="E3503" s="2"/>
      <c r="F3503" s="2"/>
      <c r="G3503" s="2"/>
      <c r="H3503" s="2"/>
      <c r="I3503" s="2"/>
      <c r="J3503" s="2"/>
      <c r="K3503" s="2"/>
    </row>
    <row r="3504" spans="4:11" x14ac:dyDescent="0.2">
      <c r="D3504" s="2"/>
      <c r="E3504" s="2"/>
      <c r="F3504" s="2"/>
      <c r="G3504" s="2"/>
      <c r="H3504" s="2"/>
      <c r="I3504" s="2"/>
      <c r="J3504" s="2"/>
      <c r="K3504" s="2"/>
    </row>
    <row r="3505" spans="4:11" x14ac:dyDescent="0.2">
      <c r="D3505" s="2"/>
      <c r="E3505" s="2"/>
      <c r="F3505" s="2"/>
      <c r="G3505" s="2"/>
      <c r="H3505" s="2"/>
      <c r="I3505" s="2"/>
      <c r="J3505" s="2"/>
      <c r="K3505" s="2"/>
    </row>
    <row r="3506" spans="4:11" x14ac:dyDescent="0.2">
      <c r="D3506" s="2"/>
      <c r="E3506" s="2"/>
      <c r="F3506" s="2"/>
      <c r="G3506" s="2"/>
      <c r="H3506" s="2"/>
      <c r="I3506" s="2"/>
      <c r="J3506" s="2"/>
      <c r="K3506" s="2"/>
    </row>
    <row r="3507" spans="4:11" x14ac:dyDescent="0.2">
      <c r="D3507" s="2"/>
      <c r="E3507" s="2"/>
      <c r="F3507" s="2"/>
      <c r="G3507" s="2"/>
      <c r="H3507" s="2"/>
      <c r="I3507" s="2"/>
      <c r="J3507" s="2"/>
      <c r="K3507" s="2"/>
    </row>
    <row r="3508" spans="4:11" x14ac:dyDescent="0.2">
      <c r="D3508" s="2"/>
      <c r="E3508" s="2"/>
      <c r="F3508" s="2"/>
      <c r="G3508" s="2"/>
      <c r="H3508" s="2"/>
      <c r="I3508" s="2"/>
      <c r="J3508" s="2"/>
      <c r="K3508" s="2"/>
    </row>
    <row r="3509" spans="4:11" x14ac:dyDescent="0.2">
      <c r="D3509" s="2"/>
      <c r="E3509" s="2"/>
      <c r="F3509" s="2"/>
      <c r="G3509" s="2"/>
      <c r="H3509" s="2"/>
      <c r="I3509" s="2"/>
      <c r="J3509" s="2"/>
      <c r="K3509" s="2"/>
    </row>
    <row r="3510" spans="4:11" x14ac:dyDescent="0.2">
      <c r="D3510" s="2"/>
      <c r="E3510" s="2"/>
      <c r="F3510" s="2"/>
      <c r="G3510" s="2"/>
      <c r="H3510" s="2"/>
      <c r="I3510" s="2"/>
      <c r="J3510" s="2"/>
      <c r="K3510" s="2"/>
    </row>
    <row r="3511" spans="4:11" x14ac:dyDescent="0.2">
      <c r="D3511" s="2"/>
      <c r="E3511" s="2"/>
      <c r="F3511" s="2"/>
      <c r="G3511" s="2"/>
      <c r="H3511" s="2"/>
      <c r="I3511" s="2"/>
      <c r="J3511" s="2"/>
      <c r="K3511" s="2"/>
    </row>
    <row r="3512" spans="4:11" x14ac:dyDescent="0.2">
      <c r="D3512" s="2"/>
      <c r="E3512" s="2"/>
      <c r="F3512" s="2"/>
      <c r="G3512" s="2"/>
      <c r="H3512" s="2"/>
      <c r="I3512" s="2"/>
      <c r="J3512" s="2"/>
      <c r="K3512" s="2"/>
    </row>
    <row r="3513" spans="4:11" x14ac:dyDescent="0.2">
      <c r="D3513" s="2"/>
      <c r="E3513" s="2"/>
      <c r="F3513" s="2"/>
      <c r="G3513" s="2"/>
      <c r="H3513" s="2"/>
      <c r="I3513" s="2"/>
      <c r="J3513" s="2"/>
      <c r="K3513" s="2"/>
    </row>
    <row r="3514" spans="4:11" x14ac:dyDescent="0.2">
      <c r="D3514" s="2"/>
      <c r="E3514" s="2"/>
      <c r="F3514" s="2"/>
      <c r="G3514" s="2"/>
      <c r="H3514" s="2"/>
      <c r="I3514" s="2"/>
      <c r="J3514" s="2"/>
      <c r="K3514" s="2"/>
    </row>
    <row r="3515" spans="4:11" x14ac:dyDescent="0.2">
      <c r="D3515" s="2"/>
      <c r="E3515" s="2"/>
      <c r="F3515" s="2"/>
      <c r="G3515" s="2"/>
      <c r="H3515" s="2"/>
      <c r="I3515" s="2"/>
      <c r="J3515" s="2"/>
      <c r="K3515" s="2"/>
    </row>
    <row r="3516" spans="4:11" x14ac:dyDescent="0.2">
      <c r="D3516" s="2"/>
      <c r="E3516" s="2"/>
      <c r="F3516" s="2"/>
      <c r="G3516" s="2"/>
      <c r="H3516" s="2"/>
      <c r="I3516" s="2"/>
      <c r="J3516" s="2"/>
      <c r="K3516" s="2"/>
    </row>
    <row r="3517" spans="4:11" x14ac:dyDescent="0.2">
      <c r="D3517" s="2"/>
      <c r="E3517" s="2"/>
      <c r="F3517" s="2"/>
      <c r="G3517" s="2"/>
      <c r="H3517" s="2"/>
      <c r="I3517" s="2"/>
      <c r="J3517" s="2"/>
      <c r="K3517" s="2"/>
    </row>
    <row r="3518" spans="4:11" x14ac:dyDescent="0.2">
      <c r="D3518" s="2"/>
      <c r="E3518" s="2"/>
      <c r="F3518" s="2"/>
      <c r="G3518" s="2"/>
      <c r="H3518" s="2"/>
      <c r="I3518" s="2"/>
      <c r="J3518" s="2"/>
      <c r="K3518" s="2"/>
    </row>
    <row r="3519" spans="4:11" x14ac:dyDescent="0.2">
      <c r="D3519" s="2"/>
      <c r="E3519" s="2"/>
      <c r="F3519" s="2"/>
      <c r="G3519" s="2"/>
      <c r="H3519" s="2"/>
      <c r="I3519" s="2"/>
      <c r="J3519" s="2"/>
      <c r="K3519" s="2"/>
    </row>
    <row r="3520" spans="4:11" x14ac:dyDescent="0.2">
      <c r="D3520" s="2"/>
      <c r="E3520" s="2"/>
      <c r="F3520" s="2"/>
      <c r="G3520" s="2"/>
      <c r="H3520" s="2"/>
      <c r="I3520" s="2"/>
      <c r="J3520" s="2"/>
      <c r="K3520" s="2"/>
    </row>
    <row r="3521" spans="4:11" x14ac:dyDescent="0.2">
      <c r="D3521" s="2"/>
      <c r="E3521" s="2"/>
      <c r="F3521" s="2"/>
      <c r="G3521" s="2"/>
      <c r="H3521" s="2"/>
      <c r="I3521" s="2"/>
      <c r="J3521" s="2"/>
      <c r="K3521" s="2"/>
    </row>
    <row r="3522" spans="4:11" x14ac:dyDescent="0.2">
      <c r="D3522" s="2"/>
      <c r="E3522" s="2"/>
      <c r="F3522" s="2"/>
      <c r="G3522" s="2"/>
      <c r="H3522" s="2"/>
      <c r="I3522" s="2"/>
      <c r="J3522" s="2"/>
      <c r="K3522" s="2"/>
    </row>
    <row r="3523" spans="4:11" x14ac:dyDescent="0.2">
      <c r="D3523" s="2"/>
      <c r="E3523" s="2"/>
      <c r="F3523" s="2"/>
      <c r="G3523" s="2"/>
      <c r="H3523" s="2"/>
      <c r="I3523" s="2"/>
      <c r="J3523" s="2"/>
      <c r="K3523" s="2"/>
    </row>
    <row r="3524" spans="4:11" x14ac:dyDescent="0.2">
      <c r="D3524" s="2"/>
      <c r="E3524" s="2"/>
      <c r="F3524" s="2"/>
      <c r="G3524" s="2"/>
      <c r="H3524" s="2"/>
      <c r="I3524" s="2"/>
      <c r="J3524" s="2"/>
      <c r="K3524" s="2"/>
    </row>
    <row r="3525" spans="4:11" x14ac:dyDescent="0.2">
      <c r="D3525" s="2"/>
      <c r="E3525" s="2"/>
      <c r="F3525" s="2"/>
      <c r="G3525" s="2"/>
      <c r="H3525" s="2"/>
      <c r="I3525" s="2"/>
      <c r="J3525" s="2"/>
      <c r="K3525" s="2"/>
    </row>
    <row r="3526" spans="4:11" x14ac:dyDescent="0.2">
      <c r="D3526" s="2"/>
      <c r="E3526" s="2"/>
      <c r="F3526" s="2"/>
      <c r="G3526" s="2"/>
      <c r="H3526" s="2"/>
      <c r="I3526" s="2"/>
      <c r="J3526" s="2"/>
      <c r="K3526" s="2"/>
    </row>
    <row r="3527" spans="4:11" x14ac:dyDescent="0.2">
      <c r="D3527" s="2"/>
      <c r="E3527" s="2"/>
      <c r="F3527" s="2"/>
      <c r="G3527" s="2"/>
      <c r="H3527" s="2"/>
      <c r="I3527" s="2"/>
      <c r="J3527" s="2"/>
      <c r="K3527" s="2"/>
    </row>
    <row r="3528" spans="4:11" x14ac:dyDescent="0.2">
      <c r="D3528" s="2"/>
      <c r="E3528" s="2"/>
      <c r="F3528" s="2"/>
      <c r="G3528" s="2"/>
      <c r="H3528" s="2"/>
      <c r="I3528" s="2"/>
      <c r="J3528" s="2"/>
      <c r="K3528" s="2"/>
    </row>
    <row r="3529" spans="4:11" x14ac:dyDescent="0.2">
      <c r="D3529" s="2"/>
      <c r="E3529" s="2"/>
      <c r="F3529" s="2"/>
      <c r="G3529" s="2"/>
      <c r="H3529" s="2"/>
      <c r="I3529" s="2"/>
      <c r="J3529" s="2"/>
      <c r="K3529" s="2"/>
    </row>
    <row r="3530" spans="4:11" x14ac:dyDescent="0.2">
      <c r="D3530" s="2"/>
      <c r="E3530" s="2"/>
      <c r="F3530" s="2"/>
      <c r="G3530" s="2"/>
      <c r="H3530" s="2"/>
      <c r="I3530" s="2"/>
      <c r="J3530" s="2"/>
      <c r="K3530" s="2"/>
    </row>
    <row r="3531" spans="4:11" x14ac:dyDescent="0.2">
      <c r="D3531" s="2"/>
      <c r="E3531" s="2"/>
      <c r="F3531" s="2"/>
      <c r="G3531" s="2"/>
      <c r="H3531" s="2"/>
      <c r="I3531" s="2"/>
      <c r="J3531" s="2"/>
      <c r="K3531" s="2"/>
    </row>
    <row r="3532" spans="4:11" x14ac:dyDescent="0.2">
      <c r="D3532" s="2"/>
      <c r="E3532" s="2"/>
      <c r="F3532" s="2"/>
      <c r="G3532" s="2"/>
      <c r="H3532" s="2"/>
      <c r="I3532" s="2"/>
      <c r="J3532" s="2"/>
      <c r="K3532" s="2"/>
    </row>
    <row r="3533" spans="4:11" x14ac:dyDescent="0.2">
      <c r="D3533" s="2"/>
      <c r="E3533" s="2"/>
      <c r="F3533" s="2"/>
      <c r="G3533" s="2"/>
      <c r="H3533" s="2"/>
      <c r="I3533" s="2"/>
      <c r="J3533" s="2"/>
      <c r="K3533" s="2"/>
    </row>
    <row r="3534" spans="4:11" x14ac:dyDescent="0.2">
      <c r="D3534" s="2"/>
      <c r="E3534" s="2"/>
      <c r="F3534" s="2"/>
      <c r="G3534" s="2"/>
      <c r="H3534" s="2"/>
      <c r="I3534" s="2"/>
      <c r="J3534" s="2"/>
      <c r="K3534" s="2"/>
    </row>
    <row r="3535" spans="4:11" x14ac:dyDescent="0.2">
      <c r="D3535" s="2"/>
      <c r="E3535" s="2"/>
      <c r="F3535" s="2"/>
      <c r="G3535" s="2"/>
      <c r="H3535" s="2"/>
      <c r="I3535" s="2"/>
      <c r="J3535" s="2"/>
      <c r="K3535" s="2"/>
    </row>
    <row r="3536" spans="4:11" x14ac:dyDescent="0.2">
      <c r="D3536" s="2"/>
      <c r="E3536" s="2"/>
      <c r="F3536" s="2"/>
      <c r="G3536" s="2"/>
      <c r="H3536" s="2"/>
      <c r="I3536" s="2"/>
      <c r="J3536" s="2"/>
      <c r="K3536" s="2"/>
    </row>
    <row r="3537" spans="4:11" x14ac:dyDescent="0.2">
      <c r="D3537" s="2"/>
      <c r="E3537" s="2"/>
      <c r="F3537" s="2"/>
      <c r="G3537" s="2"/>
      <c r="H3537" s="2"/>
      <c r="I3537" s="2"/>
      <c r="J3537" s="2"/>
      <c r="K3537" s="2"/>
    </row>
    <row r="3538" spans="4:11" x14ac:dyDescent="0.2">
      <c r="D3538" s="2"/>
      <c r="E3538" s="2"/>
      <c r="F3538" s="2"/>
      <c r="G3538" s="2"/>
      <c r="H3538" s="2"/>
      <c r="I3538" s="2"/>
      <c r="J3538" s="2"/>
      <c r="K3538" s="2"/>
    </row>
    <row r="3539" spans="4:11" x14ac:dyDescent="0.2">
      <c r="D3539" s="2"/>
      <c r="E3539" s="2"/>
      <c r="F3539" s="2"/>
      <c r="G3539" s="2"/>
      <c r="H3539" s="2"/>
      <c r="I3539" s="2"/>
      <c r="J3539" s="2"/>
      <c r="K3539" s="2"/>
    </row>
    <row r="3540" spans="4:11" x14ac:dyDescent="0.2">
      <c r="D3540" s="2"/>
      <c r="E3540" s="2"/>
      <c r="F3540" s="2"/>
      <c r="G3540" s="2"/>
      <c r="H3540" s="2"/>
      <c r="I3540" s="2"/>
      <c r="J3540" s="2"/>
      <c r="K3540" s="2"/>
    </row>
    <row r="3541" spans="4:11" x14ac:dyDescent="0.2">
      <c r="D3541" s="2"/>
      <c r="E3541" s="2"/>
      <c r="F3541" s="2"/>
      <c r="G3541" s="2"/>
      <c r="H3541" s="2"/>
      <c r="I3541" s="2"/>
      <c r="J3541" s="2"/>
      <c r="K3541" s="2"/>
    </row>
    <row r="3542" spans="4:11" x14ac:dyDescent="0.2">
      <c r="D3542" s="2"/>
      <c r="E3542" s="2"/>
      <c r="F3542" s="2"/>
      <c r="G3542" s="2"/>
      <c r="H3542" s="2"/>
      <c r="I3542" s="2"/>
      <c r="J3542" s="2"/>
      <c r="K3542" s="2"/>
    </row>
    <row r="3543" spans="4:11" x14ac:dyDescent="0.2">
      <c r="D3543" s="2"/>
      <c r="E3543" s="2"/>
      <c r="F3543" s="2"/>
      <c r="G3543" s="2"/>
      <c r="H3543" s="2"/>
      <c r="I3543" s="2"/>
      <c r="J3543" s="2"/>
      <c r="K3543" s="2"/>
    </row>
    <row r="3544" spans="4:11" x14ac:dyDescent="0.2">
      <c r="D3544" s="2"/>
      <c r="E3544" s="2"/>
      <c r="F3544" s="2"/>
      <c r="G3544" s="2"/>
      <c r="H3544" s="2"/>
      <c r="I3544" s="2"/>
      <c r="J3544" s="2"/>
      <c r="K3544" s="2"/>
    </row>
    <row r="3545" spans="4:11" x14ac:dyDescent="0.2">
      <c r="D3545" s="2"/>
      <c r="E3545" s="2"/>
      <c r="F3545" s="2"/>
      <c r="G3545" s="2"/>
      <c r="H3545" s="2"/>
      <c r="I3545" s="2"/>
      <c r="J3545" s="2"/>
      <c r="K3545" s="2"/>
    </row>
    <row r="3546" spans="4:11" x14ac:dyDescent="0.2">
      <c r="D3546" s="2"/>
      <c r="E3546" s="2"/>
      <c r="F3546" s="2"/>
      <c r="G3546" s="2"/>
      <c r="H3546" s="2"/>
      <c r="I3546" s="2"/>
      <c r="J3546" s="2"/>
      <c r="K3546" s="2"/>
    </row>
    <row r="3547" spans="4:11" x14ac:dyDescent="0.2">
      <c r="D3547" s="2"/>
      <c r="E3547" s="2"/>
      <c r="F3547" s="2"/>
      <c r="G3547" s="2"/>
      <c r="H3547" s="2"/>
      <c r="I3547" s="2"/>
      <c r="J3547" s="2"/>
      <c r="K3547" s="2"/>
    </row>
    <row r="3548" spans="4:11" x14ac:dyDescent="0.2">
      <c r="D3548" s="2"/>
      <c r="E3548" s="2"/>
      <c r="F3548" s="2"/>
      <c r="G3548" s="2"/>
      <c r="H3548" s="2"/>
      <c r="I3548" s="2"/>
      <c r="J3548" s="2"/>
      <c r="K3548" s="2"/>
    </row>
    <row r="3549" spans="4:11" x14ac:dyDescent="0.2">
      <c r="D3549" s="2"/>
      <c r="E3549" s="2"/>
      <c r="F3549" s="2"/>
      <c r="G3549" s="2"/>
      <c r="H3549" s="2"/>
      <c r="I3549" s="2"/>
      <c r="J3549" s="2"/>
      <c r="K3549" s="2"/>
    </row>
    <row r="3550" spans="4:11" x14ac:dyDescent="0.2">
      <c r="D3550" s="2"/>
      <c r="E3550" s="2"/>
      <c r="F3550" s="2"/>
      <c r="G3550" s="2"/>
      <c r="H3550" s="2"/>
      <c r="I3550" s="2"/>
      <c r="J3550" s="2"/>
      <c r="K3550" s="2"/>
    </row>
    <row r="3551" spans="4:11" x14ac:dyDescent="0.2">
      <c r="D3551" s="2"/>
      <c r="E3551" s="2"/>
      <c r="F3551" s="2"/>
      <c r="G3551" s="2"/>
      <c r="H3551" s="2"/>
      <c r="I3551" s="2"/>
      <c r="J3551" s="2"/>
      <c r="K3551" s="2"/>
    </row>
    <row r="3552" spans="4:11" x14ac:dyDescent="0.2">
      <c r="D3552" s="2"/>
      <c r="E3552" s="2"/>
      <c r="F3552" s="2"/>
      <c r="G3552" s="2"/>
      <c r="H3552" s="2"/>
      <c r="I3552" s="2"/>
      <c r="J3552" s="2"/>
      <c r="K3552" s="2"/>
    </row>
    <row r="3553" spans="4:11" x14ac:dyDescent="0.2">
      <c r="D3553" s="2"/>
      <c r="E3553" s="2"/>
      <c r="F3553" s="2"/>
      <c r="G3553" s="2"/>
      <c r="H3553" s="2"/>
      <c r="I3553" s="2"/>
      <c r="J3553" s="2"/>
      <c r="K3553" s="2"/>
    </row>
    <row r="3554" spans="4:11" x14ac:dyDescent="0.2">
      <c r="D3554" s="2"/>
      <c r="E3554" s="2"/>
      <c r="F3554" s="2"/>
      <c r="G3554" s="2"/>
      <c r="H3554" s="2"/>
      <c r="I3554" s="2"/>
      <c r="J3554" s="2"/>
      <c r="K3554" s="2"/>
    </row>
    <row r="3555" spans="4:11" x14ac:dyDescent="0.2">
      <c r="D3555" s="2"/>
      <c r="E3555" s="2"/>
      <c r="F3555" s="2"/>
      <c r="G3555" s="2"/>
      <c r="H3555" s="2"/>
      <c r="I3555" s="2"/>
      <c r="J3555" s="2"/>
      <c r="K3555" s="2"/>
    </row>
    <row r="3556" spans="4:11" x14ac:dyDescent="0.2">
      <c r="D3556" s="2"/>
      <c r="E3556" s="2"/>
      <c r="F3556" s="2"/>
      <c r="G3556" s="2"/>
      <c r="H3556" s="2"/>
      <c r="I3556" s="2"/>
      <c r="J3556" s="2"/>
      <c r="K3556" s="2"/>
    </row>
    <row r="3557" spans="4:11" x14ac:dyDescent="0.2">
      <c r="D3557" s="2"/>
      <c r="E3557" s="2"/>
      <c r="F3557" s="2"/>
      <c r="G3557" s="2"/>
      <c r="H3557" s="2"/>
      <c r="I3557" s="2"/>
      <c r="J3557" s="2"/>
      <c r="K3557" s="2"/>
    </row>
    <row r="3558" spans="4:11" x14ac:dyDescent="0.2">
      <c r="D3558" s="2"/>
      <c r="E3558" s="2"/>
      <c r="F3558" s="2"/>
      <c r="G3558" s="2"/>
      <c r="H3558" s="2"/>
      <c r="I3558" s="2"/>
      <c r="J3558" s="2"/>
      <c r="K3558" s="2"/>
    </row>
    <row r="3559" spans="4:11" x14ac:dyDescent="0.2">
      <c r="D3559" s="2"/>
      <c r="E3559" s="2"/>
      <c r="F3559" s="2"/>
      <c r="G3559" s="2"/>
      <c r="H3559" s="2"/>
      <c r="I3559" s="2"/>
      <c r="J3559" s="2"/>
      <c r="K3559" s="2"/>
    </row>
    <row r="3560" spans="4:11" x14ac:dyDescent="0.2">
      <c r="D3560" s="2"/>
      <c r="E3560" s="2"/>
      <c r="F3560" s="2"/>
      <c r="G3560" s="2"/>
      <c r="H3560" s="2"/>
      <c r="I3560" s="2"/>
      <c r="J3560" s="2"/>
      <c r="K3560" s="2"/>
    </row>
    <row r="3561" spans="4:11" x14ac:dyDescent="0.2">
      <c r="D3561" s="2"/>
      <c r="E3561" s="2"/>
      <c r="F3561" s="2"/>
      <c r="G3561" s="2"/>
      <c r="H3561" s="2"/>
      <c r="I3561" s="2"/>
      <c r="J3561" s="2"/>
      <c r="K3561" s="2"/>
    </row>
    <row r="3562" spans="4:11" x14ac:dyDescent="0.2">
      <c r="D3562" s="2"/>
      <c r="E3562" s="2"/>
      <c r="F3562" s="2"/>
      <c r="G3562" s="2"/>
      <c r="H3562" s="2"/>
      <c r="I3562" s="2"/>
      <c r="J3562" s="2"/>
      <c r="K3562" s="2"/>
    </row>
    <row r="3563" spans="4:11" x14ac:dyDescent="0.2">
      <c r="D3563" s="2"/>
      <c r="E3563" s="2"/>
      <c r="F3563" s="2"/>
      <c r="G3563" s="2"/>
      <c r="H3563" s="2"/>
      <c r="I3563" s="2"/>
      <c r="J3563" s="2"/>
      <c r="K3563" s="2"/>
    </row>
    <row r="3564" spans="4:11" x14ac:dyDescent="0.2">
      <c r="D3564" s="2"/>
      <c r="E3564" s="2"/>
      <c r="F3564" s="2"/>
      <c r="G3564" s="2"/>
      <c r="H3564" s="2"/>
      <c r="I3564" s="2"/>
      <c r="J3564" s="2"/>
      <c r="K3564" s="2"/>
    </row>
    <row r="3565" spans="4:11" x14ac:dyDescent="0.2">
      <c r="D3565" s="2"/>
      <c r="E3565" s="2"/>
      <c r="F3565" s="2"/>
      <c r="G3565" s="2"/>
      <c r="H3565" s="2"/>
      <c r="I3565" s="2"/>
      <c r="J3565" s="2"/>
      <c r="K3565" s="2"/>
    </row>
    <row r="3566" spans="4:11" x14ac:dyDescent="0.2">
      <c r="D3566" s="2"/>
      <c r="E3566" s="2"/>
      <c r="F3566" s="2"/>
      <c r="G3566" s="2"/>
      <c r="H3566" s="2"/>
      <c r="I3566" s="2"/>
      <c r="J3566" s="2"/>
      <c r="K3566" s="2"/>
    </row>
    <row r="3567" spans="4:11" x14ac:dyDescent="0.2">
      <c r="D3567" s="2"/>
      <c r="E3567" s="2"/>
      <c r="F3567" s="2"/>
      <c r="G3567" s="2"/>
      <c r="H3567" s="2"/>
      <c r="I3567" s="2"/>
      <c r="J3567" s="2"/>
      <c r="K3567" s="2"/>
    </row>
    <row r="3568" spans="4:11" x14ac:dyDescent="0.2">
      <c r="D3568" s="2"/>
      <c r="E3568" s="2"/>
      <c r="F3568" s="2"/>
      <c r="G3568" s="2"/>
      <c r="H3568" s="2"/>
      <c r="I3568" s="2"/>
      <c r="J3568" s="2"/>
      <c r="K3568" s="2"/>
    </row>
    <row r="3569" spans="4:11" x14ac:dyDescent="0.2">
      <c r="D3569" s="2"/>
      <c r="E3569" s="2"/>
      <c r="F3569" s="2"/>
      <c r="G3569" s="2"/>
      <c r="H3569" s="2"/>
      <c r="I3569" s="2"/>
      <c r="J3569" s="2"/>
      <c r="K3569" s="2"/>
    </row>
    <row r="3570" spans="4:11" x14ac:dyDescent="0.2">
      <c r="D3570" s="2"/>
      <c r="E3570" s="2"/>
      <c r="F3570" s="2"/>
      <c r="G3570" s="2"/>
      <c r="H3570" s="2"/>
      <c r="I3570" s="2"/>
      <c r="J3570" s="2"/>
      <c r="K3570" s="2"/>
    </row>
    <row r="3571" spans="4:11" x14ac:dyDescent="0.2">
      <c r="D3571" s="2"/>
      <c r="E3571" s="2"/>
      <c r="F3571" s="2"/>
      <c r="G3571" s="2"/>
      <c r="H3571" s="2"/>
      <c r="I3571" s="2"/>
      <c r="J3571" s="2"/>
      <c r="K3571" s="2"/>
    </row>
    <row r="3572" spans="4:11" x14ac:dyDescent="0.2">
      <c r="D3572" s="2"/>
      <c r="E3572" s="2"/>
      <c r="F3572" s="2"/>
      <c r="G3572" s="2"/>
      <c r="H3572" s="2"/>
      <c r="I3572" s="2"/>
      <c r="J3572" s="2"/>
      <c r="K3572" s="2"/>
    </row>
    <row r="3573" spans="4:11" x14ac:dyDescent="0.2">
      <c r="D3573" s="2"/>
      <c r="E3573" s="2"/>
      <c r="F3573" s="2"/>
      <c r="G3573" s="2"/>
      <c r="H3573" s="2"/>
      <c r="I3573" s="2"/>
      <c r="J3573" s="2"/>
      <c r="K3573" s="2"/>
    </row>
    <row r="3574" spans="4:11" x14ac:dyDescent="0.2">
      <c r="D3574" s="2"/>
      <c r="E3574" s="2"/>
      <c r="F3574" s="2"/>
      <c r="G3574" s="2"/>
      <c r="H3574" s="2"/>
      <c r="I3574" s="2"/>
      <c r="J3574" s="2"/>
      <c r="K3574" s="2"/>
    </row>
    <row r="3575" spans="4:11" x14ac:dyDescent="0.2">
      <c r="D3575" s="2"/>
      <c r="E3575" s="2"/>
      <c r="F3575" s="2"/>
      <c r="G3575" s="2"/>
      <c r="H3575" s="2"/>
      <c r="I3575" s="2"/>
      <c r="J3575" s="2"/>
      <c r="K3575" s="2"/>
    </row>
    <row r="3576" spans="4:11" x14ac:dyDescent="0.2">
      <c r="D3576" s="2"/>
      <c r="E3576" s="2"/>
      <c r="F3576" s="2"/>
      <c r="G3576" s="2"/>
      <c r="H3576" s="2"/>
      <c r="I3576" s="2"/>
      <c r="J3576" s="2"/>
      <c r="K3576" s="2"/>
    </row>
    <row r="3577" spans="4:11" x14ac:dyDescent="0.2">
      <c r="D3577" s="2"/>
      <c r="E3577" s="2"/>
      <c r="F3577" s="2"/>
      <c r="G3577" s="2"/>
      <c r="H3577" s="2"/>
      <c r="I3577" s="2"/>
      <c r="J3577" s="2"/>
      <c r="K3577" s="2"/>
    </row>
    <row r="3578" spans="4:11" x14ac:dyDescent="0.2">
      <c r="D3578" s="2"/>
      <c r="E3578" s="2"/>
      <c r="F3578" s="2"/>
      <c r="G3578" s="2"/>
      <c r="H3578" s="2"/>
      <c r="I3578" s="2"/>
      <c r="J3578" s="2"/>
      <c r="K3578" s="2"/>
    </row>
    <row r="3579" spans="4:11" x14ac:dyDescent="0.2">
      <c r="D3579" s="2"/>
      <c r="E3579" s="2"/>
      <c r="F3579" s="2"/>
      <c r="G3579" s="2"/>
      <c r="H3579" s="2"/>
      <c r="I3579" s="2"/>
      <c r="J3579" s="2"/>
      <c r="K3579" s="2"/>
    </row>
    <row r="3580" spans="4:11" x14ac:dyDescent="0.2">
      <c r="D3580" s="2"/>
      <c r="E3580" s="2"/>
      <c r="F3580" s="2"/>
      <c r="G3580" s="2"/>
      <c r="H3580" s="2"/>
      <c r="I3580" s="2"/>
      <c r="J3580" s="2"/>
      <c r="K3580" s="2"/>
    </row>
    <row r="3581" spans="4:11" x14ac:dyDescent="0.2">
      <c r="D3581" s="2"/>
      <c r="E3581" s="2"/>
      <c r="F3581" s="2"/>
      <c r="G3581" s="2"/>
      <c r="H3581" s="2"/>
      <c r="I3581" s="2"/>
      <c r="J3581" s="2"/>
      <c r="K3581" s="2"/>
    </row>
    <row r="3582" spans="4:11" x14ac:dyDescent="0.2">
      <c r="D3582" s="2"/>
      <c r="E3582" s="2"/>
      <c r="F3582" s="2"/>
      <c r="G3582" s="2"/>
      <c r="H3582" s="2"/>
      <c r="I3582" s="2"/>
      <c r="J3582" s="2"/>
      <c r="K3582" s="2"/>
    </row>
    <row r="3583" spans="4:11" x14ac:dyDescent="0.2">
      <c r="D3583" s="2"/>
      <c r="E3583" s="2"/>
      <c r="F3583" s="2"/>
      <c r="G3583" s="2"/>
      <c r="H3583" s="2"/>
      <c r="I3583" s="2"/>
      <c r="J3583" s="2"/>
      <c r="K3583" s="2"/>
    </row>
    <row r="3584" spans="4:11" x14ac:dyDescent="0.2">
      <c r="D3584" s="2"/>
      <c r="E3584" s="2"/>
      <c r="F3584" s="2"/>
      <c r="G3584" s="2"/>
      <c r="H3584" s="2"/>
      <c r="I3584" s="2"/>
      <c r="J3584" s="2"/>
      <c r="K3584" s="2"/>
    </row>
    <row r="3585" spans="4:11" x14ac:dyDescent="0.2">
      <c r="D3585" s="2"/>
      <c r="E3585" s="2"/>
      <c r="F3585" s="2"/>
      <c r="G3585" s="2"/>
      <c r="H3585" s="2"/>
      <c r="I3585" s="2"/>
      <c r="J3585" s="2"/>
      <c r="K3585" s="2"/>
    </row>
    <row r="3586" spans="4:11" x14ac:dyDescent="0.2">
      <c r="D3586" s="2"/>
      <c r="E3586" s="2"/>
      <c r="F3586" s="2"/>
      <c r="G3586" s="2"/>
      <c r="H3586" s="2"/>
      <c r="I3586" s="2"/>
      <c r="J3586" s="2"/>
      <c r="K3586" s="2"/>
    </row>
    <row r="3587" spans="4:11" x14ac:dyDescent="0.2">
      <c r="D3587" s="2"/>
      <c r="E3587" s="2"/>
      <c r="F3587" s="2"/>
      <c r="G3587" s="2"/>
      <c r="H3587" s="2"/>
      <c r="I3587" s="2"/>
      <c r="J3587" s="2"/>
      <c r="K3587" s="2"/>
    </row>
    <row r="3588" spans="4:11" x14ac:dyDescent="0.2">
      <c r="D3588" s="2"/>
      <c r="E3588" s="2"/>
      <c r="F3588" s="2"/>
      <c r="G3588" s="2"/>
      <c r="H3588" s="2"/>
      <c r="I3588" s="2"/>
      <c r="J3588" s="2"/>
      <c r="K3588" s="2"/>
    </row>
    <row r="3589" spans="4:11" x14ac:dyDescent="0.2">
      <c r="D3589" s="2"/>
      <c r="E3589" s="2"/>
      <c r="F3589" s="2"/>
      <c r="G3589" s="2"/>
      <c r="H3589" s="2"/>
      <c r="I3589" s="2"/>
      <c r="J3589" s="2"/>
      <c r="K3589" s="2"/>
    </row>
    <row r="3590" spans="4:11" x14ac:dyDescent="0.2">
      <c r="D3590" s="2"/>
      <c r="E3590" s="2"/>
      <c r="F3590" s="2"/>
      <c r="G3590" s="2"/>
      <c r="H3590" s="2"/>
      <c r="I3590" s="2"/>
      <c r="J3590" s="2"/>
      <c r="K3590" s="2"/>
    </row>
    <row r="3591" spans="4:11" x14ac:dyDescent="0.2">
      <c r="D3591" s="2"/>
      <c r="E3591" s="2"/>
      <c r="F3591" s="2"/>
      <c r="G3591" s="2"/>
      <c r="H3591" s="2"/>
      <c r="I3591" s="2"/>
      <c r="J3591" s="2"/>
      <c r="K3591" s="2"/>
    </row>
    <row r="3592" spans="4:11" x14ac:dyDescent="0.2">
      <c r="D3592" s="2"/>
      <c r="E3592" s="2"/>
      <c r="F3592" s="2"/>
      <c r="G3592" s="2"/>
      <c r="H3592" s="2"/>
      <c r="I3592" s="2"/>
      <c r="J3592" s="2"/>
      <c r="K3592" s="2"/>
    </row>
    <row r="3593" spans="4:11" x14ac:dyDescent="0.2">
      <c r="D3593" s="2"/>
      <c r="E3593" s="2"/>
      <c r="F3593" s="2"/>
      <c r="G3593" s="2"/>
      <c r="H3593" s="2"/>
      <c r="I3593" s="2"/>
      <c r="J3593" s="2"/>
      <c r="K3593" s="2"/>
    </row>
    <row r="3594" spans="4:11" x14ac:dyDescent="0.2">
      <c r="D3594" s="2"/>
      <c r="E3594" s="2"/>
      <c r="F3594" s="2"/>
      <c r="G3594" s="2"/>
      <c r="H3594" s="2"/>
      <c r="I3594" s="2"/>
      <c r="J3594" s="2"/>
      <c r="K3594" s="2"/>
    </row>
    <row r="3595" spans="4:11" x14ac:dyDescent="0.2">
      <c r="D3595" s="2"/>
      <c r="E3595" s="2"/>
      <c r="F3595" s="2"/>
      <c r="G3595" s="2"/>
      <c r="H3595" s="2"/>
      <c r="I3595" s="2"/>
      <c r="J3595" s="2"/>
      <c r="K3595" s="2"/>
    </row>
    <row r="3596" spans="4:11" x14ac:dyDescent="0.2">
      <c r="D3596" s="2"/>
      <c r="E3596" s="2"/>
      <c r="F3596" s="2"/>
      <c r="G3596" s="2"/>
      <c r="H3596" s="2"/>
      <c r="I3596" s="2"/>
      <c r="J3596" s="2"/>
      <c r="K3596" s="2"/>
    </row>
    <row r="3597" spans="4:11" x14ac:dyDescent="0.2">
      <c r="D3597" s="2"/>
      <c r="E3597" s="2"/>
      <c r="F3597" s="2"/>
      <c r="G3597" s="2"/>
      <c r="H3597" s="2"/>
      <c r="I3597" s="2"/>
      <c r="J3597" s="2"/>
      <c r="K3597" s="2"/>
    </row>
    <row r="3598" spans="4:11" x14ac:dyDescent="0.2">
      <c r="D3598" s="2"/>
      <c r="E3598" s="2"/>
      <c r="F3598" s="2"/>
      <c r="G3598" s="2"/>
      <c r="H3598" s="2"/>
      <c r="I3598" s="2"/>
      <c r="J3598" s="2"/>
      <c r="K3598" s="2"/>
    </row>
    <row r="3599" spans="4:11" x14ac:dyDescent="0.2">
      <c r="D3599" s="2"/>
      <c r="E3599" s="2"/>
      <c r="F3599" s="2"/>
      <c r="G3599" s="2"/>
      <c r="H3599" s="2"/>
      <c r="I3599" s="2"/>
      <c r="J3599" s="2"/>
      <c r="K3599" s="2"/>
    </row>
    <row r="3600" spans="4:11" x14ac:dyDescent="0.2">
      <c r="D3600" s="2"/>
      <c r="E3600" s="2"/>
      <c r="F3600" s="2"/>
      <c r="G3600" s="2"/>
      <c r="H3600" s="2"/>
      <c r="I3600" s="2"/>
      <c r="J3600" s="2"/>
      <c r="K3600" s="2"/>
    </row>
    <row r="3601" spans="4:11" x14ac:dyDescent="0.2">
      <c r="D3601" s="2"/>
      <c r="E3601" s="2"/>
      <c r="F3601" s="2"/>
      <c r="G3601" s="2"/>
      <c r="H3601" s="2"/>
      <c r="I3601" s="2"/>
      <c r="J3601" s="2"/>
      <c r="K3601" s="2"/>
    </row>
    <row r="3602" spans="4:11" x14ac:dyDescent="0.2">
      <c r="D3602" s="2"/>
      <c r="E3602" s="2"/>
      <c r="F3602" s="2"/>
      <c r="G3602" s="2"/>
      <c r="H3602" s="2"/>
      <c r="I3602" s="2"/>
      <c r="J3602" s="2"/>
      <c r="K3602" s="2"/>
    </row>
    <row r="3603" spans="4:11" x14ac:dyDescent="0.2">
      <c r="D3603" s="2"/>
      <c r="E3603" s="2"/>
      <c r="F3603" s="2"/>
      <c r="G3603" s="2"/>
      <c r="H3603" s="2"/>
      <c r="I3603" s="2"/>
      <c r="J3603" s="2"/>
      <c r="K3603" s="2"/>
    </row>
    <row r="3604" spans="4:11" x14ac:dyDescent="0.2">
      <c r="D3604" s="2"/>
      <c r="E3604" s="2"/>
      <c r="F3604" s="2"/>
      <c r="G3604" s="2"/>
      <c r="H3604" s="2"/>
      <c r="I3604" s="2"/>
      <c r="J3604" s="2"/>
      <c r="K3604" s="2"/>
    </row>
    <row r="3605" spans="4:11" x14ac:dyDescent="0.2">
      <c r="D3605" s="2"/>
      <c r="E3605" s="2"/>
      <c r="F3605" s="2"/>
      <c r="G3605" s="2"/>
      <c r="H3605" s="2"/>
      <c r="I3605" s="2"/>
      <c r="J3605" s="2"/>
      <c r="K3605" s="2"/>
    </row>
    <row r="3606" spans="4:11" x14ac:dyDescent="0.2">
      <c r="D3606" s="2"/>
      <c r="E3606" s="2"/>
      <c r="F3606" s="2"/>
      <c r="G3606" s="2"/>
      <c r="H3606" s="2"/>
      <c r="I3606" s="2"/>
      <c r="J3606" s="2"/>
      <c r="K3606" s="2"/>
    </row>
    <row r="3607" spans="4:11" x14ac:dyDescent="0.2">
      <c r="D3607" s="2"/>
      <c r="E3607" s="2"/>
      <c r="F3607" s="2"/>
      <c r="G3607" s="2"/>
      <c r="H3607" s="2"/>
      <c r="I3607" s="2"/>
      <c r="J3607" s="2"/>
      <c r="K3607" s="2"/>
    </row>
    <row r="3608" spans="4:11" x14ac:dyDescent="0.2">
      <c r="D3608" s="2"/>
      <c r="E3608" s="2"/>
      <c r="F3608" s="2"/>
      <c r="G3608" s="2"/>
      <c r="H3608" s="2"/>
      <c r="I3608" s="2"/>
      <c r="J3608" s="2"/>
      <c r="K3608" s="2"/>
    </row>
    <row r="3609" spans="4:11" x14ac:dyDescent="0.2">
      <c r="D3609" s="2"/>
      <c r="E3609" s="2"/>
      <c r="F3609" s="2"/>
      <c r="G3609" s="2"/>
      <c r="H3609" s="2"/>
      <c r="I3609" s="2"/>
      <c r="J3609" s="2"/>
      <c r="K3609" s="2"/>
    </row>
    <row r="3610" spans="4:11" x14ac:dyDescent="0.2">
      <c r="D3610" s="2"/>
      <c r="E3610" s="2"/>
      <c r="F3610" s="2"/>
      <c r="G3610" s="2"/>
      <c r="H3610" s="2"/>
      <c r="I3610" s="2"/>
      <c r="J3610" s="2"/>
      <c r="K3610" s="2"/>
    </row>
    <row r="3611" spans="4:11" x14ac:dyDescent="0.2">
      <c r="D3611" s="2"/>
      <c r="E3611" s="2"/>
      <c r="F3611" s="2"/>
      <c r="G3611" s="2"/>
      <c r="H3611" s="2"/>
      <c r="I3611" s="2"/>
      <c r="J3611" s="2"/>
      <c r="K3611" s="2"/>
    </row>
    <row r="3612" spans="4:11" x14ac:dyDescent="0.2">
      <c r="D3612" s="2"/>
      <c r="E3612" s="2"/>
      <c r="F3612" s="2"/>
      <c r="G3612" s="2"/>
      <c r="H3612" s="2"/>
      <c r="I3612" s="2"/>
      <c r="J3612" s="2"/>
      <c r="K3612" s="2"/>
    </row>
    <row r="3613" spans="4:11" x14ac:dyDescent="0.2">
      <c r="D3613" s="2"/>
      <c r="E3613" s="2"/>
      <c r="F3613" s="2"/>
      <c r="G3613" s="2"/>
      <c r="H3613" s="2"/>
      <c r="I3613" s="2"/>
      <c r="J3613" s="2"/>
      <c r="K3613" s="2"/>
    </row>
    <row r="3614" spans="4:11" x14ac:dyDescent="0.2">
      <c r="D3614" s="2"/>
      <c r="E3614" s="2"/>
      <c r="F3614" s="2"/>
      <c r="G3614" s="2"/>
      <c r="H3614" s="2"/>
      <c r="I3614" s="2"/>
      <c r="J3614" s="2"/>
      <c r="K3614" s="2"/>
    </row>
    <row r="3615" spans="4:11" x14ac:dyDescent="0.2">
      <c r="D3615" s="2"/>
      <c r="E3615" s="2"/>
      <c r="F3615" s="2"/>
      <c r="G3615" s="2"/>
      <c r="H3615" s="2"/>
      <c r="I3615" s="2"/>
      <c r="J3615" s="2"/>
      <c r="K3615" s="2"/>
    </row>
    <row r="3616" spans="4:11" x14ac:dyDescent="0.2">
      <c r="D3616" s="2"/>
      <c r="E3616" s="2"/>
      <c r="F3616" s="2"/>
      <c r="G3616" s="2"/>
      <c r="H3616" s="2"/>
      <c r="I3616" s="2"/>
      <c r="J3616" s="2"/>
      <c r="K3616" s="2"/>
    </row>
    <row r="3617" spans="4:11" x14ac:dyDescent="0.2">
      <c r="D3617" s="2"/>
      <c r="E3617" s="2"/>
      <c r="F3617" s="2"/>
      <c r="G3617" s="2"/>
      <c r="H3617" s="2"/>
      <c r="I3617" s="2"/>
      <c r="J3617" s="2"/>
      <c r="K3617" s="2"/>
    </row>
    <row r="3618" spans="4:11" x14ac:dyDescent="0.2">
      <c r="D3618" s="2"/>
      <c r="E3618" s="2"/>
      <c r="F3618" s="2"/>
      <c r="G3618" s="2"/>
      <c r="H3618" s="2"/>
      <c r="I3618" s="2"/>
      <c r="J3618" s="2"/>
      <c r="K3618" s="2"/>
    </row>
    <row r="3619" spans="4:11" x14ac:dyDescent="0.2">
      <c r="D3619" s="2"/>
      <c r="E3619" s="2"/>
      <c r="F3619" s="2"/>
      <c r="G3619" s="2"/>
      <c r="H3619" s="2"/>
      <c r="I3619" s="2"/>
      <c r="J3619" s="2"/>
      <c r="K3619" s="2"/>
    </row>
    <row r="3620" spans="4:11" x14ac:dyDescent="0.2">
      <c r="D3620" s="2"/>
      <c r="E3620" s="2"/>
      <c r="F3620" s="2"/>
      <c r="G3620" s="2"/>
      <c r="H3620" s="2"/>
      <c r="I3620" s="2"/>
      <c r="J3620" s="2"/>
      <c r="K3620" s="2"/>
    </row>
    <row r="3621" spans="4:11" x14ac:dyDescent="0.2">
      <c r="D3621" s="2"/>
      <c r="E3621" s="2"/>
      <c r="F3621" s="2"/>
      <c r="G3621" s="2"/>
      <c r="H3621" s="2"/>
      <c r="I3621" s="2"/>
      <c r="J3621" s="2"/>
      <c r="K3621" s="2"/>
    </row>
    <row r="3622" spans="4:11" x14ac:dyDescent="0.2">
      <c r="D3622" s="2"/>
      <c r="E3622" s="2"/>
      <c r="F3622" s="2"/>
      <c r="G3622" s="2"/>
      <c r="H3622" s="2"/>
      <c r="I3622" s="2"/>
      <c r="J3622" s="2"/>
      <c r="K3622" s="2"/>
    </row>
    <row r="3623" spans="4:11" x14ac:dyDescent="0.2">
      <c r="D3623" s="2"/>
      <c r="E3623" s="2"/>
      <c r="F3623" s="2"/>
      <c r="G3623" s="2"/>
      <c r="H3623" s="2"/>
      <c r="I3623" s="2"/>
      <c r="J3623" s="2"/>
      <c r="K3623" s="2"/>
    </row>
    <row r="3624" spans="4:11" x14ac:dyDescent="0.2">
      <c r="D3624" s="2"/>
      <c r="E3624" s="2"/>
      <c r="F3624" s="2"/>
      <c r="G3624" s="2"/>
      <c r="H3624" s="2"/>
      <c r="I3624" s="2"/>
      <c r="J3624" s="2"/>
      <c r="K3624" s="2"/>
    </row>
    <row r="3625" spans="4:11" x14ac:dyDescent="0.2">
      <c r="D3625" s="2"/>
      <c r="E3625" s="2"/>
      <c r="F3625" s="2"/>
      <c r="G3625" s="2"/>
      <c r="H3625" s="2"/>
      <c r="I3625" s="2"/>
      <c r="J3625" s="2"/>
      <c r="K3625" s="2"/>
    </row>
    <row r="3626" spans="4:11" x14ac:dyDescent="0.2">
      <c r="D3626" s="2"/>
      <c r="E3626" s="2"/>
      <c r="F3626" s="2"/>
      <c r="G3626" s="2"/>
      <c r="H3626" s="2"/>
      <c r="I3626" s="2"/>
      <c r="J3626" s="2"/>
      <c r="K3626" s="2"/>
    </row>
    <row r="3627" spans="4:11" x14ac:dyDescent="0.2">
      <c r="D3627" s="2"/>
      <c r="E3627" s="2"/>
      <c r="F3627" s="2"/>
      <c r="G3627" s="2"/>
      <c r="H3627" s="2"/>
      <c r="I3627" s="2"/>
      <c r="J3627" s="2"/>
      <c r="K3627" s="2"/>
    </row>
    <row r="3628" spans="4:11" x14ac:dyDescent="0.2">
      <c r="D3628" s="2"/>
      <c r="E3628" s="2"/>
      <c r="F3628" s="2"/>
      <c r="G3628" s="2"/>
      <c r="H3628" s="2"/>
      <c r="I3628" s="2"/>
      <c r="J3628" s="2"/>
      <c r="K3628" s="2"/>
    </row>
    <row r="3629" spans="4:11" x14ac:dyDescent="0.2">
      <c r="D3629" s="2"/>
      <c r="E3629" s="2"/>
      <c r="F3629" s="2"/>
      <c r="G3629" s="2"/>
      <c r="H3629" s="2"/>
      <c r="I3629" s="2"/>
      <c r="J3629" s="2"/>
      <c r="K3629" s="2"/>
    </row>
    <row r="3630" spans="4:11" x14ac:dyDescent="0.2">
      <c r="D3630" s="2"/>
      <c r="E3630" s="2"/>
      <c r="F3630" s="2"/>
      <c r="G3630" s="2"/>
      <c r="H3630" s="2"/>
      <c r="I3630" s="2"/>
      <c r="J3630" s="2"/>
      <c r="K3630" s="2"/>
    </row>
    <row r="3631" spans="4:11" x14ac:dyDescent="0.2">
      <c r="D3631" s="2"/>
      <c r="E3631" s="2"/>
      <c r="F3631" s="2"/>
      <c r="G3631" s="2"/>
      <c r="H3631" s="2"/>
      <c r="I3631" s="2"/>
      <c r="J3631" s="2"/>
      <c r="K3631" s="2"/>
    </row>
    <row r="3632" spans="4:11" x14ac:dyDescent="0.2">
      <c r="D3632" s="2"/>
      <c r="E3632" s="2"/>
      <c r="F3632" s="2"/>
      <c r="G3632" s="2"/>
      <c r="H3632" s="2"/>
      <c r="I3632" s="2"/>
      <c r="J3632" s="2"/>
      <c r="K3632" s="2"/>
    </row>
    <row r="3633" spans="4:11" x14ac:dyDescent="0.2">
      <c r="D3633" s="2"/>
      <c r="E3633" s="2"/>
      <c r="F3633" s="2"/>
      <c r="G3633" s="2"/>
      <c r="H3633" s="2"/>
      <c r="I3633" s="2"/>
      <c r="J3633" s="2"/>
      <c r="K3633" s="2"/>
    </row>
    <row r="3634" spans="4:11" x14ac:dyDescent="0.2">
      <c r="D3634" s="2"/>
      <c r="E3634" s="2"/>
      <c r="F3634" s="2"/>
      <c r="G3634" s="2"/>
      <c r="H3634" s="2"/>
      <c r="I3634" s="2"/>
      <c r="J3634" s="2"/>
      <c r="K3634" s="2"/>
    </row>
    <row r="3635" spans="4:11" x14ac:dyDescent="0.2">
      <c r="D3635" s="2"/>
      <c r="E3635" s="2"/>
      <c r="F3635" s="2"/>
      <c r="G3635" s="2"/>
      <c r="H3635" s="2"/>
      <c r="I3635" s="2"/>
      <c r="J3635" s="2"/>
      <c r="K3635" s="2"/>
    </row>
    <row r="3636" spans="4:11" x14ac:dyDescent="0.2">
      <c r="D3636" s="2"/>
      <c r="E3636" s="2"/>
      <c r="F3636" s="2"/>
      <c r="G3636" s="2"/>
      <c r="H3636" s="2"/>
      <c r="I3636" s="2"/>
      <c r="J3636" s="2"/>
      <c r="K3636" s="2"/>
    </row>
    <row r="3637" spans="4:11" x14ac:dyDescent="0.2">
      <c r="D3637" s="2"/>
      <c r="E3637" s="2"/>
      <c r="F3637" s="2"/>
      <c r="G3637" s="2"/>
      <c r="H3637" s="2"/>
      <c r="I3637" s="2"/>
      <c r="J3637" s="2"/>
      <c r="K3637" s="2"/>
    </row>
    <row r="3638" spans="4:11" x14ac:dyDescent="0.2">
      <c r="D3638" s="2"/>
      <c r="E3638" s="2"/>
      <c r="F3638" s="2"/>
      <c r="G3638" s="2"/>
      <c r="H3638" s="2"/>
      <c r="I3638" s="2"/>
      <c r="J3638" s="2"/>
      <c r="K3638" s="2"/>
    </row>
    <row r="3639" spans="4:11" x14ac:dyDescent="0.2">
      <c r="D3639" s="2"/>
      <c r="E3639" s="2"/>
      <c r="F3639" s="2"/>
      <c r="G3639" s="2"/>
      <c r="H3639" s="2"/>
      <c r="I3639" s="2"/>
      <c r="J3639" s="2"/>
      <c r="K3639" s="2"/>
    </row>
    <row r="3640" spans="4:11" x14ac:dyDescent="0.2">
      <c r="D3640" s="2"/>
      <c r="E3640" s="2"/>
      <c r="F3640" s="2"/>
      <c r="G3640" s="2"/>
      <c r="H3640" s="2"/>
      <c r="I3640" s="2"/>
      <c r="J3640" s="2"/>
      <c r="K3640" s="2"/>
    </row>
    <row r="3641" spans="4:11" x14ac:dyDescent="0.2">
      <c r="D3641" s="2"/>
      <c r="E3641" s="2"/>
      <c r="F3641" s="2"/>
      <c r="G3641" s="2"/>
      <c r="H3641" s="2"/>
      <c r="I3641" s="2"/>
      <c r="J3641" s="2"/>
      <c r="K3641" s="2"/>
    </row>
    <row r="3642" spans="4:11" x14ac:dyDescent="0.2">
      <c r="D3642" s="2"/>
      <c r="E3642" s="2"/>
      <c r="F3642" s="2"/>
      <c r="G3642" s="2"/>
      <c r="H3642" s="2"/>
      <c r="I3642" s="2"/>
      <c r="J3642" s="2"/>
      <c r="K3642" s="2"/>
    </row>
    <row r="3643" spans="4:11" x14ac:dyDescent="0.2">
      <c r="D3643" s="2"/>
      <c r="E3643" s="2"/>
      <c r="F3643" s="2"/>
      <c r="G3643" s="2"/>
      <c r="H3643" s="2"/>
      <c r="I3643" s="2"/>
      <c r="J3643" s="2"/>
      <c r="K3643" s="2"/>
    </row>
    <row r="3644" spans="4:11" x14ac:dyDescent="0.2">
      <c r="D3644" s="2"/>
      <c r="E3644" s="2"/>
      <c r="F3644" s="2"/>
      <c r="G3644" s="2"/>
      <c r="H3644" s="2"/>
      <c r="I3644" s="2"/>
      <c r="J3644" s="2"/>
      <c r="K3644" s="2"/>
    </row>
    <row r="3645" spans="4:11" x14ac:dyDescent="0.2">
      <c r="D3645" s="2"/>
      <c r="E3645" s="2"/>
      <c r="F3645" s="2"/>
      <c r="G3645" s="2"/>
      <c r="H3645" s="2"/>
      <c r="I3645" s="2"/>
      <c r="J3645" s="2"/>
      <c r="K3645" s="2"/>
    </row>
    <row r="3646" spans="4:11" x14ac:dyDescent="0.2">
      <c r="D3646" s="2"/>
      <c r="E3646" s="2"/>
      <c r="F3646" s="2"/>
      <c r="G3646" s="2"/>
      <c r="H3646" s="2"/>
      <c r="I3646" s="2"/>
      <c r="J3646" s="2"/>
      <c r="K3646" s="2"/>
    </row>
    <row r="3647" spans="4:11" x14ac:dyDescent="0.2">
      <c r="D3647" s="2"/>
      <c r="E3647" s="2"/>
      <c r="F3647" s="2"/>
      <c r="G3647" s="2"/>
      <c r="H3647" s="2"/>
      <c r="I3647" s="2"/>
      <c r="J3647" s="2"/>
      <c r="K3647" s="2"/>
    </row>
    <row r="3648" spans="4:11" x14ac:dyDescent="0.2">
      <c r="D3648" s="2"/>
      <c r="E3648" s="2"/>
      <c r="F3648" s="2"/>
      <c r="G3648" s="2"/>
      <c r="H3648" s="2"/>
      <c r="I3648" s="2"/>
      <c r="J3648" s="2"/>
      <c r="K3648" s="2"/>
    </row>
    <row r="3649" spans="4:11" x14ac:dyDescent="0.2">
      <c r="D3649" s="2"/>
      <c r="E3649" s="2"/>
      <c r="F3649" s="2"/>
      <c r="G3649" s="2"/>
      <c r="H3649" s="2"/>
      <c r="I3649" s="2"/>
      <c r="J3649" s="2"/>
      <c r="K3649" s="2"/>
    </row>
    <row r="3650" spans="4:11" x14ac:dyDescent="0.2">
      <c r="D3650" s="2"/>
      <c r="E3650" s="2"/>
      <c r="F3650" s="2"/>
      <c r="G3650" s="2"/>
      <c r="H3650" s="2"/>
      <c r="I3650" s="2"/>
      <c r="J3650" s="2"/>
      <c r="K3650" s="2"/>
    </row>
    <row r="3651" spans="4:11" x14ac:dyDescent="0.2">
      <c r="D3651" s="2"/>
      <c r="E3651" s="2"/>
      <c r="F3651" s="2"/>
      <c r="G3651" s="2"/>
      <c r="H3651" s="2"/>
      <c r="I3651" s="2"/>
      <c r="J3651" s="2"/>
      <c r="K3651" s="2"/>
    </row>
    <row r="3652" spans="4:11" x14ac:dyDescent="0.2">
      <c r="D3652" s="2"/>
      <c r="E3652" s="2"/>
      <c r="F3652" s="2"/>
      <c r="G3652" s="2"/>
      <c r="H3652" s="2"/>
      <c r="I3652" s="2"/>
      <c r="J3652" s="2"/>
      <c r="K3652" s="2"/>
    </row>
    <row r="3653" spans="4:11" x14ac:dyDescent="0.2">
      <c r="D3653" s="2"/>
      <c r="E3653" s="2"/>
      <c r="F3653" s="2"/>
      <c r="G3653" s="2"/>
      <c r="H3653" s="2"/>
      <c r="I3653" s="2"/>
      <c r="J3653" s="2"/>
      <c r="K3653" s="2"/>
    </row>
    <row r="3654" spans="4:11" x14ac:dyDescent="0.2">
      <c r="D3654" s="2"/>
      <c r="E3654" s="2"/>
      <c r="F3654" s="2"/>
      <c r="G3654" s="2"/>
      <c r="H3654" s="2"/>
      <c r="I3654" s="2"/>
      <c r="J3654" s="2"/>
      <c r="K3654" s="2"/>
    </row>
    <row r="3655" spans="4:11" x14ac:dyDescent="0.2">
      <c r="D3655" s="2"/>
      <c r="E3655" s="2"/>
      <c r="F3655" s="2"/>
      <c r="G3655" s="2"/>
      <c r="H3655" s="2"/>
      <c r="I3655" s="2"/>
      <c r="J3655" s="2"/>
      <c r="K3655" s="2"/>
    </row>
    <row r="3656" spans="4:11" x14ac:dyDescent="0.2">
      <c r="D3656" s="2"/>
      <c r="E3656" s="2"/>
      <c r="F3656" s="2"/>
      <c r="G3656" s="2"/>
      <c r="H3656" s="2"/>
      <c r="I3656" s="2"/>
      <c r="J3656" s="2"/>
      <c r="K3656" s="2"/>
    </row>
    <row r="3657" spans="4:11" x14ac:dyDescent="0.2">
      <c r="D3657" s="2"/>
      <c r="E3657" s="2"/>
      <c r="F3657" s="2"/>
      <c r="G3657" s="2"/>
      <c r="H3657" s="2"/>
      <c r="I3657" s="2"/>
      <c r="J3657" s="2"/>
      <c r="K3657" s="2"/>
    </row>
    <row r="3658" spans="4:11" x14ac:dyDescent="0.2">
      <c r="D3658" s="2"/>
      <c r="E3658" s="2"/>
      <c r="F3658" s="2"/>
      <c r="G3658" s="2"/>
      <c r="H3658" s="2"/>
      <c r="I3658" s="2"/>
      <c r="J3658" s="2"/>
      <c r="K3658" s="2"/>
    </row>
    <row r="3659" spans="4:11" x14ac:dyDescent="0.2">
      <c r="D3659" s="2"/>
      <c r="E3659" s="2"/>
      <c r="F3659" s="2"/>
      <c r="G3659" s="2"/>
      <c r="H3659" s="2"/>
      <c r="I3659" s="2"/>
      <c r="J3659" s="2"/>
      <c r="K3659" s="2"/>
    </row>
    <row r="3660" spans="4:11" x14ac:dyDescent="0.2">
      <c r="D3660" s="2"/>
      <c r="E3660" s="2"/>
      <c r="F3660" s="2"/>
      <c r="G3660" s="2"/>
      <c r="H3660" s="2"/>
      <c r="I3660" s="2"/>
      <c r="J3660" s="2"/>
      <c r="K3660" s="2"/>
    </row>
    <row r="3661" spans="4:11" x14ac:dyDescent="0.2">
      <c r="D3661" s="2"/>
      <c r="E3661" s="2"/>
      <c r="F3661" s="2"/>
      <c r="G3661" s="2"/>
      <c r="H3661" s="2"/>
      <c r="I3661" s="2"/>
      <c r="J3661" s="2"/>
      <c r="K3661" s="2"/>
    </row>
    <row r="3662" spans="4:11" x14ac:dyDescent="0.2">
      <c r="D3662" s="2"/>
      <c r="E3662" s="2"/>
      <c r="F3662" s="2"/>
      <c r="G3662" s="2"/>
      <c r="H3662" s="2"/>
      <c r="I3662" s="2"/>
      <c r="J3662" s="2"/>
      <c r="K3662" s="2"/>
    </row>
    <row r="3663" spans="4:11" x14ac:dyDescent="0.2">
      <c r="D3663" s="2"/>
      <c r="E3663" s="2"/>
      <c r="F3663" s="2"/>
      <c r="G3663" s="2"/>
      <c r="H3663" s="2"/>
      <c r="I3663" s="2"/>
      <c r="J3663" s="2"/>
      <c r="K3663" s="2"/>
    </row>
    <row r="3664" spans="4:11" x14ac:dyDescent="0.2">
      <c r="D3664" s="2"/>
      <c r="E3664" s="2"/>
      <c r="F3664" s="2"/>
      <c r="G3664" s="2"/>
      <c r="H3664" s="2"/>
      <c r="I3664" s="2"/>
      <c r="J3664" s="2"/>
      <c r="K3664" s="2"/>
    </row>
    <row r="3665" spans="4:11" x14ac:dyDescent="0.2">
      <c r="D3665" s="2"/>
      <c r="E3665" s="2"/>
      <c r="F3665" s="2"/>
      <c r="G3665" s="2"/>
      <c r="H3665" s="2"/>
      <c r="I3665" s="2"/>
      <c r="J3665" s="2"/>
      <c r="K3665" s="2"/>
    </row>
    <row r="3666" spans="4:11" x14ac:dyDescent="0.2">
      <c r="D3666" s="2"/>
      <c r="E3666" s="2"/>
      <c r="F3666" s="2"/>
      <c r="G3666" s="2"/>
      <c r="H3666" s="2"/>
      <c r="I3666" s="2"/>
      <c r="J3666" s="2"/>
      <c r="K3666" s="2"/>
    </row>
    <row r="3667" spans="4:11" x14ac:dyDescent="0.2">
      <c r="D3667" s="2"/>
      <c r="E3667" s="2"/>
      <c r="F3667" s="2"/>
      <c r="G3667" s="2"/>
      <c r="H3667" s="2"/>
      <c r="I3667" s="2"/>
      <c r="J3667" s="2"/>
      <c r="K3667" s="2"/>
    </row>
    <row r="3668" spans="4:11" x14ac:dyDescent="0.2">
      <c r="D3668" s="2"/>
      <c r="E3668" s="2"/>
      <c r="F3668" s="2"/>
      <c r="G3668" s="2"/>
      <c r="H3668" s="2"/>
      <c r="I3668" s="2"/>
      <c r="J3668" s="2"/>
      <c r="K3668" s="2"/>
    </row>
    <row r="3669" spans="4:11" x14ac:dyDescent="0.2">
      <c r="D3669" s="2"/>
      <c r="E3669" s="2"/>
      <c r="F3669" s="2"/>
      <c r="G3669" s="2"/>
      <c r="H3669" s="2"/>
      <c r="I3669" s="2"/>
      <c r="J3669" s="2"/>
      <c r="K3669" s="2"/>
    </row>
    <row r="3670" spans="4:11" x14ac:dyDescent="0.2">
      <c r="D3670" s="2"/>
      <c r="E3670" s="2"/>
      <c r="F3670" s="2"/>
      <c r="G3670" s="2"/>
      <c r="H3670" s="2"/>
      <c r="I3670" s="2"/>
      <c r="J3670" s="2"/>
      <c r="K3670" s="2"/>
    </row>
    <row r="3671" spans="4:11" x14ac:dyDescent="0.2">
      <c r="D3671" s="2"/>
      <c r="E3671" s="2"/>
      <c r="F3671" s="2"/>
      <c r="G3671" s="2"/>
      <c r="H3671" s="2"/>
      <c r="I3671" s="2"/>
      <c r="J3671" s="2"/>
      <c r="K3671" s="2"/>
    </row>
    <row r="3672" spans="4:11" x14ac:dyDescent="0.2">
      <c r="D3672" s="2"/>
      <c r="E3672" s="2"/>
      <c r="F3672" s="2"/>
      <c r="G3672" s="2"/>
      <c r="H3672" s="2"/>
      <c r="I3672" s="2"/>
      <c r="J3672" s="2"/>
      <c r="K3672" s="2"/>
    </row>
    <row r="3673" spans="4:11" x14ac:dyDescent="0.2">
      <c r="D3673" s="2"/>
      <c r="E3673" s="2"/>
      <c r="F3673" s="2"/>
      <c r="G3673" s="2"/>
      <c r="H3673" s="2"/>
      <c r="I3673" s="2"/>
      <c r="J3673" s="2"/>
      <c r="K3673" s="2"/>
    </row>
    <row r="3674" spans="4:11" x14ac:dyDescent="0.2">
      <c r="D3674" s="2"/>
      <c r="E3674" s="2"/>
      <c r="F3674" s="2"/>
      <c r="G3674" s="2"/>
      <c r="H3674" s="2"/>
      <c r="I3674" s="2"/>
      <c r="J3674" s="2"/>
      <c r="K3674" s="2"/>
    </row>
    <row r="3675" spans="4:11" x14ac:dyDescent="0.2">
      <c r="D3675" s="2"/>
      <c r="E3675" s="2"/>
      <c r="F3675" s="2"/>
      <c r="G3675" s="2"/>
      <c r="H3675" s="2"/>
      <c r="I3675" s="2"/>
      <c r="J3675" s="2"/>
      <c r="K3675" s="2"/>
    </row>
    <row r="3676" spans="4:11" x14ac:dyDescent="0.2">
      <c r="D3676" s="2"/>
      <c r="E3676" s="2"/>
      <c r="F3676" s="2"/>
      <c r="G3676" s="2"/>
      <c r="H3676" s="2"/>
      <c r="I3676" s="2"/>
      <c r="J3676" s="2"/>
      <c r="K3676" s="2"/>
    </row>
    <row r="3677" spans="4:11" x14ac:dyDescent="0.2">
      <c r="D3677" s="2"/>
      <c r="E3677" s="2"/>
      <c r="F3677" s="2"/>
      <c r="G3677" s="2"/>
      <c r="H3677" s="2"/>
      <c r="I3677" s="2"/>
      <c r="J3677" s="2"/>
      <c r="K3677" s="2"/>
    </row>
    <row r="3678" spans="4:11" x14ac:dyDescent="0.2">
      <c r="D3678" s="2"/>
      <c r="E3678" s="2"/>
      <c r="F3678" s="2"/>
      <c r="G3678" s="2"/>
      <c r="H3678" s="2"/>
      <c r="I3678" s="2"/>
      <c r="J3678" s="2"/>
      <c r="K3678" s="2"/>
    </row>
    <row r="3679" spans="4:11" x14ac:dyDescent="0.2">
      <c r="D3679" s="2"/>
      <c r="E3679" s="2"/>
      <c r="F3679" s="2"/>
      <c r="G3679" s="2"/>
      <c r="H3679" s="2"/>
      <c r="I3679" s="2"/>
      <c r="J3679" s="2"/>
      <c r="K3679" s="2"/>
    </row>
    <row r="3680" spans="4:11" x14ac:dyDescent="0.2">
      <c r="D3680" s="2"/>
      <c r="E3680" s="2"/>
      <c r="F3680" s="2"/>
      <c r="G3680" s="2"/>
      <c r="H3680" s="2"/>
      <c r="I3680" s="2"/>
      <c r="J3680" s="2"/>
      <c r="K3680" s="2"/>
    </row>
    <row r="3681" spans="4:11" x14ac:dyDescent="0.2">
      <c r="D3681" s="2"/>
      <c r="E3681" s="2"/>
      <c r="F3681" s="2"/>
      <c r="G3681" s="2"/>
      <c r="H3681" s="2"/>
      <c r="I3681" s="2"/>
      <c r="J3681" s="2"/>
      <c r="K3681" s="2"/>
    </row>
    <row r="3682" spans="4:11" x14ac:dyDescent="0.2">
      <c r="D3682" s="2"/>
      <c r="E3682" s="2"/>
      <c r="F3682" s="2"/>
      <c r="G3682" s="2"/>
      <c r="H3682" s="2"/>
      <c r="I3682" s="2"/>
      <c r="J3682" s="2"/>
      <c r="K3682" s="2"/>
    </row>
    <row r="3683" spans="4:11" x14ac:dyDescent="0.2">
      <c r="D3683" s="2"/>
      <c r="E3683" s="2"/>
      <c r="F3683" s="2"/>
      <c r="G3683" s="2"/>
      <c r="H3683" s="2"/>
      <c r="I3683" s="2"/>
      <c r="J3683" s="2"/>
      <c r="K3683" s="2"/>
    </row>
    <row r="3684" spans="4:11" x14ac:dyDescent="0.2">
      <c r="D3684" s="2"/>
      <c r="E3684" s="2"/>
      <c r="F3684" s="2"/>
      <c r="G3684" s="2"/>
      <c r="H3684" s="2"/>
      <c r="I3684" s="2"/>
      <c r="J3684" s="2"/>
      <c r="K3684" s="2"/>
    </row>
    <row r="3685" spans="4:11" x14ac:dyDescent="0.2">
      <c r="D3685" s="2"/>
      <c r="E3685" s="2"/>
      <c r="F3685" s="2"/>
      <c r="G3685" s="2"/>
      <c r="H3685" s="2"/>
      <c r="I3685" s="2"/>
      <c r="J3685" s="2"/>
      <c r="K3685" s="2"/>
    </row>
    <row r="3686" spans="4:11" x14ac:dyDescent="0.2">
      <c r="D3686" s="2"/>
      <c r="E3686" s="2"/>
      <c r="F3686" s="2"/>
      <c r="G3686" s="2"/>
      <c r="H3686" s="2"/>
      <c r="I3686" s="2"/>
      <c r="J3686" s="2"/>
      <c r="K3686" s="2"/>
    </row>
    <row r="3687" spans="4:11" x14ac:dyDescent="0.2">
      <c r="D3687" s="2"/>
      <c r="E3687" s="2"/>
      <c r="F3687" s="2"/>
      <c r="G3687" s="2"/>
      <c r="H3687" s="2"/>
      <c r="I3687" s="2"/>
      <c r="J3687" s="2"/>
      <c r="K3687" s="2"/>
    </row>
    <row r="3688" spans="4:11" x14ac:dyDescent="0.2">
      <c r="D3688" s="2"/>
      <c r="E3688" s="2"/>
      <c r="F3688" s="2"/>
      <c r="G3688" s="2"/>
      <c r="H3688" s="2"/>
      <c r="I3688" s="2"/>
      <c r="J3688" s="2"/>
      <c r="K3688" s="2"/>
    </row>
    <row r="3689" spans="4:11" x14ac:dyDescent="0.2">
      <c r="D3689" s="2"/>
      <c r="E3689" s="2"/>
      <c r="F3689" s="2"/>
      <c r="G3689" s="2"/>
      <c r="H3689" s="2"/>
      <c r="I3689" s="2"/>
      <c r="J3689" s="2"/>
      <c r="K3689" s="2"/>
    </row>
    <row r="3690" spans="4:11" x14ac:dyDescent="0.2">
      <c r="D3690" s="2"/>
      <c r="E3690" s="2"/>
      <c r="F3690" s="2"/>
      <c r="G3690" s="2"/>
      <c r="H3690" s="2"/>
      <c r="I3690" s="2"/>
      <c r="J3690" s="2"/>
      <c r="K3690" s="2"/>
    </row>
    <row r="3691" spans="4:11" x14ac:dyDescent="0.2">
      <c r="D3691" s="2"/>
      <c r="E3691" s="2"/>
      <c r="F3691" s="2"/>
      <c r="G3691" s="2"/>
      <c r="H3691" s="2"/>
      <c r="I3691" s="2"/>
      <c r="J3691" s="2"/>
      <c r="K3691" s="2"/>
    </row>
    <row r="3692" spans="4:11" x14ac:dyDescent="0.2">
      <c r="D3692" s="2"/>
      <c r="E3692" s="2"/>
      <c r="F3692" s="2"/>
      <c r="G3692" s="2"/>
      <c r="H3692" s="2"/>
      <c r="I3692" s="2"/>
      <c r="J3692" s="2"/>
      <c r="K3692" s="2"/>
    </row>
    <row r="3693" spans="4:11" x14ac:dyDescent="0.2">
      <c r="D3693" s="2"/>
      <c r="E3693" s="2"/>
      <c r="F3693" s="2"/>
      <c r="G3693" s="2"/>
      <c r="H3693" s="2"/>
      <c r="I3693" s="2"/>
      <c r="J3693" s="2"/>
      <c r="K3693" s="2"/>
    </row>
    <row r="3694" spans="4:11" x14ac:dyDescent="0.2">
      <c r="D3694" s="2"/>
      <c r="E3694" s="2"/>
      <c r="F3694" s="2"/>
      <c r="G3694" s="2"/>
      <c r="H3694" s="2"/>
      <c r="I3694" s="2"/>
      <c r="J3694" s="2"/>
      <c r="K3694" s="2"/>
    </row>
    <row r="3695" spans="4:11" x14ac:dyDescent="0.2">
      <c r="D3695" s="2"/>
      <c r="E3695" s="2"/>
      <c r="F3695" s="2"/>
      <c r="G3695" s="2"/>
      <c r="H3695" s="2"/>
      <c r="I3695" s="2"/>
      <c r="J3695" s="2"/>
      <c r="K3695" s="2"/>
    </row>
    <row r="3696" spans="4:11" x14ac:dyDescent="0.2">
      <c r="D3696" s="2"/>
      <c r="E3696" s="2"/>
      <c r="F3696" s="2"/>
      <c r="G3696" s="2"/>
      <c r="H3696" s="2"/>
      <c r="I3696" s="2"/>
      <c r="J3696" s="2"/>
      <c r="K3696" s="2"/>
    </row>
    <row r="3697" spans="4:11" x14ac:dyDescent="0.2">
      <c r="D3697" s="2"/>
      <c r="E3697" s="2"/>
      <c r="F3697" s="2"/>
      <c r="G3697" s="2"/>
      <c r="H3697" s="2"/>
      <c r="I3697" s="2"/>
      <c r="J3697" s="2"/>
      <c r="K3697" s="2"/>
    </row>
    <row r="3698" spans="4:11" x14ac:dyDescent="0.2">
      <c r="D3698" s="2"/>
      <c r="E3698" s="2"/>
      <c r="F3698" s="2"/>
      <c r="G3698" s="2"/>
      <c r="H3698" s="2"/>
      <c r="I3698" s="2"/>
      <c r="J3698" s="2"/>
      <c r="K3698" s="2"/>
    </row>
    <row r="3699" spans="4:11" x14ac:dyDescent="0.2">
      <c r="D3699" s="2"/>
      <c r="E3699" s="2"/>
      <c r="F3699" s="2"/>
      <c r="G3699" s="2"/>
      <c r="H3699" s="2"/>
      <c r="I3699" s="2"/>
      <c r="J3699" s="2"/>
      <c r="K3699" s="2"/>
    </row>
    <row r="3700" spans="4:11" x14ac:dyDescent="0.2">
      <c r="D3700" s="2"/>
      <c r="E3700" s="2"/>
      <c r="F3700" s="2"/>
      <c r="G3700" s="2"/>
      <c r="H3700" s="2"/>
      <c r="I3700" s="2"/>
      <c r="J3700" s="2"/>
      <c r="K3700" s="2"/>
    </row>
    <row r="3701" spans="4:11" x14ac:dyDescent="0.2">
      <c r="D3701" s="2"/>
      <c r="E3701" s="2"/>
      <c r="F3701" s="2"/>
      <c r="G3701" s="2"/>
      <c r="H3701" s="2"/>
      <c r="I3701" s="2"/>
      <c r="J3701" s="2"/>
      <c r="K3701" s="2"/>
    </row>
    <row r="3702" spans="4:11" x14ac:dyDescent="0.2">
      <c r="D3702" s="2"/>
      <c r="E3702" s="2"/>
      <c r="F3702" s="2"/>
      <c r="G3702" s="2"/>
      <c r="H3702" s="2"/>
      <c r="I3702" s="2"/>
      <c r="J3702" s="2"/>
      <c r="K3702" s="2"/>
    </row>
    <row r="3703" spans="4:11" x14ac:dyDescent="0.2">
      <c r="D3703" s="2"/>
      <c r="E3703" s="2"/>
      <c r="F3703" s="2"/>
      <c r="G3703" s="2"/>
      <c r="H3703" s="2"/>
      <c r="I3703" s="2"/>
      <c r="J3703" s="2"/>
      <c r="K3703" s="2"/>
    </row>
    <row r="3704" spans="4:11" x14ac:dyDescent="0.2">
      <c r="D3704" s="2"/>
      <c r="E3704" s="2"/>
      <c r="F3704" s="2"/>
      <c r="G3704" s="2"/>
      <c r="H3704" s="2"/>
      <c r="I3704" s="2"/>
      <c r="J3704" s="2"/>
      <c r="K3704" s="2"/>
    </row>
    <row r="3705" spans="4:11" x14ac:dyDescent="0.2">
      <c r="D3705" s="2"/>
      <c r="E3705" s="2"/>
      <c r="F3705" s="2"/>
      <c r="G3705" s="2"/>
      <c r="H3705" s="2"/>
      <c r="I3705" s="2"/>
      <c r="J3705" s="2"/>
      <c r="K3705" s="2"/>
    </row>
    <row r="3706" spans="4:11" x14ac:dyDescent="0.2">
      <c r="D3706" s="2"/>
      <c r="E3706" s="2"/>
      <c r="F3706" s="2"/>
      <c r="G3706" s="2"/>
      <c r="H3706" s="2"/>
      <c r="I3706" s="2"/>
      <c r="J3706" s="2"/>
      <c r="K3706" s="2"/>
    </row>
    <row r="3707" spans="4:11" x14ac:dyDescent="0.2">
      <c r="D3707" s="2"/>
      <c r="E3707" s="2"/>
      <c r="F3707" s="2"/>
      <c r="G3707" s="2"/>
      <c r="H3707" s="2"/>
      <c r="I3707" s="2"/>
      <c r="J3707" s="2"/>
      <c r="K3707" s="2"/>
    </row>
    <row r="3708" spans="4:11" x14ac:dyDescent="0.2">
      <c r="D3708" s="2"/>
      <c r="E3708" s="2"/>
      <c r="F3708" s="2"/>
      <c r="G3708" s="2"/>
      <c r="H3708" s="2"/>
      <c r="I3708" s="2"/>
      <c r="J3708" s="2"/>
      <c r="K3708" s="2"/>
    </row>
    <row r="3709" spans="4:11" x14ac:dyDescent="0.2">
      <c r="D3709" s="2"/>
      <c r="E3709" s="2"/>
      <c r="F3709" s="2"/>
      <c r="G3709" s="2"/>
      <c r="H3709" s="2"/>
      <c r="I3709" s="2"/>
      <c r="J3709" s="2"/>
      <c r="K3709" s="2"/>
    </row>
    <row r="3710" spans="4:11" x14ac:dyDescent="0.2">
      <c r="D3710" s="2"/>
      <c r="E3710" s="2"/>
      <c r="F3710" s="2"/>
      <c r="G3710" s="2"/>
      <c r="H3710" s="2"/>
      <c r="I3710" s="2"/>
      <c r="J3710" s="2"/>
      <c r="K3710" s="2"/>
    </row>
    <row r="3711" spans="4:11" x14ac:dyDescent="0.2">
      <c r="D3711" s="2"/>
      <c r="E3711" s="2"/>
      <c r="F3711" s="2"/>
      <c r="G3711" s="2"/>
      <c r="H3711" s="2"/>
      <c r="I3711" s="2"/>
      <c r="J3711" s="2"/>
      <c r="K3711" s="2"/>
    </row>
    <row r="3712" spans="4:11" x14ac:dyDescent="0.2">
      <c r="D3712" s="2"/>
      <c r="E3712" s="2"/>
      <c r="F3712" s="2"/>
      <c r="G3712" s="2"/>
      <c r="H3712" s="2"/>
      <c r="I3712" s="2"/>
      <c r="J3712" s="2"/>
      <c r="K3712" s="2"/>
    </row>
    <row r="3713" spans="4:11" x14ac:dyDescent="0.2">
      <c r="D3713" s="2"/>
      <c r="E3713" s="2"/>
      <c r="F3713" s="2"/>
      <c r="G3713" s="2"/>
      <c r="H3713" s="2"/>
      <c r="I3713" s="2"/>
      <c r="J3713" s="2"/>
      <c r="K3713" s="2"/>
    </row>
    <row r="3714" spans="4:11" x14ac:dyDescent="0.2">
      <c r="D3714" s="2"/>
      <c r="E3714" s="2"/>
      <c r="F3714" s="2"/>
      <c r="G3714" s="2"/>
      <c r="H3714" s="2"/>
      <c r="I3714" s="2"/>
      <c r="J3714" s="2"/>
      <c r="K3714" s="2"/>
    </row>
    <row r="3715" spans="4:11" x14ac:dyDescent="0.2">
      <c r="D3715" s="2"/>
      <c r="E3715" s="2"/>
      <c r="F3715" s="2"/>
      <c r="G3715" s="2"/>
      <c r="H3715" s="2"/>
      <c r="I3715" s="2"/>
      <c r="J3715" s="2"/>
      <c r="K3715" s="2"/>
    </row>
    <row r="3716" spans="4:11" x14ac:dyDescent="0.2">
      <c r="D3716" s="2"/>
      <c r="E3716" s="2"/>
      <c r="F3716" s="2"/>
      <c r="G3716" s="2"/>
      <c r="H3716" s="2"/>
      <c r="I3716" s="2"/>
      <c r="J3716" s="2"/>
      <c r="K3716" s="2"/>
    </row>
    <row r="3717" spans="4:11" x14ac:dyDescent="0.2">
      <c r="D3717" s="2"/>
      <c r="E3717" s="2"/>
      <c r="F3717" s="2"/>
      <c r="G3717" s="2"/>
      <c r="H3717" s="2"/>
      <c r="I3717" s="2"/>
      <c r="J3717" s="2"/>
      <c r="K3717" s="2"/>
    </row>
    <row r="3718" spans="4:11" x14ac:dyDescent="0.2">
      <c r="D3718" s="2"/>
      <c r="E3718" s="2"/>
      <c r="F3718" s="2"/>
      <c r="G3718" s="2"/>
      <c r="H3718" s="2"/>
      <c r="I3718" s="2"/>
      <c r="J3718" s="2"/>
      <c r="K3718" s="2"/>
    </row>
    <row r="3719" spans="4:11" x14ac:dyDescent="0.2">
      <c r="D3719" s="2"/>
      <c r="E3719" s="2"/>
      <c r="F3719" s="2"/>
      <c r="G3719" s="2"/>
      <c r="H3719" s="2"/>
      <c r="I3719" s="2"/>
      <c r="J3719" s="2"/>
      <c r="K3719" s="2"/>
    </row>
    <row r="3720" spans="4:11" x14ac:dyDescent="0.2">
      <c r="D3720" s="2"/>
      <c r="E3720" s="2"/>
      <c r="F3720" s="2"/>
      <c r="G3720" s="2"/>
      <c r="H3720" s="2"/>
      <c r="I3720" s="2"/>
      <c r="J3720" s="2"/>
      <c r="K3720" s="2"/>
    </row>
    <row r="3721" spans="4:11" x14ac:dyDescent="0.2">
      <c r="D3721" s="2"/>
      <c r="E3721" s="2"/>
      <c r="F3721" s="2"/>
      <c r="G3721" s="2"/>
      <c r="H3721" s="2"/>
      <c r="I3721" s="2"/>
      <c r="J3721" s="2"/>
      <c r="K3721" s="2"/>
    </row>
    <row r="3722" spans="4:11" x14ac:dyDescent="0.2">
      <c r="D3722" s="2"/>
      <c r="E3722" s="2"/>
      <c r="F3722" s="2"/>
      <c r="G3722" s="2"/>
      <c r="H3722" s="2"/>
      <c r="I3722" s="2"/>
      <c r="J3722" s="2"/>
      <c r="K3722" s="2"/>
    </row>
    <row r="3723" spans="4:11" x14ac:dyDescent="0.2">
      <c r="D3723" s="2"/>
      <c r="E3723" s="2"/>
      <c r="F3723" s="2"/>
      <c r="G3723" s="2"/>
      <c r="H3723" s="2"/>
      <c r="I3723" s="2"/>
      <c r="J3723" s="2"/>
      <c r="K3723" s="2"/>
    </row>
    <row r="3724" spans="4:11" x14ac:dyDescent="0.2">
      <c r="D3724" s="2"/>
      <c r="E3724" s="2"/>
      <c r="F3724" s="2"/>
      <c r="G3724" s="2"/>
      <c r="H3724" s="2"/>
      <c r="I3724" s="2"/>
      <c r="J3724" s="2"/>
      <c r="K3724" s="2"/>
    </row>
    <row r="3725" spans="4:11" x14ac:dyDescent="0.2">
      <c r="D3725" s="2"/>
      <c r="E3725" s="2"/>
      <c r="F3725" s="2"/>
      <c r="G3725" s="2"/>
      <c r="H3725" s="2"/>
      <c r="I3725" s="2"/>
      <c r="J3725" s="2"/>
      <c r="K3725" s="2"/>
    </row>
    <row r="3726" spans="4:11" x14ac:dyDescent="0.2">
      <c r="D3726" s="2"/>
      <c r="E3726" s="2"/>
      <c r="F3726" s="2"/>
      <c r="G3726" s="2"/>
      <c r="H3726" s="2"/>
      <c r="I3726" s="2"/>
      <c r="J3726" s="2"/>
      <c r="K3726" s="2"/>
    </row>
    <row r="3727" spans="4:11" x14ac:dyDescent="0.2">
      <c r="D3727" s="2"/>
      <c r="E3727" s="2"/>
      <c r="F3727" s="2"/>
      <c r="G3727" s="2"/>
      <c r="H3727" s="2"/>
      <c r="I3727" s="2"/>
      <c r="J3727" s="2"/>
      <c r="K3727" s="2"/>
    </row>
    <row r="3728" spans="4:11" x14ac:dyDescent="0.2">
      <c r="D3728" s="2"/>
      <c r="E3728" s="2"/>
      <c r="F3728" s="2"/>
      <c r="G3728" s="2"/>
      <c r="H3728" s="2"/>
      <c r="I3728" s="2"/>
      <c r="J3728" s="2"/>
      <c r="K3728" s="2"/>
    </row>
    <row r="3729" spans="4:11" x14ac:dyDescent="0.2">
      <c r="D3729" s="2"/>
      <c r="E3729" s="2"/>
      <c r="F3729" s="2"/>
      <c r="G3729" s="2"/>
      <c r="H3729" s="2"/>
      <c r="I3729" s="2"/>
      <c r="J3729" s="2"/>
      <c r="K3729" s="2"/>
    </row>
    <row r="3730" spans="4:11" x14ac:dyDescent="0.2">
      <c r="D3730" s="2"/>
      <c r="E3730" s="2"/>
      <c r="F3730" s="2"/>
      <c r="G3730" s="2"/>
      <c r="H3730" s="2"/>
      <c r="I3730" s="2"/>
      <c r="J3730" s="2"/>
      <c r="K3730" s="2"/>
    </row>
    <row r="3731" spans="4:11" x14ac:dyDescent="0.2">
      <c r="D3731" s="2"/>
      <c r="E3731" s="2"/>
      <c r="F3731" s="2"/>
      <c r="G3731" s="2"/>
      <c r="H3731" s="2"/>
      <c r="I3731" s="2"/>
      <c r="J3731" s="2"/>
      <c r="K3731" s="2"/>
    </row>
    <row r="3732" spans="4:11" x14ac:dyDescent="0.2">
      <c r="D3732" s="2"/>
      <c r="E3732" s="2"/>
      <c r="F3732" s="2"/>
      <c r="G3732" s="2"/>
      <c r="H3732" s="2"/>
      <c r="I3732" s="2"/>
      <c r="J3732" s="2"/>
      <c r="K3732" s="2"/>
    </row>
    <row r="3733" spans="4:11" x14ac:dyDescent="0.2">
      <c r="D3733" s="2"/>
      <c r="E3733" s="2"/>
      <c r="F3733" s="2"/>
      <c r="G3733" s="2"/>
      <c r="H3733" s="2"/>
      <c r="I3733" s="2"/>
      <c r="J3733" s="2"/>
      <c r="K3733" s="2"/>
    </row>
    <row r="3734" spans="4:11" x14ac:dyDescent="0.2">
      <c r="D3734" s="2"/>
      <c r="E3734" s="2"/>
      <c r="F3734" s="2"/>
      <c r="G3734" s="2"/>
      <c r="H3734" s="2"/>
      <c r="I3734" s="2"/>
      <c r="J3734" s="2"/>
      <c r="K3734" s="2"/>
    </row>
    <row r="3735" spans="4:11" x14ac:dyDescent="0.2">
      <c r="D3735" s="2"/>
      <c r="E3735" s="2"/>
      <c r="F3735" s="2"/>
      <c r="G3735" s="2"/>
      <c r="H3735" s="2"/>
      <c r="I3735" s="2"/>
      <c r="J3735" s="2"/>
      <c r="K3735" s="2"/>
    </row>
    <row r="3736" spans="4:11" x14ac:dyDescent="0.2">
      <c r="D3736" s="2"/>
      <c r="E3736" s="2"/>
      <c r="F3736" s="2"/>
      <c r="G3736" s="2"/>
      <c r="H3736" s="2"/>
      <c r="I3736" s="2"/>
      <c r="J3736" s="2"/>
      <c r="K3736" s="2"/>
    </row>
    <row r="3737" spans="4:11" x14ac:dyDescent="0.2">
      <c r="D3737" s="2"/>
      <c r="E3737" s="2"/>
      <c r="F3737" s="2"/>
      <c r="G3737" s="2"/>
      <c r="H3737" s="2"/>
      <c r="I3737" s="2"/>
      <c r="J3737" s="2"/>
      <c r="K3737" s="2"/>
    </row>
    <row r="3738" spans="4:11" x14ac:dyDescent="0.2">
      <c r="D3738" s="2"/>
      <c r="E3738" s="2"/>
      <c r="F3738" s="2"/>
      <c r="G3738" s="2"/>
      <c r="H3738" s="2"/>
      <c r="I3738" s="2"/>
      <c r="J3738" s="2"/>
      <c r="K3738" s="2"/>
    </row>
    <row r="3739" spans="4:11" x14ac:dyDescent="0.2">
      <c r="D3739" s="2"/>
      <c r="E3739" s="2"/>
      <c r="F3739" s="2"/>
      <c r="G3739" s="2"/>
      <c r="H3739" s="2"/>
      <c r="I3739" s="2"/>
      <c r="J3739" s="2"/>
      <c r="K3739" s="2"/>
    </row>
    <row r="3740" spans="4:11" x14ac:dyDescent="0.2">
      <c r="D3740" s="2"/>
      <c r="E3740" s="2"/>
      <c r="F3740" s="2"/>
      <c r="G3740" s="2"/>
      <c r="H3740" s="2"/>
      <c r="I3740" s="2"/>
      <c r="J3740" s="2"/>
      <c r="K3740" s="2"/>
    </row>
    <row r="3741" spans="4:11" x14ac:dyDescent="0.2">
      <c r="D3741" s="2"/>
      <c r="E3741" s="2"/>
      <c r="F3741" s="2"/>
      <c r="G3741" s="2"/>
      <c r="H3741" s="2"/>
      <c r="I3741" s="2"/>
      <c r="J3741" s="2"/>
      <c r="K3741" s="2"/>
    </row>
    <row r="3742" spans="4:11" x14ac:dyDescent="0.2">
      <c r="D3742" s="2"/>
      <c r="E3742" s="2"/>
      <c r="F3742" s="2"/>
      <c r="G3742" s="2"/>
      <c r="H3742" s="2"/>
      <c r="I3742" s="2"/>
      <c r="J3742" s="2"/>
      <c r="K3742" s="2"/>
    </row>
    <row r="3743" spans="4:11" x14ac:dyDescent="0.2">
      <c r="D3743" s="2"/>
      <c r="E3743" s="2"/>
      <c r="F3743" s="2"/>
      <c r="G3743" s="2"/>
      <c r="H3743" s="2"/>
      <c r="I3743" s="2"/>
      <c r="J3743" s="2"/>
      <c r="K3743" s="2"/>
    </row>
    <row r="3744" spans="4:11" x14ac:dyDescent="0.2">
      <c r="D3744" s="2"/>
      <c r="E3744" s="2"/>
      <c r="F3744" s="2"/>
      <c r="G3744" s="2"/>
      <c r="H3744" s="2"/>
      <c r="I3744" s="2"/>
      <c r="J3744" s="2"/>
      <c r="K3744" s="2"/>
    </row>
    <row r="3745" spans="4:11" x14ac:dyDescent="0.2">
      <c r="D3745" s="2"/>
      <c r="E3745" s="2"/>
      <c r="F3745" s="2"/>
      <c r="G3745" s="2"/>
      <c r="H3745" s="2"/>
      <c r="I3745" s="2"/>
      <c r="J3745" s="2"/>
      <c r="K3745" s="2"/>
    </row>
    <row r="3746" spans="4:11" x14ac:dyDescent="0.2">
      <c r="D3746" s="2"/>
      <c r="E3746" s="2"/>
      <c r="F3746" s="2"/>
      <c r="G3746" s="2"/>
      <c r="H3746" s="2"/>
      <c r="I3746" s="2"/>
      <c r="J3746" s="2"/>
      <c r="K3746" s="2"/>
    </row>
    <row r="3747" spans="4:11" x14ac:dyDescent="0.2">
      <c r="D3747" s="2"/>
      <c r="E3747" s="2"/>
      <c r="F3747" s="2"/>
      <c r="G3747" s="2"/>
      <c r="H3747" s="2"/>
      <c r="I3747" s="2"/>
      <c r="J3747" s="2"/>
      <c r="K3747" s="2"/>
    </row>
    <row r="3748" spans="4:11" x14ac:dyDescent="0.2">
      <c r="D3748" s="2"/>
      <c r="E3748" s="2"/>
      <c r="F3748" s="2"/>
      <c r="G3748" s="2"/>
      <c r="H3748" s="2"/>
      <c r="I3748" s="2"/>
      <c r="J3748" s="2"/>
      <c r="K3748" s="2"/>
    </row>
    <row r="3749" spans="4:11" x14ac:dyDescent="0.2">
      <c r="D3749" s="2"/>
      <c r="E3749" s="2"/>
      <c r="F3749" s="2"/>
      <c r="G3749" s="2"/>
      <c r="H3749" s="2"/>
      <c r="I3749" s="2"/>
      <c r="J3749" s="2"/>
      <c r="K3749" s="2"/>
    </row>
    <row r="3750" spans="4:11" x14ac:dyDescent="0.2">
      <c r="D3750" s="2"/>
      <c r="E3750" s="2"/>
      <c r="F3750" s="2"/>
      <c r="G3750" s="2"/>
      <c r="H3750" s="2"/>
      <c r="I3750" s="2"/>
      <c r="J3750" s="2"/>
      <c r="K3750" s="2"/>
    </row>
    <row r="3751" spans="4:11" x14ac:dyDescent="0.2">
      <c r="D3751" s="2"/>
      <c r="E3751" s="2"/>
      <c r="F3751" s="2"/>
      <c r="G3751" s="2"/>
      <c r="H3751" s="2"/>
      <c r="I3751" s="2"/>
      <c r="J3751" s="2"/>
      <c r="K3751" s="2"/>
    </row>
    <row r="3752" spans="4:11" x14ac:dyDescent="0.2">
      <c r="D3752" s="2"/>
      <c r="E3752" s="2"/>
      <c r="F3752" s="2"/>
      <c r="G3752" s="2"/>
      <c r="H3752" s="2"/>
      <c r="I3752" s="2"/>
      <c r="J3752" s="2"/>
      <c r="K3752" s="2"/>
    </row>
    <row r="3753" spans="4:11" x14ac:dyDescent="0.2">
      <c r="D3753" s="2"/>
      <c r="E3753" s="2"/>
      <c r="F3753" s="2"/>
      <c r="G3753" s="2"/>
      <c r="H3753" s="2"/>
      <c r="I3753" s="2"/>
      <c r="J3753" s="2"/>
      <c r="K3753" s="2"/>
    </row>
    <row r="3754" spans="4:11" x14ac:dyDescent="0.2">
      <c r="D3754" s="2"/>
      <c r="E3754" s="2"/>
      <c r="F3754" s="2"/>
      <c r="G3754" s="2"/>
      <c r="H3754" s="2"/>
      <c r="I3754" s="2"/>
      <c r="J3754" s="2"/>
      <c r="K3754" s="2"/>
    </row>
    <row r="3755" spans="4:11" x14ac:dyDescent="0.2">
      <c r="D3755" s="2"/>
      <c r="E3755" s="2"/>
      <c r="F3755" s="2"/>
      <c r="G3755" s="2"/>
      <c r="H3755" s="2"/>
      <c r="I3755" s="2"/>
      <c r="J3755" s="2"/>
      <c r="K3755" s="2"/>
    </row>
    <row r="3756" spans="4:11" x14ac:dyDescent="0.2">
      <c r="D3756" s="2"/>
      <c r="E3756" s="2"/>
      <c r="F3756" s="2"/>
      <c r="G3756" s="2"/>
      <c r="H3756" s="2"/>
      <c r="I3756" s="2"/>
      <c r="J3756" s="2"/>
      <c r="K3756" s="2"/>
    </row>
    <row r="3757" spans="4:11" x14ac:dyDescent="0.2">
      <c r="D3757" s="2"/>
      <c r="E3757" s="2"/>
      <c r="F3757" s="2"/>
      <c r="G3757" s="2"/>
      <c r="H3757" s="2"/>
      <c r="I3757" s="2"/>
      <c r="J3757" s="2"/>
      <c r="K3757" s="2"/>
    </row>
    <row r="3758" spans="4:11" x14ac:dyDescent="0.2">
      <c r="D3758" s="2"/>
      <c r="E3758" s="2"/>
      <c r="F3758" s="2"/>
      <c r="G3758" s="2"/>
      <c r="H3758" s="2"/>
      <c r="I3758" s="2"/>
      <c r="J3758" s="2"/>
      <c r="K3758" s="2"/>
    </row>
    <row r="3759" spans="4:11" x14ac:dyDescent="0.2">
      <c r="D3759" s="2"/>
      <c r="E3759" s="2"/>
      <c r="F3759" s="2"/>
      <c r="G3759" s="2"/>
      <c r="H3759" s="2"/>
      <c r="I3759" s="2"/>
      <c r="J3759" s="2"/>
      <c r="K3759" s="2"/>
    </row>
    <row r="3760" spans="4:11" x14ac:dyDescent="0.2">
      <c r="D3760" s="2"/>
      <c r="E3760" s="2"/>
      <c r="F3760" s="2"/>
      <c r="G3760" s="2"/>
      <c r="H3760" s="2"/>
      <c r="I3760" s="2"/>
      <c r="J3760" s="2"/>
      <c r="K3760" s="2"/>
    </row>
    <row r="3761" spans="4:11" x14ac:dyDescent="0.2">
      <c r="D3761" s="2"/>
      <c r="E3761" s="2"/>
      <c r="F3761" s="2"/>
      <c r="G3761" s="2"/>
      <c r="H3761" s="2"/>
      <c r="I3761" s="2"/>
      <c r="J3761" s="2"/>
      <c r="K3761" s="2"/>
    </row>
    <row r="3762" spans="4:11" x14ac:dyDescent="0.2">
      <c r="D3762" s="2"/>
      <c r="E3762" s="2"/>
      <c r="F3762" s="2"/>
      <c r="G3762" s="2"/>
      <c r="H3762" s="2"/>
      <c r="I3762" s="2"/>
      <c r="J3762" s="2"/>
      <c r="K3762" s="2"/>
    </row>
    <row r="3763" spans="4:11" x14ac:dyDescent="0.2">
      <c r="D3763" s="2"/>
      <c r="E3763" s="2"/>
      <c r="F3763" s="2"/>
      <c r="G3763" s="2"/>
      <c r="H3763" s="2"/>
      <c r="I3763" s="2"/>
      <c r="J3763" s="2"/>
      <c r="K3763" s="2"/>
    </row>
    <row r="3764" spans="4:11" x14ac:dyDescent="0.2">
      <c r="D3764" s="2"/>
      <c r="E3764" s="2"/>
      <c r="F3764" s="2"/>
      <c r="G3764" s="2"/>
      <c r="H3764" s="2"/>
      <c r="I3764" s="2"/>
      <c r="J3764" s="2"/>
      <c r="K3764" s="2"/>
    </row>
    <row r="3765" spans="4:11" x14ac:dyDescent="0.2">
      <c r="D3765" s="2"/>
      <c r="E3765" s="2"/>
      <c r="F3765" s="2"/>
      <c r="G3765" s="2"/>
      <c r="H3765" s="2"/>
      <c r="I3765" s="2"/>
      <c r="J3765" s="2"/>
      <c r="K3765" s="2"/>
    </row>
    <row r="3766" spans="4:11" x14ac:dyDescent="0.2">
      <c r="D3766" s="2"/>
      <c r="E3766" s="2"/>
      <c r="F3766" s="2"/>
      <c r="G3766" s="2"/>
      <c r="H3766" s="2"/>
      <c r="I3766" s="2"/>
      <c r="J3766" s="2"/>
      <c r="K3766" s="2"/>
    </row>
    <row r="3767" spans="4:11" x14ac:dyDescent="0.2">
      <c r="D3767" s="2"/>
      <c r="E3767" s="2"/>
      <c r="F3767" s="2"/>
      <c r="G3767" s="2"/>
      <c r="H3767" s="2"/>
      <c r="I3767" s="2"/>
      <c r="J3767" s="2"/>
      <c r="K3767" s="2"/>
    </row>
    <row r="3768" spans="4:11" x14ac:dyDescent="0.2">
      <c r="D3768" s="2"/>
      <c r="E3768" s="2"/>
      <c r="F3768" s="2"/>
      <c r="G3768" s="2"/>
      <c r="H3768" s="2"/>
      <c r="I3768" s="2"/>
      <c r="J3768" s="2"/>
      <c r="K3768" s="2"/>
    </row>
    <row r="3769" spans="4:11" x14ac:dyDescent="0.2">
      <c r="D3769" s="2"/>
      <c r="E3769" s="2"/>
      <c r="F3769" s="2"/>
      <c r="G3769" s="2"/>
      <c r="H3769" s="2"/>
      <c r="I3769" s="2"/>
      <c r="J3769" s="2"/>
      <c r="K3769" s="2"/>
    </row>
    <row r="3770" spans="4:11" x14ac:dyDescent="0.2">
      <c r="D3770" s="2"/>
      <c r="E3770" s="2"/>
      <c r="F3770" s="2"/>
      <c r="G3770" s="2"/>
      <c r="H3770" s="2"/>
      <c r="I3770" s="2"/>
      <c r="J3770" s="2"/>
      <c r="K3770" s="2"/>
    </row>
    <row r="3771" spans="4:11" x14ac:dyDescent="0.2">
      <c r="D3771" s="2"/>
      <c r="E3771" s="2"/>
      <c r="F3771" s="2"/>
      <c r="G3771" s="2"/>
      <c r="H3771" s="2"/>
      <c r="I3771" s="2"/>
      <c r="J3771" s="2"/>
      <c r="K3771" s="2"/>
    </row>
    <row r="3772" spans="4:11" x14ac:dyDescent="0.2">
      <c r="D3772" s="2"/>
      <c r="E3772" s="2"/>
      <c r="F3772" s="2"/>
      <c r="G3772" s="2"/>
      <c r="H3772" s="2"/>
      <c r="I3772" s="2"/>
      <c r="J3772" s="2"/>
      <c r="K3772" s="2"/>
    </row>
    <row r="3773" spans="4:11" x14ac:dyDescent="0.2">
      <c r="D3773" s="2"/>
      <c r="E3773" s="2"/>
      <c r="F3773" s="2"/>
      <c r="G3773" s="2"/>
      <c r="H3773" s="2"/>
      <c r="I3773" s="2"/>
      <c r="J3773" s="2"/>
      <c r="K3773" s="2"/>
    </row>
    <row r="3774" spans="4:11" x14ac:dyDescent="0.2">
      <c r="D3774" s="2"/>
      <c r="E3774" s="2"/>
      <c r="F3774" s="2"/>
      <c r="G3774" s="2"/>
      <c r="H3774" s="2"/>
      <c r="I3774" s="2"/>
      <c r="J3774" s="2"/>
      <c r="K3774" s="2"/>
    </row>
    <row r="3775" spans="4:11" x14ac:dyDescent="0.2">
      <c r="D3775" s="2"/>
      <c r="E3775" s="2"/>
      <c r="F3775" s="2"/>
      <c r="G3775" s="2"/>
      <c r="H3775" s="2"/>
      <c r="I3775" s="2"/>
      <c r="J3775" s="2"/>
      <c r="K3775" s="2"/>
    </row>
    <row r="3776" spans="4:11" x14ac:dyDescent="0.2">
      <c r="D3776" s="2"/>
      <c r="E3776" s="2"/>
      <c r="F3776" s="2"/>
      <c r="G3776" s="2"/>
      <c r="H3776" s="2"/>
      <c r="I3776" s="2"/>
      <c r="J3776" s="2"/>
      <c r="K3776" s="2"/>
    </row>
    <row r="3777" spans="4:11" x14ac:dyDescent="0.2">
      <c r="D3777" s="2"/>
      <c r="E3777" s="2"/>
      <c r="F3777" s="2"/>
      <c r="G3777" s="2"/>
      <c r="H3777" s="2"/>
      <c r="I3777" s="2"/>
      <c r="J3777" s="2"/>
      <c r="K3777" s="2"/>
    </row>
    <row r="3778" spans="4:11" x14ac:dyDescent="0.2">
      <c r="D3778" s="2"/>
      <c r="E3778" s="2"/>
      <c r="F3778" s="2"/>
      <c r="G3778" s="2"/>
      <c r="H3778" s="2"/>
      <c r="I3778" s="2"/>
      <c r="J3778" s="2"/>
      <c r="K3778" s="2"/>
    </row>
    <row r="3779" spans="4:11" x14ac:dyDescent="0.2">
      <c r="D3779" s="2"/>
      <c r="E3779" s="2"/>
      <c r="F3779" s="2"/>
      <c r="G3779" s="2"/>
      <c r="H3779" s="2"/>
      <c r="I3779" s="2"/>
      <c r="J3779" s="2"/>
      <c r="K3779" s="2"/>
    </row>
    <row r="3780" spans="4:11" x14ac:dyDescent="0.2">
      <c r="D3780" s="2"/>
      <c r="E3780" s="2"/>
      <c r="F3780" s="2"/>
      <c r="G3780" s="2"/>
      <c r="H3780" s="2"/>
      <c r="I3780" s="2"/>
      <c r="J3780" s="2"/>
      <c r="K3780" s="2"/>
    </row>
    <row r="3781" spans="4:11" x14ac:dyDescent="0.2">
      <c r="D3781" s="2"/>
      <c r="E3781" s="2"/>
      <c r="F3781" s="2"/>
      <c r="G3781" s="2"/>
      <c r="H3781" s="2"/>
      <c r="I3781" s="2"/>
      <c r="J3781" s="2"/>
      <c r="K3781" s="2"/>
    </row>
    <row r="3782" spans="4:11" x14ac:dyDescent="0.2">
      <c r="D3782" s="2"/>
      <c r="E3782" s="2"/>
      <c r="F3782" s="2"/>
      <c r="G3782" s="2"/>
      <c r="H3782" s="2"/>
      <c r="I3782" s="2"/>
      <c r="J3782" s="2"/>
      <c r="K3782" s="2"/>
    </row>
    <row r="3783" spans="4:11" x14ac:dyDescent="0.2">
      <c r="D3783" s="2"/>
      <c r="E3783" s="2"/>
      <c r="F3783" s="2"/>
      <c r="G3783" s="2"/>
      <c r="H3783" s="2"/>
      <c r="I3783" s="2"/>
      <c r="J3783" s="2"/>
      <c r="K3783" s="2"/>
    </row>
    <row r="3784" spans="4:11" x14ac:dyDescent="0.2">
      <c r="D3784" s="2"/>
      <c r="E3784" s="2"/>
      <c r="F3784" s="2"/>
      <c r="G3784" s="2"/>
      <c r="H3784" s="2"/>
      <c r="I3784" s="2"/>
      <c r="J3784" s="2"/>
      <c r="K3784" s="2"/>
    </row>
    <row r="3785" spans="4:11" x14ac:dyDescent="0.2">
      <c r="D3785" s="2"/>
      <c r="E3785" s="2"/>
      <c r="F3785" s="2"/>
      <c r="G3785" s="2"/>
      <c r="H3785" s="2"/>
      <c r="I3785" s="2"/>
      <c r="J3785" s="2"/>
      <c r="K3785" s="2"/>
    </row>
    <row r="3786" spans="4:11" x14ac:dyDescent="0.2">
      <c r="D3786" s="2"/>
      <c r="E3786" s="2"/>
      <c r="F3786" s="2"/>
      <c r="G3786" s="2"/>
      <c r="H3786" s="2"/>
      <c r="I3786" s="2"/>
      <c r="J3786" s="2"/>
      <c r="K3786" s="2"/>
    </row>
    <row r="3787" spans="4:11" x14ac:dyDescent="0.2">
      <c r="D3787" s="2"/>
      <c r="E3787" s="2"/>
      <c r="F3787" s="2"/>
      <c r="G3787" s="2"/>
      <c r="H3787" s="2"/>
      <c r="I3787" s="2"/>
      <c r="J3787" s="2"/>
      <c r="K3787" s="2"/>
    </row>
    <row r="3788" spans="4:11" x14ac:dyDescent="0.2">
      <c r="D3788" s="2"/>
      <c r="E3788" s="2"/>
      <c r="F3788" s="2"/>
      <c r="G3788" s="2"/>
      <c r="H3788" s="2"/>
      <c r="I3788" s="2"/>
      <c r="J3788" s="2"/>
      <c r="K3788" s="2"/>
    </row>
    <row r="3789" spans="4:11" x14ac:dyDescent="0.2">
      <c r="D3789" s="2"/>
      <c r="E3789" s="2"/>
      <c r="F3789" s="2"/>
      <c r="G3789" s="2"/>
      <c r="H3789" s="2"/>
      <c r="I3789" s="2"/>
      <c r="J3789" s="2"/>
      <c r="K3789" s="2"/>
    </row>
    <row r="3790" spans="4:11" x14ac:dyDescent="0.2">
      <c r="D3790" s="2"/>
      <c r="E3790" s="2"/>
      <c r="F3790" s="2"/>
      <c r="G3790" s="2"/>
      <c r="H3790" s="2"/>
      <c r="I3790" s="2"/>
      <c r="J3790" s="2"/>
      <c r="K3790" s="2"/>
    </row>
    <row r="3791" spans="4:11" x14ac:dyDescent="0.2">
      <c r="D3791" s="2"/>
      <c r="E3791" s="2"/>
      <c r="F3791" s="2"/>
      <c r="G3791" s="2"/>
      <c r="H3791" s="2"/>
      <c r="I3791" s="2"/>
      <c r="J3791" s="2"/>
      <c r="K3791" s="2"/>
    </row>
    <row r="3792" spans="4:11" x14ac:dyDescent="0.2">
      <c r="D3792" s="2"/>
      <c r="E3792" s="2"/>
      <c r="F3792" s="2"/>
      <c r="G3792" s="2"/>
      <c r="H3792" s="2"/>
      <c r="I3792" s="2"/>
      <c r="J3792" s="2"/>
      <c r="K3792" s="2"/>
    </row>
    <row r="3793" spans="4:11" x14ac:dyDescent="0.2">
      <c r="D3793" s="2"/>
      <c r="E3793" s="2"/>
      <c r="F3793" s="2"/>
      <c r="G3793" s="2"/>
      <c r="H3793" s="2"/>
      <c r="I3793" s="2"/>
      <c r="J3793" s="2"/>
      <c r="K3793" s="2"/>
    </row>
    <row r="3794" spans="4:11" x14ac:dyDescent="0.2">
      <c r="D3794" s="2"/>
      <c r="E3794" s="2"/>
      <c r="F3794" s="2"/>
      <c r="G3794" s="2"/>
      <c r="H3794" s="2"/>
      <c r="I3794" s="2"/>
      <c r="J3794" s="2"/>
      <c r="K3794" s="2"/>
    </row>
    <row r="3795" spans="4:11" x14ac:dyDescent="0.2">
      <c r="D3795" s="2"/>
      <c r="E3795" s="2"/>
      <c r="F3795" s="2"/>
      <c r="G3795" s="2"/>
      <c r="H3795" s="2"/>
      <c r="I3795" s="2"/>
      <c r="J3795" s="2"/>
      <c r="K3795" s="2"/>
    </row>
    <row r="3796" spans="4:11" x14ac:dyDescent="0.2">
      <c r="D3796" s="2"/>
      <c r="E3796" s="2"/>
      <c r="F3796" s="2"/>
      <c r="G3796" s="2"/>
      <c r="H3796" s="2"/>
      <c r="I3796" s="2"/>
      <c r="J3796" s="2"/>
      <c r="K3796" s="2"/>
    </row>
    <row r="3797" spans="4:11" x14ac:dyDescent="0.2">
      <c r="D3797" s="2"/>
      <c r="E3797" s="2"/>
      <c r="F3797" s="2"/>
      <c r="G3797" s="2"/>
      <c r="H3797" s="2"/>
      <c r="I3797" s="2"/>
      <c r="J3797" s="2"/>
      <c r="K3797" s="2"/>
    </row>
    <row r="3798" spans="4:11" x14ac:dyDescent="0.2">
      <c r="D3798" s="2"/>
      <c r="E3798" s="2"/>
      <c r="F3798" s="2"/>
      <c r="G3798" s="2"/>
      <c r="H3798" s="2"/>
      <c r="I3798" s="2"/>
      <c r="J3798" s="2"/>
      <c r="K3798" s="2"/>
    </row>
    <row r="3799" spans="4:11" x14ac:dyDescent="0.2">
      <c r="D3799" s="2"/>
      <c r="E3799" s="2"/>
      <c r="F3799" s="2"/>
      <c r="G3799" s="2"/>
      <c r="H3799" s="2"/>
      <c r="I3799" s="2"/>
      <c r="J3799" s="2"/>
      <c r="K3799" s="2"/>
    </row>
    <row r="3800" spans="4:11" x14ac:dyDescent="0.2">
      <c r="D3800" s="2"/>
      <c r="E3800" s="2"/>
      <c r="F3800" s="2"/>
      <c r="G3800" s="2"/>
      <c r="H3800" s="2"/>
      <c r="I3800" s="2"/>
      <c r="J3800" s="2"/>
      <c r="K3800" s="2"/>
    </row>
    <row r="3801" spans="4:11" x14ac:dyDescent="0.2">
      <c r="D3801" s="2"/>
      <c r="E3801" s="2"/>
      <c r="F3801" s="2"/>
      <c r="G3801" s="2"/>
      <c r="H3801" s="2"/>
      <c r="I3801" s="2"/>
      <c r="J3801" s="2"/>
      <c r="K3801" s="2"/>
    </row>
    <row r="3802" spans="4:11" x14ac:dyDescent="0.2">
      <c r="D3802" s="2"/>
      <c r="E3802" s="2"/>
      <c r="F3802" s="2"/>
      <c r="G3802" s="2"/>
      <c r="H3802" s="2"/>
      <c r="I3802" s="2"/>
      <c r="J3802" s="2"/>
      <c r="K3802" s="2"/>
    </row>
    <row r="3803" spans="4:11" x14ac:dyDescent="0.2">
      <c r="D3803" s="2"/>
      <c r="E3803" s="2"/>
      <c r="F3803" s="2"/>
      <c r="G3803" s="2"/>
      <c r="H3803" s="2"/>
      <c r="I3803" s="2"/>
      <c r="J3803" s="2"/>
      <c r="K3803" s="2"/>
    </row>
    <row r="3804" spans="4:11" x14ac:dyDescent="0.2">
      <c r="D3804" s="2"/>
      <c r="E3804" s="2"/>
      <c r="F3804" s="2"/>
      <c r="G3804" s="2"/>
      <c r="H3804" s="2"/>
      <c r="I3804" s="2"/>
      <c r="J3804" s="2"/>
      <c r="K3804" s="2"/>
    </row>
    <row r="3805" spans="4:11" x14ac:dyDescent="0.2">
      <c r="D3805" s="2"/>
      <c r="E3805" s="2"/>
      <c r="F3805" s="2"/>
      <c r="G3805" s="2"/>
      <c r="H3805" s="2"/>
      <c r="I3805" s="2"/>
      <c r="J3805" s="2"/>
      <c r="K3805" s="2"/>
    </row>
    <row r="3806" spans="4:11" x14ac:dyDescent="0.2">
      <c r="D3806" s="2"/>
      <c r="E3806" s="2"/>
      <c r="F3806" s="2"/>
      <c r="G3806" s="2"/>
      <c r="H3806" s="2"/>
      <c r="I3806" s="2"/>
      <c r="J3806" s="2"/>
      <c r="K3806" s="2"/>
    </row>
    <row r="3807" spans="4:11" x14ac:dyDescent="0.2">
      <c r="D3807" s="2"/>
      <c r="E3807" s="2"/>
      <c r="F3807" s="2"/>
      <c r="G3807" s="2"/>
      <c r="H3807" s="2"/>
      <c r="I3807" s="2"/>
      <c r="J3807" s="2"/>
      <c r="K3807" s="2"/>
    </row>
    <row r="3808" spans="4:11" x14ac:dyDescent="0.2">
      <c r="D3808" s="2"/>
      <c r="E3808" s="2"/>
      <c r="F3808" s="2"/>
      <c r="G3808" s="2"/>
      <c r="H3808" s="2"/>
      <c r="I3808" s="2"/>
      <c r="J3808" s="2"/>
      <c r="K3808" s="2"/>
    </row>
    <row r="3809" spans="4:11" x14ac:dyDescent="0.2">
      <c r="D3809" s="2"/>
      <c r="E3809" s="2"/>
      <c r="F3809" s="2"/>
      <c r="G3809" s="2"/>
      <c r="H3809" s="2"/>
      <c r="I3809" s="2"/>
      <c r="J3809" s="2"/>
      <c r="K3809" s="2"/>
    </row>
    <row r="3810" spans="4:11" x14ac:dyDescent="0.2">
      <c r="D3810" s="2"/>
      <c r="E3810" s="2"/>
      <c r="F3810" s="2"/>
      <c r="G3810" s="2"/>
      <c r="H3810" s="2"/>
      <c r="I3810" s="2"/>
      <c r="J3810" s="2"/>
      <c r="K3810" s="2"/>
    </row>
    <row r="3811" spans="4:11" x14ac:dyDescent="0.2">
      <c r="D3811" s="2"/>
      <c r="E3811" s="2"/>
      <c r="F3811" s="2"/>
      <c r="G3811" s="2"/>
      <c r="H3811" s="2"/>
      <c r="I3811" s="2"/>
      <c r="J3811" s="2"/>
      <c r="K3811" s="2"/>
    </row>
    <row r="3812" spans="4:11" x14ac:dyDescent="0.2">
      <c r="D3812" s="2"/>
      <c r="E3812" s="2"/>
      <c r="F3812" s="2"/>
      <c r="G3812" s="2"/>
      <c r="H3812" s="2"/>
      <c r="I3812" s="2"/>
      <c r="J3812" s="2"/>
      <c r="K3812" s="2"/>
    </row>
    <row r="3813" spans="4:11" x14ac:dyDescent="0.2">
      <c r="D3813" s="2"/>
      <c r="E3813" s="2"/>
      <c r="F3813" s="2"/>
      <c r="G3813" s="2"/>
      <c r="H3813" s="2"/>
      <c r="I3813" s="2"/>
      <c r="J3813" s="2"/>
      <c r="K3813" s="2"/>
    </row>
    <row r="3814" spans="4:11" x14ac:dyDescent="0.2">
      <c r="D3814" s="2"/>
      <c r="E3814" s="2"/>
      <c r="F3814" s="2"/>
      <c r="G3814" s="2"/>
      <c r="H3814" s="2"/>
      <c r="I3814" s="2"/>
      <c r="J3814" s="2"/>
      <c r="K3814" s="2"/>
    </row>
    <row r="3815" spans="4:11" x14ac:dyDescent="0.2">
      <c r="D3815" s="2"/>
      <c r="E3815" s="2"/>
      <c r="F3815" s="2"/>
      <c r="G3815" s="2"/>
      <c r="H3815" s="2"/>
      <c r="I3815" s="2"/>
      <c r="J3815" s="2"/>
      <c r="K3815" s="2"/>
    </row>
    <row r="3816" spans="4:11" x14ac:dyDescent="0.2">
      <c r="D3816" s="2"/>
      <c r="E3816" s="2"/>
      <c r="F3816" s="2"/>
      <c r="G3816" s="2"/>
      <c r="H3816" s="2"/>
      <c r="I3816" s="2"/>
      <c r="J3816" s="2"/>
      <c r="K3816" s="2"/>
    </row>
    <row r="3817" spans="4:11" x14ac:dyDescent="0.2">
      <c r="D3817" s="2"/>
      <c r="E3817" s="2"/>
      <c r="F3817" s="2"/>
      <c r="G3817" s="2"/>
      <c r="H3817" s="2"/>
      <c r="I3817" s="2"/>
      <c r="J3817" s="2"/>
      <c r="K3817" s="2"/>
    </row>
    <row r="3818" spans="4:11" x14ac:dyDescent="0.2">
      <c r="D3818" s="2"/>
      <c r="E3818" s="2"/>
      <c r="F3818" s="2"/>
      <c r="G3818" s="2"/>
      <c r="H3818" s="2"/>
      <c r="I3818" s="2"/>
      <c r="J3818" s="2"/>
      <c r="K3818" s="2"/>
    </row>
    <row r="3819" spans="4:11" x14ac:dyDescent="0.2">
      <c r="D3819" s="2"/>
      <c r="E3819" s="2"/>
      <c r="F3819" s="2"/>
      <c r="G3819" s="2"/>
      <c r="H3819" s="2"/>
      <c r="I3819" s="2"/>
      <c r="J3819" s="2"/>
      <c r="K3819" s="2"/>
    </row>
    <row r="3820" spans="4:11" x14ac:dyDescent="0.2">
      <c r="D3820" s="2"/>
      <c r="E3820" s="2"/>
      <c r="F3820" s="2"/>
      <c r="G3820" s="2"/>
      <c r="H3820" s="2"/>
      <c r="I3820" s="2"/>
      <c r="J3820" s="2"/>
      <c r="K3820" s="2"/>
    </row>
    <row r="3821" spans="4:11" x14ac:dyDescent="0.2">
      <c r="D3821" s="2"/>
      <c r="E3821" s="2"/>
      <c r="F3821" s="2"/>
      <c r="G3821" s="2"/>
      <c r="H3821" s="2"/>
      <c r="I3821" s="2"/>
      <c r="J3821" s="2"/>
      <c r="K3821" s="2"/>
    </row>
    <row r="3822" spans="4:11" x14ac:dyDescent="0.2">
      <c r="D3822" s="2"/>
      <c r="E3822" s="2"/>
      <c r="F3822" s="2"/>
      <c r="G3822" s="2"/>
      <c r="H3822" s="2"/>
      <c r="I3822" s="2"/>
      <c r="J3822" s="2"/>
      <c r="K3822" s="2"/>
    </row>
    <row r="3823" spans="4:11" x14ac:dyDescent="0.2">
      <c r="D3823" s="2"/>
      <c r="E3823" s="2"/>
      <c r="F3823" s="2"/>
      <c r="G3823" s="2"/>
      <c r="H3823" s="2"/>
      <c r="I3823" s="2"/>
      <c r="J3823" s="2"/>
      <c r="K3823" s="2"/>
    </row>
    <row r="3824" spans="4:11" x14ac:dyDescent="0.2">
      <c r="D3824" s="2"/>
      <c r="E3824" s="2"/>
      <c r="F3824" s="2"/>
      <c r="G3824" s="2"/>
      <c r="H3824" s="2"/>
      <c r="I3824" s="2"/>
      <c r="J3824" s="2"/>
      <c r="K3824" s="2"/>
    </row>
    <row r="3825" spans="4:11" x14ac:dyDescent="0.2">
      <c r="D3825" s="2"/>
      <c r="E3825" s="2"/>
      <c r="F3825" s="2"/>
      <c r="G3825" s="2"/>
      <c r="H3825" s="2"/>
      <c r="I3825" s="2"/>
      <c r="J3825" s="2"/>
      <c r="K3825" s="2"/>
    </row>
    <row r="3826" spans="4:11" x14ac:dyDescent="0.2">
      <c r="D3826" s="2"/>
      <c r="E3826" s="2"/>
      <c r="F3826" s="2"/>
      <c r="G3826" s="2"/>
      <c r="H3826" s="2"/>
      <c r="I3826" s="2"/>
      <c r="J3826" s="2"/>
      <c r="K3826" s="2"/>
    </row>
    <row r="3827" spans="4:11" x14ac:dyDescent="0.2">
      <c r="D3827" s="2"/>
      <c r="E3827" s="2"/>
      <c r="F3827" s="2"/>
      <c r="G3827" s="2"/>
      <c r="H3827" s="2"/>
      <c r="I3827" s="2"/>
      <c r="J3827" s="2"/>
      <c r="K3827" s="2"/>
    </row>
    <row r="3828" spans="4:11" x14ac:dyDescent="0.2">
      <c r="D3828" s="2"/>
      <c r="E3828" s="2"/>
      <c r="F3828" s="2"/>
      <c r="G3828" s="2"/>
      <c r="H3828" s="2"/>
      <c r="I3828" s="2"/>
      <c r="J3828" s="2"/>
      <c r="K3828" s="2"/>
    </row>
    <row r="3829" spans="4:11" x14ac:dyDescent="0.2">
      <c r="D3829" s="2"/>
      <c r="E3829" s="2"/>
      <c r="F3829" s="2"/>
      <c r="G3829" s="2"/>
      <c r="H3829" s="2"/>
      <c r="I3829" s="2"/>
      <c r="J3829" s="2"/>
      <c r="K3829" s="2"/>
    </row>
    <row r="3830" spans="4:11" x14ac:dyDescent="0.2">
      <c r="D3830" s="2"/>
      <c r="E3830" s="2"/>
      <c r="F3830" s="2"/>
      <c r="G3830" s="2"/>
      <c r="H3830" s="2"/>
      <c r="I3830" s="2"/>
      <c r="J3830" s="2"/>
      <c r="K3830" s="2"/>
    </row>
    <row r="3831" spans="4:11" x14ac:dyDescent="0.2">
      <c r="D3831" s="2"/>
      <c r="E3831" s="2"/>
      <c r="F3831" s="2"/>
      <c r="G3831" s="2"/>
      <c r="H3831" s="2"/>
      <c r="I3831" s="2"/>
      <c r="J3831" s="2"/>
      <c r="K3831" s="2"/>
    </row>
    <row r="3832" spans="4:11" x14ac:dyDescent="0.2">
      <c r="D3832" s="2"/>
      <c r="E3832" s="2"/>
      <c r="F3832" s="2"/>
      <c r="G3832" s="2"/>
      <c r="H3832" s="2"/>
      <c r="I3832" s="2"/>
      <c r="J3832" s="2"/>
      <c r="K3832" s="2"/>
    </row>
    <row r="3833" spans="4:11" x14ac:dyDescent="0.2">
      <c r="D3833" s="2"/>
      <c r="E3833" s="2"/>
      <c r="F3833" s="2"/>
      <c r="G3833" s="2"/>
      <c r="H3833" s="2"/>
      <c r="I3833" s="2"/>
      <c r="J3833" s="2"/>
      <c r="K3833" s="2"/>
    </row>
    <row r="3834" spans="4:11" x14ac:dyDescent="0.2">
      <c r="D3834" s="2"/>
      <c r="E3834" s="2"/>
      <c r="F3834" s="2"/>
      <c r="G3834" s="2"/>
      <c r="H3834" s="2"/>
      <c r="I3834" s="2"/>
      <c r="J3834" s="2"/>
      <c r="K3834" s="2"/>
    </row>
    <row r="3835" spans="4:11" x14ac:dyDescent="0.2">
      <c r="D3835" s="2"/>
      <c r="E3835" s="2"/>
      <c r="F3835" s="2"/>
      <c r="G3835" s="2"/>
      <c r="H3835" s="2"/>
      <c r="I3835" s="2"/>
      <c r="J3835" s="2"/>
      <c r="K3835" s="2"/>
    </row>
    <row r="3836" spans="4:11" x14ac:dyDescent="0.2">
      <c r="D3836" s="2"/>
      <c r="E3836" s="2"/>
      <c r="F3836" s="2"/>
      <c r="G3836" s="2"/>
      <c r="H3836" s="2"/>
      <c r="I3836" s="2"/>
      <c r="J3836" s="2"/>
      <c r="K3836" s="2"/>
    </row>
    <row r="3837" spans="4:11" x14ac:dyDescent="0.2">
      <c r="D3837" s="2"/>
      <c r="E3837" s="2"/>
      <c r="F3837" s="2"/>
      <c r="G3837" s="2"/>
      <c r="H3837" s="2"/>
      <c r="I3837" s="2"/>
      <c r="J3837" s="2"/>
      <c r="K3837" s="2"/>
    </row>
    <row r="3838" spans="4:11" x14ac:dyDescent="0.2">
      <c r="D3838" s="2"/>
      <c r="E3838" s="2"/>
      <c r="F3838" s="2"/>
      <c r="G3838" s="2"/>
      <c r="H3838" s="2"/>
      <c r="I3838" s="2"/>
      <c r="J3838" s="2"/>
      <c r="K3838" s="2"/>
    </row>
    <row r="3839" spans="4:11" x14ac:dyDescent="0.2">
      <c r="D3839" s="2"/>
      <c r="E3839" s="2"/>
      <c r="F3839" s="2"/>
      <c r="G3839" s="2"/>
      <c r="H3839" s="2"/>
      <c r="I3839" s="2"/>
      <c r="J3839" s="2"/>
      <c r="K3839" s="2"/>
    </row>
    <row r="3840" spans="4:11" x14ac:dyDescent="0.2">
      <c r="D3840" s="2"/>
      <c r="E3840" s="2"/>
      <c r="F3840" s="2"/>
      <c r="G3840" s="2"/>
      <c r="H3840" s="2"/>
      <c r="I3840" s="2"/>
      <c r="J3840" s="2"/>
      <c r="K3840" s="2"/>
    </row>
    <row r="3841" spans="4:11" x14ac:dyDescent="0.2">
      <c r="D3841" s="2"/>
      <c r="E3841" s="2"/>
      <c r="F3841" s="2"/>
      <c r="G3841" s="2"/>
      <c r="H3841" s="2"/>
      <c r="I3841" s="2"/>
      <c r="J3841" s="2"/>
      <c r="K3841" s="2"/>
    </row>
    <row r="3842" spans="4:11" x14ac:dyDescent="0.2">
      <c r="D3842" s="2"/>
      <c r="E3842" s="2"/>
      <c r="F3842" s="2"/>
      <c r="G3842" s="2"/>
      <c r="H3842" s="2"/>
      <c r="I3842" s="2"/>
      <c r="J3842" s="2"/>
      <c r="K3842" s="2"/>
    </row>
    <row r="3843" spans="4:11" x14ac:dyDescent="0.2">
      <c r="D3843" s="2"/>
      <c r="E3843" s="2"/>
      <c r="F3843" s="2"/>
      <c r="G3843" s="2"/>
      <c r="H3843" s="2"/>
      <c r="I3843" s="2"/>
      <c r="J3843" s="2"/>
      <c r="K3843" s="2"/>
    </row>
    <row r="3844" spans="4:11" x14ac:dyDescent="0.2">
      <c r="D3844" s="2"/>
      <c r="E3844" s="2"/>
      <c r="F3844" s="2"/>
      <c r="G3844" s="2"/>
      <c r="H3844" s="2"/>
      <c r="I3844" s="2"/>
      <c r="J3844" s="2"/>
      <c r="K3844" s="2"/>
    </row>
    <row r="3845" spans="4:11" x14ac:dyDescent="0.2">
      <c r="D3845" s="2"/>
      <c r="E3845" s="2"/>
      <c r="F3845" s="2"/>
      <c r="G3845" s="2"/>
      <c r="H3845" s="2"/>
      <c r="I3845" s="2"/>
      <c r="J3845" s="2"/>
      <c r="K3845" s="2"/>
    </row>
    <row r="3846" spans="4:11" x14ac:dyDescent="0.2">
      <c r="D3846" s="2"/>
      <c r="E3846" s="2"/>
      <c r="F3846" s="2"/>
      <c r="G3846" s="2"/>
      <c r="H3846" s="2"/>
      <c r="I3846" s="2"/>
      <c r="J3846" s="2"/>
      <c r="K3846" s="2"/>
    </row>
    <row r="3847" spans="4:11" x14ac:dyDescent="0.2">
      <c r="D3847" s="2"/>
      <c r="E3847" s="2"/>
      <c r="F3847" s="2"/>
      <c r="G3847" s="2"/>
      <c r="H3847" s="2"/>
      <c r="I3847" s="2"/>
      <c r="J3847" s="2"/>
      <c r="K3847" s="2"/>
    </row>
    <row r="3848" spans="4:11" x14ac:dyDescent="0.2">
      <c r="D3848" s="2"/>
      <c r="E3848" s="2"/>
      <c r="F3848" s="2"/>
      <c r="G3848" s="2"/>
      <c r="H3848" s="2"/>
      <c r="I3848" s="2"/>
      <c r="J3848" s="2"/>
      <c r="K3848" s="2"/>
    </row>
    <row r="3849" spans="4:11" x14ac:dyDescent="0.2">
      <c r="D3849" s="2"/>
      <c r="E3849" s="2"/>
      <c r="F3849" s="2"/>
      <c r="G3849" s="2"/>
      <c r="H3849" s="2"/>
      <c r="I3849" s="2"/>
      <c r="J3849" s="2"/>
      <c r="K3849" s="2"/>
    </row>
    <row r="3850" spans="4:11" x14ac:dyDescent="0.2">
      <c r="D3850" s="2"/>
      <c r="E3850" s="2"/>
      <c r="F3850" s="2"/>
      <c r="G3850" s="2"/>
      <c r="H3850" s="2"/>
      <c r="I3850" s="2"/>
      <c r="J3850" s="2"/>
      <c r="K3850" s="2"/>
    </row>
    <row r="3851" spans="4:11" x14ac:dyDescent="0.2">
      <c r="D3851" s="2"/>
      <c r="E3851" s="2"/>
      <c r="F3851" s="2"/>
      <c r="G3851" s="2"/>
      <c r="H3851" s="2"/>
      <c r="I3851" s="2"/>
      <c r="J3851" s="2"/>
      <c r="K3851" s="2"/>
    </row>
    <row r="3852" spans="4:11" x14ac:dyDescent="0.2">
      <c r="D3852" s="2"/>
      <c r="E3852" s="2"/>
      <c r="F3852" s="2"/>
      <c r="G3852" s="2"/>
      <c r="H3852" s="2"/>
      <c r="I3852" s="2"/>
      <c r="J3852" s="2"/>
      <c r="K3852" s="2"/>
    </row>
    <row r="3853" spans="4:11" x14ac:dyDescent="0.2">
      <c r="D3853" s="2"/>
      <c r="E3853" s="2"/>
      <c r="F3853" s="2"/>
      <c r="G3853" s="2"/>
      <c r="H3853" s="2"/>
      <c r="I3853" s="2"/>
      <c r="J3853" s="2"/>
      <c r="K3853" s="2"/>
    </row>
    <row r="3854" spans="4:11" x14ac:dyDescent="0.2">
      <c r="D3854" s="2"/>
      <c r="E3854" s="2"/>
      <c r="F3854" s="2"/>
      <c r="G3854" s="2"/>
      <c r="H3854" s="2"/>
      <c r="I3854" s="2"/>
      <c r="J3854" s="2"/>
      <c r="K3854" s="2"/>
    </row>
    <row r="3855" spans="4:11" x14ac:dyDescent="0.2">
      <c r="D3855" s="2"/>
      <c r="E3855" s="2"/>
      <c r="F3855" s="2"/>
      <c r="G3855" s="2"/>
      <c r="H3855" s="2"/>
      <c r="I3855" s="2"/>
      <c r="J3855" s="2"/>
      <c r="K3855" s="2"/>
    </row>
    <row r="3856" spans="4:11" x14ac:dyDescent="0.2">
      <c r="D3856" s="2"/>
      <c r="E3856" s="2"/>
      <c r="F3856" s="2"/>
      <c r="G3856" s="2"/>
      <c r="H3856" s="2"/>
      <c r="I3856" s="2"/>
      <c r="J3856" s="2"/>
      <c r="K3856" s="2"/>
    </row>
    <row r="3857" spans="4:11" x14ac:dyDescent="0.2">
      <c r="D3857" s="2"/>
      <c r="E3857" s="2"/>
      <c r="F3857" s="2"/>
      <c r="G3857" s="2"/>
      <c r="H3857" s="2"/>
      <c r="I3857" s="2"/>
      <c r="J3857" s="2"/>
      <c r="K3857" s="2"/>
    </row>
    <row r="3858" spans="4:11" x14ac:dyDescent="0.2">
      <c r="D3858" s="2"/>
      <c r="E3858" s="2"/>
      <c r="F3858" s="2"/>
      <c r="G3858" s="2"/>
      <c r="H3858" s="2"/>
      <c r="I3858" s="2"/>
      <c r="J3858" s="2"/>
      <c r="K3858" s="2"/>
    </row>
    <row r="3859" spans="4:11" x14ac:dyDescent="0.2">
      <c r="D3859" s="2"/>
      <c r="E3859" s="2"/>
      <c r="F3859" s="2"/>
      <c r="G3859" s="2"/>
      <c r="H3859" s="2"/>
      <c r="I3859" s="2"/>
      <c r="J3859" s="2"/>
      <c r="K3859" s="2"/>
    </row>
    <row r="3860" spans="4:11" x14ac:dyDescent="0.2">
      <c r="D3860" s="2"/>
      <c r="E3860" s="2"/>
      <c r="F3860" s="2"/>
      <c r="G3860" s="2"/>
      <c r="H3860" s="2"/>
      <c r="I3860" s="2"/>
      <c r="J3860" s="2"/>
      <c r="K3860" s="2"/>
    </row>
    <row r="3861" spans="4:11" x14ac:dyDescent="0.2">
      <c r="D3861" s="2"/>
      <c r="E3861" s="2"/>
      <c r="F3861" s="2"/>
      <c r="G3861" s="2"/>
      <c r="H3861" s="2"/>
      <c r="I3861" s="2"/>
      <c r="J3861" s="2"/>
      <c r="K3861" s="2"/>
    </row>
    <row r="3862" spans="4:11" x14ac:dyDescent="0.2">
      <c r="D3862" s="2"/>
      <c r="E3862" s="2"/>
      <c r="F3862" s="2"/>
      <c r="G3862" s="2"/>
      <c r="H3862" s="2"/>
      <c r="I3862" s="2"/>
      <c r="J3862" s="2"/>
      <c r="K3862" s="2"/>
    </row>
    <row r="3863" spans="4:11" x14ac:dyDescent="0.2">
      <c r="D3863" s="2"/>
      <c r="E3863" s="2"/>
      <c r="F3863" s="2"/>
      <c r="G3863" s="2"/>
      <c r="H3863" s="2"/>
      <c r="I3863" s="2"/>
      <c r="J3863" s="2"/>
      <c r="K3863" s="2"/>
    </row>
    <row r="3864" spans="4:11" x14ac:dyDescent="0.2">
      <c r="D3864" s="2"/>
      <c r="E3864" s="2"/>
      <c r="F3864" s="2"/>
      <c r="G3864" s="2"/>
      <c r="H3864" s="2"/>
      <c r="I3864" s="2"/>
      <c r="J3864" s="2"/>
      <c r="K3864" s="2"/>
    </row>
    <row r="3865" spans="4:11" x14ac:dyDescent="0.2">
      <c r="D3865" s="2"/>
      <c r="E3865" s="2"/>
      <c r="F3865" s="2"/>
      <c r="G3865" s="2"/>
      <c r="H3865" s="2"/>
      <c r="I3865" s="2"/>
      <c r="J3865" s="2"/>
      <c r="K3865" s="2"/>
    </row>
    <row r="3866" spans="4:11" x14ac:dyDescent="0.2">
      <c r="D3866" s="2"/>
      <c r="E3866" s="2"/>
      <c r="F3866" s="2"/>
      <c r="G3866" s="2"/>
      <c r="H3866" s="2"/>
      <c r="I3866" s="2"/>
      <c r="J3866" s="2"/>
      <c r="K3866" s="2"/>
    </row>
    <row r="3867" spans="4:11" x14ac:dyDescent="0.2">
      <c r="D3867" s="2"/>
      <c r="E3867" s="2"/>
      <c r="F3867" s="2"/>
      <c r="G3867" s="2"/>
      <c r="H3867" s="2"/>
      <c r="I3867" s="2"/>
      <c r="J3867" s="2"/>
      <c r="K3867" s="2"/>
    </row>
    <row r="3868" spans="4:11" x14ac:dyDescent="0.2">
      <c r="D3868" s="2"/>
      <c r="E3868" s="2"/>
      <c r="F3868" s="2"/>
      <c r="G3868" s="2"/>
      <c r="H3868" s="2"/>
      <c r="I3868" s="2"/>
      <c r="J3868" s="2"/>
      <c r="K3868" s="2"/>
    </row>
    <row r="3869" spans="4:11" x14ac:dyDescent="0.2">
      <c r="D3869" s="2"/>
      <c r="E3869" s="2"/>
      <c r="F3869" s="2"/>
      <c r="G3869" s="2"/>
      <c r="H3869" s="2"/>
      <c r="I3869" s="2"/>
      <c r="J3869" s="2"/>
      <c r="K3869" s="2"/>
    </row>
    <row r="3870" spans="4:11" x14ac:dyDescent="0.2">
      <c r="D3870" s="2"/>
      <c r="E3870" s="2"/>
      <c r="F3870" s="2"/>
      <c r="G3870" s="2"/>
      <c r="H3870" s="2"/>
      <c r="I3870" s="2"/>
      <c r="J3870" s="2"/>
      <c r="K3870" s="2"/>
    </row>
    <row r="3871" spans="4:11" x14ac:dyDescent="0.2">
      <c r="D3871" s="2"/>
      <c r="E3871" s="2"/>
      <c r="F3871" s="2"/>
      <c r="G3871" s="2"/>
      <c r="H3871" s="2"/>
      <c r="I3871" s="2"/>
      <c r="J3871" s="2"/>
      <c r="K3871" s="2"/>
    </row>
    <row r="3872" spans="4:11" x14ac:dyDescent="0.2">
      <c r="D3872" s="2"/>
      <c r="E3872" s="2"/>
      <c r="F3872" s="2"/>
      <c r="G3872" s="2"/>
      <c r="H3872" s="2"/>
      <c r="I3872" s="2"/>
      <c r="J3872" s="2"/>
      <c r="K3872" s="2"/>
    </row>
    <row r="3873" spans="4:11" x14ac:dyDescent="0.2">
      <c r="D3873" s="2"/>
      <c r="E3873" s="2"/>
      <c r="F3873" s="2"/>
      <c r="G3873" s="2"/>
      <c r="H3873" s="2"/>
      <c r="I3873" s="2"/>
      <c r="J3873" s="2"/>
      <c r="K3873" s="2"/>
    </row>
    <row r="3874" spans="4:11" x14ac:dyDescent="0.2">
      <c r="D3874" s="2"/>
      <c r="E3874" s="2"/>
      <c r="F3874" s="2"/>
      <c r="G3874" s="2"/>
      <c r="H3874" s="2"/>
      <c r="I3874" s="2"/>
      <c r="J3874" s="2"/>
      <c r="K3874" s="2"/>
    </row>
    <row r="3875" spans="4:11" x14ac:dyDescent="0.2">
      <c r="D3875" s="2"/>
      <c r="E3875" s="2"/>
      <c r="F3875" s="2"/>
      <c r="G3875" s="2"/>
      <c r="H3875" s="2"/>
      <c r="I3875" s="2"/>
      <c r="J3875" s="2"/>
      <c r="K3875" s="2"/>
    </row>
    <row r="3876" spans="4:11" x14ac:dyDescent="0.2">
      <c r="D3876" s="2"/>
      <c r="E3876" s="2"/>
      <c r="F3876" s="2"/>
      <c r="G3876" s="2"/>
      <c r="H3876" s="2"/>
      <c r="I3876" s="2"/>
      <c r="J3876" s="2"/>
      <c r="K3876" s="2"/>
    </row>
    <row r="3877" spans="4:11" x14ac:dyDescent="0.2">
      <c r="D3877" s="2"/>
      <c r="E3877" s="2"/>
      <c r="F3877" s="2"/>
      <c r="G3877" s="2"/>
      <c r="H3877" s="2"/>
      <c r="I3877" s="2"/>
      <c r="J3877" s="2"/>
      <c r="K3877" s="2"/>
    </row>
    <row r="3878" spans="4:11" x14ac:dyDescent="0.2">
      <c r="D3878" s="2"/>
      <c r="E3878" s="2"/>
      <c r="F3878" s="2"/>
      <c r="G3878" s="2"/>
      <c r="H3878" s="2"/>
      <c r="I3878" s="2"/>
      <c r="J3878" s="2"/>
      <c r="K3878" s="2"/>
    </row>
    <row r="3879" spans="4:11" x14ac:dyDescent="0.2">
      <c r="D3879" s="2"/>
      <c r="E3879" s="2"/>
      <c r="F3879" s="2"/>
      <c r="G3879" s="2"/>
      <c r="H3879" s="2"/>
      <c r="I3879" s="2"/>
      <c r="J3879" s="2"/>
      <c r="K3879" s="2"/>
    </row>
    <row r="3880" spans="4:11" x14ac:dyDescent="0.2">
      <c r="D3880" s="2"/>
      <c r="E3880" s="2"/>
      <c r="F3880" s="2"/>
      <c r="G3880" s="2"/>
      <c r="H3880" s="2"/>
      <c r="I3880" s="2"/>
      <c r="J3880" s="2"/>
      <c r="K3880" s="2"/>
    </row>
    <row r="3881" spans="4:11" x14ac:dyDescent="0.2">
      <c r="D3881" s="2"/>
      <c r="E3881" s="2"/>
      <c r="F3881" s="2"/>
      <c r="G3881" s="2"/>
      <c r="H3881" s="2"/>
      <c r="I3881" s="2"/>
      <c r="J3881" s="2"/>
      <c r="K3881" s="2"/>
    </row>
    <row r="3882" spans="4:11" x14ac:dyDescent="0.2">
      <c r="D3882" s="2"/>
      <c r="E3882" s="2"/>
      <c r="F3882" s="2"/>
      <c r="G3882" s="2"/>
      <c r="H3882" s="2"/>
      <c r="I3882" s="2"/>
      <c r="J3882" s="2"/>
      <c r="K3882" s="2"/>
    </row>
    <row r="3883" spans="4:11" x14ac:dyDescent="0.2">
      <c r="D3883" s="2"/>
      <c r="E3883" s="2"/>
      <c r="F3883" s="2"/>
      <c r="G3883" s="2"/>
      <c r="H3883" s="2"/>
      <c r="I3883" s="2"/>
      <c r="J3883" s="2"/>
      <c r="K3883" s="2"/>
    </row>
    <row r="3884" spans="4:11" x14ac:dyDescent="0.2">
      <c r="D3884" s="2"/>
      <c r="E3884" s="2"/>
      <c r="F3884" s="2"/>
      <c r="G3884" s="2"/>
      <c r="H3884" s="2"/>
      <c r="I3884" s="2"/>
      <c r="J3884" s="2"/>
      <c r="K3884" s="2"/>
    </row>
    <row r="3885" spans="4:11" x14ac:dyDescent="0.2">
      <c r="D3885" s="2"/>
      <c r="E3885" s="2"/>
      <c r="F3885" s="2"/>
      <c r="G3885" s="2"/>
      <c r="H3885" s="2"/>
      <c r="I3885" s="2"/>
      <c r="J3885" s="2"/>
      <c r="K3885" s="2"/>
    </row>
    <row r="3886" spans="4:11" x14ac:dyDescent="0.2">
      <c r="D3886" s="2"/>
      <c r="E3886" s="2"/>
      <c r="F3886" s="2"/>
      <c r="G3886" s="2"/>
      <c r="H3886" s="2"/>
      <c r="I3886" s="2"/>
      <c r="J3886" s="2"/>
      <c r="K3886" s="2"/>
    </row>
    <row r="3887" spans="4:11" x14ac:dyDescent="0.2">
      <c r="D3887" s="2"/>
      <c r="E3887" s="2"/>
      <c r="F3887" s="2"/>
      <c r="G3887" s="2"/>
      <c r="H3887" s="2"/>
      <c r="I3887" s="2"/>
      <c r="J3887" s="2"/>
      <c r="K3887" s="2"/>
    </row>
    <row r="3888" spans="4:11" x14ac:dyDescent="0.2">
      <c r="D3888" s="2"/>
      <c r="E3888" s="2"/>
      <c r="F3888" s="2"/>
      <c r="G3888" s="2"/>
      <c r="H3888" s="2"/>
      <c r="I3888" s="2"/>
      <c r="J3888" s="2"/>
      <c r="K3888" s="2"/>
    </row>
    <row r="3889" spans="4:11" x14ac:dyDescent="0.2">
      <c r="D3889" s="2"/>
      <c r="E3889" s="2"/>
      <c r="F3889" s="2"/>
      <c r="G3889" s="2"/>
      <c r="H3889" s="2"/>
      <c r="I3889" s="2"/>
      <c r="J3889" s="2"/>
      <c r="K3889" s="2"/>
    </row>
    <row r="3890" spans="4:11" x14ac:dyDescent="0.2">
      <c r="D3890" s="2"/>
      <c r="E3890" s="2"/>
      <c r="F3890" s="2"/>
      <c r="G3890" s="2"/>
      <c r="H3890" s="2"/>
      <c r="I3890" s="2"/>
      <c r="J3890" s="2"/>
      <c r="K3890" s="2"/>
    </row>
    <row r="3891" spans="4:11" x14ac:dyDescent="0.2">
      <c r="D3891" s="2"/>
      <c r="E3891" s="2"/>
      <c r="F3891" s="2"/>
      <c r="G3891" s="2"/>
      <c r="H3891" s="2"/>
      <c r="I3891" s="2"/>
      <c r="J3891" s="2"/>
      <c r="K3891" s="2"/>
    </row>
    <row r="3892" spans="4:11" x14ac:dyDescent="0.2">
      <c r="D3892" s="2"/>
      <c r="E3892" s="2"/>
      <c r="F3892" s="2"/>
      <c r="G3892" s="2"/>
      <c r="H3892" s="2"/>
      <c r="I3892" s="2"/>
      <c r="J3892" s="2"/>
      <c r="K3892" s="2"/>
    </row>
    <row r="3893" spans="4:11" x14ac:dyDescent="0.2">
      <c r="D3893" s="2"/>
      <c r="E3893" s="2"/>
      <c r="F3893" s="2"/>
      <c r="G3893" s="2"/>
      <c r="H3893" s="2"/>
      <c r="I3893" s="2"/>
      <c r="J3893" s="2"/>
      <c r="K3893" s="2"/>
    </row>
    <row r="3894" spans="4:11" x14ac:dyDescent="0.2">
      <c r="D3894" s="2"/>
      <c r="E3894" s="2"/>
      <c r="F3894" s="2"/>
      <c r="G3894" s="2"/>
      <c r="H3894" s="2"/>
      <c r="I3894" s="2"/>
      <c r="J3894" s="2"/>
      <c r="K3894" s="2"/>
    </row>
    <row r="3895" spans="4:11" x14ac:dyDescent="0.2">
      <c r="D3895" s="2"/>
      <c r="E3895" s="2"/>
      <c r="F3895" s="2"/>
      <c r="G3895" s="2"/>
      <c r="H3895" s="2"/>
      <c r="I3895" s="2"/>
      <c r="J3895" s="2"/>
      <c r="K3895" s="2"/>
    </row>
    <row r="3896" spans="4:11" x14ac:dyDescent="0.2">
      <c r="D3896" s="2"/>
      <c r="E3896" s="2"/>
      <c r="F3896" s="2"/>
      <c r="G3896" s="2"/>
      <c r="H3896" s="2"/>
      <c r="I3896" s="2"/>
      <c r="J3896" s="2"/>
      <c r="K3896" s="2"/>
    </row>
    <row r="3897" spans="4:11" x14ac:dyDescent="0.2">
      <c r="D3897" s="2"/>
      <c r="E3897" s="2"/>
      <c r="F3897" s="2"/>
      <c r="G3897" s="2"/>
      <c r="H3897" s="2"/>
      <c r="I3897" s="2"/>
      <c r="J3897" s="2"/>
      <c r="K3897" s="2"/>
    </row>
    <row r="3898" spans="4:11" x14ac:dyDescent="0.2">
      <c r="D3898" s="2"/>
      <c r="E3898" s="2"/>
      <c r="F3898" s="2"/>
      <c r="G3898" s="2"/>
      <c r="H3898" s="2"/>
      <c r="I3898" s="2"/>
      <c r="J3898" s="2"/>
      <c r="K3898" s="2"/>
    </row>
    <row r="3899" spans="4:11" x14ac:dyDescent="0.2">
      <c r="D3899" s="2"/>
      <c r="E3899" s="2"/>
      <c r="F3899" s="2"/>
      <c r="G3899" s="2"/>
      <c r="H3899" s="2"/>
      <c r="I3899" s="2"/>
      <c r="J3899" s="2"/>
      <c r="K3899" s="2"/>
    </row>
    <row r="3900" spans="4:11" x14ac:dyDescent="0.2">
      <c r="D3900" s="2"/>
      <c r="E3900" s="2"/>
      <c r="F3900" s="2"/>
      <c r="G3900" s="2"/>
      <c r="H3900" s="2"/>
      <c r="I3900" s="2"/>
      <c r="J3900" s="2"/>
      <c r="K3900" s="2"/>
    </row>
    <row r="3901" spans="4:11" x14ac:dyDescent="0.2">
      <c r="D3901" s="2"/>
      <c r="E3901" s="2"/>
      <c r="F3901" s="2"/>
      <c r="G3901" s="2"/>
      <c r="H3901" s="2"/>
      <c r="I3901" s="2"/>
      <c r="J3901" s="2"/>
      <c r="K3901" s="2"/>
    </row>
    <row r="3902" spans="4:11" x14ac:dyDescent="0.2">
      <c r="D3902" s="2"/>
      <c r="E3902" s="2"/>
      <c r="F3902" s="2"/>
      <c r="G3902" s="2"/>
      <c r="H3902" s="2"/>
      <c r="I3902" s="2"/>
      <c r="J3902" s="2"/>
      <c r="K3902" s="2"/>
    </row>
    <row r="3903" spans="4:11" x14ac:dyDescent="0.2">
      <c r="D3903" s="2"/>
      <c r="E3903" s="2"/>
      <c r="F3903" s="2"/>
      <c r="G3903" s="2"/>
      <c r="H3903" s="2"/>
      <c r="I3903" s="2"/>
      <c r="J3903" s="2"/>
      <c r="K3903" s="2"/>
    </row>
    <row r="3904" spans="4:11" x14ac:dyDescent="0.2">
      <c r="D3904" s="2"/>
      <c r="E3904" s="2"/>
      <c r="F3904" s="2"/>
      <c r="G3904" s="2"/>
      <c r="H3904" s="2"/>
      <c r="I3904" s="2"/>
      <c r="J3904" s="2"/>
      <c r="K3904" s="2"/>
    </row>
    <row r="3905" spans="4:11" x14ac:dyDescent="0.2">
      <c r="D3905" s="2"/>
      <c r="E3905" s="2"/>
      <c r="F3905" s="2"/>
      <c r="G3905" s="2"/>
      <c r="H3905" s="2"/>
      <c r="I3905" s="2"/>
      <c r="J3905" s="2"/>
      <c r="K3905" s="2"/>
    </row>
    <row r="3906" spans="4:11" x14ac:dyDescent="0.2">
      <c r="D3906" s="2"/>
      <c r="E3906" s="2"/>
      <c r="F3906" s="2"/>
      <c r="G3906" s="2"/>
      <c r="H3906" s="2"/>
      <c r="I3906" s="2"/>
      <c r="J3906" s="2"/>
      <c r="K3906" s="2"/>
    </row>
    <row r="3907" spans="4:11" x14ac:dyDescent="0.2">
      <c r="D3907" s="2"/>
      <c r="E3907" s="2"/>
      <c r="F3907" s="2"/>
      <c r="G3907" s="2"/>
      <c r="H3907" s="2"/>
      <c r="I3907" s="2"/>
      <c r="J3907" s="2"/>
      <c r="K3907" s="2"/>
    </row>
    <row r="3908" spans="4:11" x14ac:dyDescent="0.2">
      <c r="D3908" s="2"/>
      <c r="E3908" s="2"/>
      <c r="F3908" s="2"/>
      <c r="G3908" s="2"/>
      <c r="H3908" s="2"/>
      <c r="I3908" s="2"/>
      <c r="J3908" s="2"/>
      <c r="K3908" s="2"/>
    </row>
    <row r="3909" spans="4:11" x14ac:dyDescent="0.2">
      <c r="D3909" s="2"/>
      <c r="E3909" s="2"/>
      <c r="F3909" s="2"/>
      <c r="G3909" s="2"/>
      <c r="H3909" s="2"/>
      <c r="I3909" s="2"/>
      <c r="J3909" s="2"/>
      <c r="K3909" s="2"/>
    </row>
    <row r="3910" spans="4:11" x14ac:dyDescent="0.2">
      <c r="D3910" s="2"/>
      <c r="E3910" s="2"/>
      <c r="F3910" s="2"/>
      <c r="G3910" s="2"/>
      <c r="H3910" s="2"/>
      <c r="I3910" s="2"/>
      <c r="J3910" s="2"/>
      <c r="K3910" s="2"/>
    </row>
    <row r="3911" spans="4:11" x14ac:dyDescent="0.2">
      <c r="D3911" s="2"/>
      <c r="E3911" s="2"/>
      <c r="F3911" s="2"/>
      <c r="G3911" s="2"/>
      <c r="H3911" s="2"/>
      <c r="I3911" s="2"/>
      <c r="J3911" s="2"/>
      <c r="K3911" s="2"/>
    </row>
    <row r="3912" spans="4:11" x14ac:dyDescent="0.2">
      <c r="D3912" s="2"/>
      <c r="E3912" s="2"/>
      <c r="F3912" s="2"/>
      <c r="G3912" s="2"/>
      <c r="H3912" s="2"/>
      <c r="I3912" s="2"/>
      <c r="J3912" s="2"/>
      <c r="K3912" s="2"/>
    </row>
    <row r="3913" spans="4:11" x14ac:dyDescent="0.2">
      <c r="D3913" s="2"/>
      <c r="E3913" s="2"/>
      <c r="F3913" s="2"/>
      <c r="G3913" s="2"/>
      <c r="H3913" s="2"/>
      <c r="I3913" s="2"/>
      <c r="J3913" s="2"/>
      <c r="K3913" s="2"/>
    </row>
    <row r="3914" spans="4:11" x14ac:dyDescent="0.2">
      <c r="D3914" s="2"/>
      <c r="E3914" s="2"/>
      <c r="F3914" s="2"/>
      <c r="G3914" s="2"/>
      <c r="H3914" s="2"/>
      <c r="I3914" s="2"/>
      <c r="J3914" s="2"/>
      <c r="K3914" s="2"/>
    </row>
    <row r="3915" spans="4:11" x14ac:dyDescent="0.2">
      <c r="D3915" s="2"/>
      <c r="E3915" s="2"/>
      <c r="F3915" s="2"/>
      <c r="G3915" s="2"/>
      <c r="H3915" s="2"/>
      <c r="I3915" s="2"/>
      <c r="J3915" s="2"/>
      <c r="K3915" s="2"/>
    </row>
    <row r="3916" spans="4:11" x14ac:dyDescent="0.2">
      <c r="D3916" s="2"/>
      <c r="E3916" s="2"/>
      <c r="F3916" s="2"/>
      <c r="G3916" s="2"/>
      <c r="H3916" s="2"/>
      <c r="I3916" s="2"/>
      <c r="J3916" s="2"/>
      <c r="K3916" s="2"/>
    </row>
    <row r="3917" spans="4:11" x14ac:dyDescent="0.2">
      <c r="D3917" s="2"/>
      <c r="E3917" s="2"/>
      <c r="F3917" s="2"/>
      <c r="G3917" s="2"/>
      <c r="H3917" s="2"/>
      <c r="I3917" s="2"/>
      <c r="J3917" s="2"/>
      <c r="K3917" s="2"/>
    </row>
    <row r="3918" spans="4:11" x14ac:dyDescent="0.2">
      <c r="D3918" s="2"/>
      <c r="E3918" s="2"/>
      <c r="F3918" s="2"/>
      <c r="G3918" s="2"/>
      <c r="H3918" s="2"/>
      <c r="I3918" s="2"/>
      <c r="J3918" s="2"/>
      <c r="K3918" s="2"/>
    </row>
    <row r="3919" spans="4:11" x14ac:dyDescent="0.2">
      <c r="D3919" s="2"/>
      <c r="E3919" s="2"/>
      <c r="F3919" s="2"/>
      <c r="G3919" s="2"/>
      <c r="H3919" s="2"/>
      <c r="I3919" s="2"/>
      <c r="J3919" s="2"/>
      <c r="K3919" s="2"/>
    </row>
    <row r="3920" spans="4:11" x14ac:dyDescent="0.2">
      <c r="D3920" s="2"/>
      <c r="E3920" s="2"/>
      <c r="F3920" s="2"/>
      <c r="G3920" s="2"/>
      <c r="H3920" s="2"/>
      <c r="I3920" s="2"/>
      <c r="J3920" s="2"/>
      <c r="K3920" s="2"/>
    </row>
    <row r="3921" spans="4:11" x14ac:dyDescent="0.2">
      <c r="D3921" s="2"/>
      <c r="E3921" s="2"/>
      <c r="F3921" s="2"/>
      <c r="G3921" s="2"/>
      <c r="H3921" s="2"/>
      <c r="I3921" s="2"/>
      <c r="J3921" s="2"/>
      <c r="K3921" s="2"/>
    </row>
    <row r="3922" spans="4:11" x14ac:dyDescent="0.2">
      <c r="D3922" s="2"/>
      <c r="E3922" s="2"/>
      <c r="F3922" s="2"/>
      <c r="G3922" s="2"/>
      <c r="H3922" s="2"/>
      <c r="I3922" s="2"/>
      <c r="J3922" s="2"/>
      <c r="K3922" s="2"/>
    </row>
    <row r="3923" spans="4:11" x14ac:dyDescent="0.2">
      <c r="D3923" s="2"/>
      <c r="E3923" s="2"/>
      <c r="F3923" s="2"/>
      <c r="G3923" s="2"/>
      <c r="H3923" s="2"/>
      <c r="I3923" s="2"/>
      <c r="J3923" s="2"/>
      <c r="K3923" s="2"/>
    </row>
    <row r="3924" spans="4:11" x14ac:dyDescent="0.2">
      <c r="D3924" s="2"/>
      <c r="E3924" s="2"/>
      <c r="F3924" s="2"/>
      <c r="G3924" s="2"/>
      <c r="H3924" s="2"/>
      <c r="I3924" s="2"/>
      <c r="J3924" s="2"/>
      <c r="K3924" s="2"/>
    </row>
    <row r="3925" spans="4:11" x14ac:dyDescent="0.2">
      <c r="D3925" s="2"/>
      <c r="E3925" s="2"/>
      <c r="F3925" s="2"/>
      <c r="G3925" s="2"/>
      <c r="H3925" s="2"/>
      <c r="I3925" s="2"/>
      <c r="J3925" s="2"/>
      <c r="K3925" s="2"/>
    </row>
    <row r="3926" spans="4:11" x14ac:dyDescent="0.2">
      <c r="D3926" s="2"/>
      <c r="E3926" s="2"/>
      <c r="F3926" s="2"/>
      <c r="G3926" s="2"/>
      <c r="H3926" s="2"/>
      <c r="I3926" s="2"/>
      <c r="J3926" s="2"/>
      <c r="K3926" s="2"/>
    </row>
    <row r="3927" spans="4:11" x14ac:dyDescent="0.2">
      <c r="D3927" s="2"/>
      <c r="E3927" s="2"/>
      <c r="F3927" s="2"/>
      <c r="G3927" s="2"/>
      <c r="H3927" s="2"/>
      <c r="I3927" s="2"/>
      <c r="J3927" s="2"/>
      <c r="K3927" s="2"/>
    </row>
    <row r="3928" spans="4:11" x14ac:dyDescent="0.2">
      <c r="D3928" s="2"/>
      <c r="E3928" s="2"/>
      <c r="F3928" s="2"/>
      <c r="G3928" s="2"/>
      <c r="H3928" s="2"/>
      <c r="I3928" s="2"/>
      <c r="J3928" s="2"/>
      <c r="K3928" s="2"/>
    </row>
    <row r="3929" spans="4:11" x14ac:dyDescent="0.2">
      <c r="D3929" s="2"/>
      <c r="E3929" s="2"/>
      <c r="F3929" s="2"/>
      <c r="G3929" s="2"/>
      <c r="H3929" s="2"/>
      <c r="I3929" s="2"/>
      <c r="J3929" s="2"/>
      <c r="K3929" s="2"/>
    </row>
    <row r="3930" spans="4:11" x14ac:dyDescent="0.2">
      <c r="D3930" s="2"/>
      <c r="E3930" s="2"/>
      <c r="F3930" s="2"/>
      <c r="G3930" s="2"/>
      <c r="H3930" s="2"/>
      <c r="I3930" s="2"/>
      <c r="J3930" s="2"/>
      <c r="K3930" s="2"/>
    </row>
    <row r="3931" spans="4:11" x14ac:dyDescent="0.2">
      <c r="D3931" s="2"/>
      <c r="E3931" s="2"/>
      <c r="F3931" s="2"/>
      <c r="G3931" s="2"/>
      <c r="H3931" s="2"/>
      <c r="I3931" s="2"/>
      <c r="J3931" s="2"/>
      <c r="K3931" s="2"/>
    </row>
    <row r="3932" spans="4:11" x14ac:dyDescent="0.2">
      <c r="D3932" s="2"/>
      <c r="E3932" s="2"/>
      <c r="F3932" s="2"/>
      <c r="G3932" s="2"/>
      <c r="H3932" s="2"/>
      <c r="I3932" s="2"/>
      <c r="J3932" s="2"/>
      <c r="K3932" s="2"/>
    </row>
    <row r="3933" spans="4:11" x14ac:dyDescent="0.2">
      <c r="D3933" s="2"/>
      <c r="E3933" s="2"/>
      <c r="F3933" s="2"/>
      <c r="G3933" s="2"/>
      <c r="H3933" s="2"/>
      <c r="I3933" s="2"/>
      <c r="J3933" s="2"/>
      <c r="K3933" s="2"/>
    </row>
    <row r="3934" spans="4:11" x14ac:dyDescent="0.2">
      <c r="D3934" s="2"/>
      <c r="E3934" s="2"/>
      <c r="F3934" s="2"/>
      <c r="G3934" s="2"/>
      <c r="H3934" s="2"/>
      <c r="I3934" s="2"/>
      <c r="J3934" s="2"/>
      <c r="K3934" s="2"/>
    </row>
    <row r="3935" spans="4:11" x14ac:dyDescent="0.2">
      <c r="D3935" s="2"/>
      <c r="E3935" s="2"/>
      <c r="F3935" s="2"/>
      <c r="G3935" s="2"/>
      <c r="H3935" s="2"/>
      <c r="I3935" s="2"/>
      <c r="J3935" s="2"/>
      <c r="K3935" s="2"/>
    </row>
    <row r="3936" spans="4:11" x14ac:dyDescent="0.2">
      <c r="D3936" s="2"/>
      <c r="E3936" s="2"/>
      <c r="F3936" s="2"/>
      <c r="G3936" s="2"/>
      <c r="H3936" s="2"/>
      <c r="I3936" s="2"/>
      <c r="J3936" s="2"/>
      <c r="K3936" s="2"/>
    </row>
    <row r="3937" spans="4:11" x14ac:dyDescent="0.2">
      <c r="D3937" s="2"/>
      <c r="E3937" s="2"/>
      <c r="F3937" s="2"/>
      <c r="G3937" s="2"/>
      <c r="H3937" s="2"/>
      <c r="I3937" s="2"/>
      <c r="J3937" s="2"/>
      <c r="K3937" s="2"/>
    </row>
    <row r="3938" spans="4:11" x14ac:dyDescent="0.2">
      <c r="D3938" s="2"/>
      <c r="E3938" s="2"/>
      <c r="F3938" s="2"/>
      <c r="G3938" s="2"/>
      <c r="H3938" s="2"/>
      <c r="I3938" s="2"/>
      <c r="J3938" s="2"/>
      <c r="K3938" s="2"/>
    </row>
    <row r="3939" spans="4:11" x14ac:dyDescent="0.2">
      <c r="D3939" s="2"/>
      <c r="E3939" s="2"/>
      <c r="F3939" s="2"/>
      <c r="G3939" s="2"/>
      <c r="H3939" s="2"/>
      <c r="I3939" s="2"/>
      <c r="J3939" s="2"/>
      <c r="K3939" s="2"/>
    </row>
    <row r="3940" spans="4:11" x14ac:dyDescent="0.2">
      <c r="D3940" s="2"/>
      <c r="E3940" s="2"/>
      <c r="F3940" s="2"/>
      <c r="G3940" s="2"/>
      <c r="H3940" s="2"/>
      <c r="I3940" s="2"/>
      <c r="J3940" s="2"/>
      <c r="K3940" s="2"/>
    </row>
    <row r="3941" spans="4:11" x14ac:dyDescent="0.2">
      <c r="D3941" s="2"/>
      <c r="E3941" s="2"/>
      <c r="F3941" s="2"/>
      <c r="G3941" s="2"/>
      <c r="H3941" s="2"/>
      <c r="I3941" s="2"/>
      <c r="J3941" s="2"/>
      <c r="K3941" s="2"/>
    </row>
    <row r="3942" spans="4:11" x14ac:dyDescent="0.2">
      <c r="D3942" s="2"/>
      <c r="E3942" s="2"/>
      <c r="F3942" s="2"/>
      <c r="G3942" s="2"/>
      <c r="H3942" s="2"/>
      <c r="I3942" s="2"/>
      <c r="J3942" s="2"/>
      <c r="K3942" s="2"/>
    </row>
    <row r="3943" spans="4:11" x14ac:dyDescent="0.2">
      <c r="D3943" s="2"/>
      <c r="E3943" s="2"/>
      <c r="F3943" s="2"/>
      <c r="G3943" s="2"/>
      <c r="H3943" s="2"/>
      <c r="I3943" s="2"/>
      <c r="J3943" s="2"/>
      <c r="K3943" s="2"/>
    </row>
    <row r="3944" spans="4:11" x14ac:dyDescent="0.2">
      <c r="D3944" s="2"/>
      <c r="E3944" s="2"/>
      <c r="F3944" s="2"/>
      <c r="G3944" s="2"/>
      <c r="H3944" s="2"/>
      <c r="I3944" s="2"/>
      <c r="J3944" s="2"/>
      <c r="K3944" s="2"/>
    </row>
    <row r="3945" spans="4:11" x14ac:dyDescent="0.2">
      <c r="D3945" s="2"/>
      <c r="E3945" s="2"/>
      <c r="F3945" s="2"/>
      <c r="G3945" s="2"/>
      <c r="H3945" s="2"/>
      <c r="I3945" s="2"/>
      <c r="J3945" s="2"/>
      <c r="K3945" s="2"/>
    </row>
    <row r="3946" spans="4:11" x14ac:dyDescent="0.2">
      <c r="D3946" s="2"/>
      <c r="E3946" s="2"/>
      <c r="F3946" s="2"/>
      <c r="G3946" s="2"/>
      <c r="H3946" s="2"/>
      <c r="I3946" s="2"/>
      <c r="J3946" s="2"/>
      <c r="K3946" s="2"/>
    </row>
    <row r="3947" spans="4:11" x14ac:dyDescent="0.2">
      <c r="D3947" s="2"/>
      <c r="E3947" s="2"/>
      <c r="F3947" s="2"/>
      <c r="G3947" s="2"/>
      <c r="H3947" s="2"/>
      <c r="I3947" s="2"/>
      <c r="J3947" s="2"/>
      <c r="K3947" s="2"/>
    </row>
    <row r="3948" spans="4:11" x14ac:dyDescent="0.2">
      <c r="D3948" s="2"/>
      <c r="E3948" s="2"/>
      <c r="F3948" s="2"/>
      <c r="G3948" s="2"/>
      <c r="H3948" s="2"/>
      <c r="I3948" s="2"/>
      <c r="J3948" s="2"/>
      <c r="K3948" s="2"/>
    </row>
    <row r="3949" spans="4:11" x14ac:dyDescent="0.2">
      <c r="D3949" s="2"/>
      <c r="E3949" s="2"/>
      <c r="F3949" s="2"/>
      <c r="G3949" s="2"/>
      <c r="H3949" s="2"/>
      <c r="I3949" s="2"/>
      <c r="J3949" s="2"/>
      <c r="K3949" s="2"/>
    </row>
    <row r="3950" spans="4:11" x14ac:dyDescent="0.2">
      <c r="D3950" s="2"/>
      <c r="E3950" s="2"/>
      <c r="F3950" s="2"/>
      <c r="G3950" s="2"/>
      <c r="H3950" s="2"/>
      <c r="I3950" s="2"/>
      <c r="J3950" s="2"/>
      <c r="K3950" s="2"/>
    </row>
    <row r="3951" spans="4:11" x14ac:dyDescent="0.2">
      <c r="D3951" s="2"/>
      <c r="E3951" s="2"/>
      <c r="F3951" s="2"/>
      <c r="G3951" s="2"/>
      <c r="H3951" s="2"/>
      <c r="I3951" s="2"/>
      <c r="J3951" s="2"/>
      <c r="K3951" s="2"/>
    </row>
    <row r="3952" spans="4:11" x14ac:dyDescent="0.2">
      <c r="D3952" s="2"/>
      <c r="E3952" s="2"/>
      <c r="F3952" s="2"/>
      <c r="G3952" s="2"/>
      <c r="H3952" s="2"/>
      <c r="I3952" s="2"/>
      <c r="J3952" s="2"/>
      <c r="K3952" s="2"/>
    </row>
    <row r="3953" spans="4:11" x14ac:dyDescent="0.2">
      <c r="D3953" s="2"/>
      <c r="E3953" s="2"/>
      <c r="F3953" s="2"/>
      <c r="G3953" s="2"/>
      <c r="H3953" s="2"/>
      <c r="I3953" s="2"/>
      <c r="J3953" s="2"/>
      <c r="K3953" s="2"/>
    </row>
    <row r="3954" spans="4:11" x14ac:dyDescent="0.2">
      <c r="D3954" s="2"/>
      <c r="E3954" s="2"/>
      <c r="F3954" s="2"/>
      <c r="G3954" s="2"/>
      <c r="H3954" s="2"/>
      <c r="I3954" s="2"/>
      <c r="J3954" s="2"/>
      <c r="K3954" s="2"/>
    </row>
    <row r="3955" spans="4:11" x14ac:dyDescent="0.2">
      <c r="D3955" s="2"/>
      <c r="E3955" s="2"/>
      <c r="F3955" s="2"/>
      <c r="G3955" s="2"/>
      <c r="H3955" s="2"/>
      <c r="I3955" s="2"/>
      <c r="J3955" s="2"/>
      <c r="K3955" s="2"/>
    </row>
    <row r="3956" spans="4:11" x14ac:dyDescent="0.2">
      <c r="D3956" s="2"/>
      <c r="E3956" s="2"/>
      <c r="F3956" s="2"/>
      <c r="G3956" s="2"/>
      <c r="H3956" s="2"/>
      <c r="I3956" s="2"/>
      <c r="J3956" s="2"/>
      <c r="K3956" s="2"/>
    </row>
    <row r="3957" spans="4:11" x14ac:dyDescent="0.2">
      <c r="D3957" s="2"/>
      <c r="E3957" s="2"/>
      <c r="F3957" s="2"/>
      <c r="G3957" s="2"/>
      <c r="H3957" s="2"/>
      <c r="I3957" s="2"/>
      <c r="J3957" s="2"/>
      <c r="K3957" s="2"/>
    </row>
    <row r="3958" spans="4:11" x14ac:dyDescent="0.2">
      <c r="D3958" s="2"/>
      <c r="E3958" s="2"/>
      <c r="F3958" s="2"/>
      <c r="G3958" s="2"/>
      <c r="H3958" s="2"/>
      <c r="I3958" s="2"/>
      <c r="J3958" s="2"/>
      <c r="K3958" s="2"/>
    </row>
    <row r="3959" spans="4:11" x14ac:dyDescent="0.2">
      <c r="D3959" s="2"/>
      <c r="E3959" s="2"/>
      <c r="F3959" s="2"/>
      <c r="G3959" s="2"/>
      <c r="H3959" s="2"/>
      <c r="I3959" s="2"/>
      <c r="J3959" s="2"/>
      <c r="K3959" s="2"/>
    </row>
    <row r="3960" spans="4:11" x14ac:dyDescent="0.2">
      <c r="D3960" s="2"/>
      <c r="E3960" s="2"/>
      <c r="F3960" s="2"/>
      <c r="G3960" s="2"/>
      <c r="H3960" s="2"/>
      <c r="I3960" s="2"/>
      <c r="J3960" s="2"/>
      <c r="K3960" s="2"/>
    </row>
    <row r="3961" spans="4:11" x14ac:dyDescent="0.2">
      <c r="D3961" s="2"/>
      <c r="E3961" s="2"/>
      <c r="F3961" s="2"/>
      <c r="G3961" s="2"/>
      <c r="H3961" s="2"/>
      <c r="I3961" s="2"/>
      <c r="J3961" s="2"/>
      <c r="K3961" s="2"/>
    </row>
    <row r="3962" spans="4:11" x14ac:dyDescent="0.2">
      <c r="D3962" s="2"/>
      <c r="E3962" s="2"/>
      <c r="F3962" s="2"/>
      <c r="G3962" s="2"/>
      <c r="H3962" s="2"/>
      <c r="I3962" s="2"/>
      <c r="J3962" s="2"/>
      <c r="K3962" s="2"/>
    </row>
    <row r="3963" spans="4:11" x14ac:dyDescent="0.2">
      <c r="D3963" s="2"/>
      <c r="E3963" s="2"/>
      <c r="F3963" s="2"/>
      <c r="G3963" s="2"/>
      <c r="H3963" s="2"/>
      <c r="I3963" s="2"/>
      <c r="J3963" s="2"/>
      <c r="K3963" s="2"/>
    </row>
    <row r="3964" spans="4:11" x14ac:dyDescent="0.2">
      <c r="D3964" s="2"/>
      <c r="E3964" s="2"/>
      <c r="F3964" s="2"/>
      <c r="G3964" s="2"/>
      <c r="H3964" s="2"/>
      <c r="I3964" s="2"/>
      <c r="J3964" s="2"/>
      <c r="K3964" s="2"/>
    </row>
    <row r="3965" spans="4:11" x14ac:dyDescent="0.2">
      <c r="D3965" s="2"/>
      <c r="E3965" s="2"/>
      <c r="F3965" s="2"/>
      <c r="G3965" s="2"/>
      <c r="H3965" s="2"/>
      <c r="I3965" s="2"/>
      <c r="J3965" s="2"/>
      <c r="K3965" s="2"/>
    </row>
    <row r="3966" spans="4:11" x14ac:dyDescent="0.2">
      <c r="D3966" s="2"/>
      <c r="E3966" s="2"/>
      <c r="F3966" s="2"/>
      <c r="G3966" s="2"/>
      <c r="H3966" s="2"/>
      <c r="I3966" s="2"/>
      <c r="J3966" s="2"/>
      <c r="K3966" s="2"/>
    </row>
    <row r="3967" spans="4:11" x14ac:dyDescent="0.2">
      <c r="D3967" s="2"/>
      <c r="E3967" s="2"/>
      <c r="F3967" s="2"/>
      <c r="G3967" s="2"/>
      <c r="H3967" s="2"/>
      <c r="I3967" s="2"/>
      <c r="J3967" s="2"/>
      <c r="K3967" s="2"/>
    </row>
    <row r="3968" spans="4:11" x14ac:dyDescent="0.2">
      <c r="D3968" s="2"/>
      <c r="E3968" s="2"/>
      <c r="F3968" s="2"/>
      <c r="G3968" s="2"/>
      <c r="H3968" s="2"/>
      <c r="I3968" s="2"/>
      <c r="J3968" s="2"/>
      <c r="K3968" s="2"/>
    </row>
    <row r="3969" spans="4:11" x14ac:dyDescent="0.2">
      <c r="D3969" s="2"/>
      <c r="E3969" s="2"/>
      <c r="F3969" s="2"/>
      <c r="G3969" s="2"/>
      <c r="H3969" s="2"/>
      <c r="I3969" s="2"/>
      <c r="J3969" s="2"/>
      <c r="K3969" s="2"/>
    </row>
    <row r="3970" spans="4:11" x14ac:dyDescent="0.2">
      <c r="D3970" s="2"/>
      <c r="E3970" s="2"/>
      <c r="F3970" s="2"/>
      <c r="G3970" s="2"/>
      <c r="H3970" s="2"/>
      <c r="I3970" s="2"/>
      <c r="J3970" s="2"/>
      <c r="K3970" s="2"/>
    </row>
    <row r="3971" spans="4:11" x14ac:dyDescent="0.2">
      <c r="D3971" s="2"/>
      <c r="E3971" s="2"/>
      <c r="F3971" s="2"/>
      <c r="G3971" s="2"/>
      <c r="H3971" s="2"/>
      <c r="I3971" s="2"/>
      <c r="J3971" s="2"/>
      <c r="K3971" s="2"/>
    </row>
    <row r="3972" spans="4:11" x14ac:dyDescent="0.2">
      <c r="D3972" s="2"/>
      <c r="E3972" s="2"/>
      <c r="F3972" s="2"/>
      <c r="G3972" s="2"/>
      <c r="H3972" s="2"/>
      <c r="I3972" s="2"/>
      <c r="J3972" s="2"/>
      <c r="K3972" s="2"/>
    </row>
    <row r="3973" spans="4:11" x14ac:dyDescent="0.2">
      <c r="D3973" s="2"/>
      <c r="E3973" s="2"/>
      <c r="F3973" s="2"/>
      <c r="G3973" s="2"/>
      <c r="H3973" s="2"/>
      <c r="I3973" s="2"/>
      <c r="J3973" s="2"/>
      <c r="K3973" s="2"/>
    </row>
    <row r="3974" spans="4:11" x14ac:dyDescent="0.2">
      <c r="D3974" s="2"/>
      <c r="E3974" s="2"/>
      <c r="F3974" s="2"/>
      <c r="G3974" s="2"/>
      <c r="H3974" s="2"/>
      <c r="I3974" s="2"/>
      <c r="J3974" s="2"/>
      <c r="K3974" s="2"/>
    </row>
    <row r="3975" spans="4:11" x14ac:dyDescent="0.2">
      <c r="D3975" s="2"/>
      <c r="E3975" s="2"/>
      <c r="F3975" s="2"/>
      <c r="G3975" s="2"/>
      <c r="H3975" s="2"/>
      <c r="I3975" s="2"/>
      <c r="J3975" s="2"/>
      <c r="K3975" s="2"/>
    </row>
    <row r="3976" spans="4:11" x14ac:dyDescent="0.2">
      <c r="D3976" s="2"/>
      <c r="E3976" s="2"/>
      <c r="F3976" s="2"/>
      <c r="G3976" s="2"/>
      <c r="H3976" s="2"/>
      <c r="I3976" s="2"/>
      <c r="J3976" s="2"/>
      <c r="K3976" s="2"/>
    </row>
    <row r="3977" spans="4:11" x14ac:dyDescent="0.2">
      <c r="D3977" s="2"/>
      <c r="E3977" s="2"/>
      <c r="F3977" s="2"/>
      <c r="G3977" s="2"/>
      <c r="H3977" s="2"/>
      <c r="I3977" s="2"/>
      <c r="J3977" s="2"/>
      <c r="K3977" s="2"/>
    </row>
    <row r="3978" spans="4:11" x14ac:dyDescent="0.2">
      <c r="D3978" s="2"/>
      <c r="E3978" s="2"/>
      <c r="F3978" s="2"/>
      <c r="G3978" s="2"/>
      <c r="H3978" s="2"/>
      <c r="I3978" s="2"/>
      <c r="J3978" s="2"/>
      <c r="K3978" s="2"/>
    </row>
    <row r="3979" spans="4:11" x14ac:dyDescent="0.2">
      <c r="D3979" s="2"/>
      <c r="E3979" s="2"/>
      <c r="F3979" s="2"/>
      <c r="G3979" s="2"/>
      <c r="H3979" s="2"/>
      <c r="I3979" s="2"/>
      <c r="J3979" s="2"/>
      <c r="K3979" s="2"/>
    </row>
    <row r="3980" spans="4:11" x14ac:dyDescent="0.2">
      <c r="D3980" s="2"/>
      <c r="E3980" s="2"/>
      <c r="F3980" s="2"/>
      <c r="G3980" s="2"/>
      <c r="H3980" s="2"/>
      <c r="I3980" s="2"/>
      <c r="J3980" s="2"/>
      <c r="K3980" s="2"/>
    </row>
    <row r="3981" spans="4:11" x14ac:dyDescent="0.2">
      <c r="D3981" s="2"/>
      <c r="E3981" s="2"/>
      <c r="F3981" s="2"/>
      <c r="G3981" s="2"/>
      <c r="H3981" s="2"/>
      <c r="I3981" s="2"/>
      <c r="J3981" s="2"/>
      <c r="K3981" s="2"/>
    </row>
    <row r="3982" spans="4:11" x14ac:dyDescent="0.2">
      <c r="D3982" s="2"/>
      <c r="E3982" s="2"/>
      <c r="F3982" s="2"/>
      <c r="G3982" s="2"/>
      <c r="H3982" s="2"/>
      <c r="I3982" s="2"/>
      <c r="J3982" s="2"/>
      <c r="K3982" s="2"/>
    </row>
    <row r="3983" spans="4:11" x14ac:dyDescent="0.2">
      <c r="D3983" s="2"/>
      <c r="E3983" s="2"/>
      <c r="F3983" s="2"/>
      <c r="G3983" s="2"/>
      <c r="H3983" s="2"/>
      <c r="I3983" s="2"/>
      <c r="J3983" s="2"/>
      <c r="K3983" s="2"/>
    </row>
    <row r="3984" spans="4:11" x14ac:dyDescent="0.2">
      <c r="D3984" s="2"/>
      <c r="E3984" s="2"/>
      <c r="F3984" s="2"/>
      <c r="G3984" s="2"/>
      <c r="H3984" s="2"/>
      <c r="I3984" s="2"/>
      <c r="J3984" s="2"/>
      <c r="K3984" s="2"/>
    </row>
    <row r="3985" spans="4:11" x14ac:dyDescent="0.2">
      <c r="D3985" s="2"/>
      <c r="E3985" s="2"/>
      <c r="F3985" s="2"/>
      <c r="G3985" s="2"/>
      <c r="H3985" s="2"/>
      <c r="I3985" s="2"/>
      <c r="J3985" s="2"/>
      <c r="K3985" s="2"/>
    </row>
    <row r="3986" spans="4:11" x14ac:dyDescent="0.2">
      <c r="D3986" s="2"/>
      <c r="E3986" s="2"/>
      <c r="F3986" s="2"/>
      <c r="G3986" s="2"/>
      <c r="H3986" s="2"/>
      <c r="I3986" s="2"/>
      <c r="J3986" s="2"/>
      <c r="K3986" s="2"/>
    </row>
    <row r="3987" spans="4:11" x14ac:dyDescent="0.2">
      <c r="D3987" s="2"/>
      <c r="E3987" s="2"/>
      <c r="F3987" s="2"/>
      <c r="G3987" s="2"/>
      <c r="H3987" s="2"/>
      <c r="I3987" s="2"/>
      <c r="J3987" s="2"/>
      <c r="K3987" s="2"/>
    </row>
    <row r="3988" spans="4:11" x14ac:dyDescent="0.2">
      <c r="D3988" s="2"/>
      <c r="E3988" s="2"/>
      <c r="F3988" s="2"/>
      <c r="G3988" s="2"/>
      <c r="H3988" s="2"/>
      <c r="I3988" s="2"/>
      <c r="J3988" s="2"/>
      <c r="K3988" s="2"/>
    </row>
    <row r="3989" spans="4:11" x14ac:dyDescent="0.2">
      <c r="D3989" s="2"/>
      <c r="E3989" s="2"/>
      <c r="F3989" s="2"/>
      <c r="G3989" s="2"/>
      <c r="H3989" s="2"/>
      <c r="I3989" s="2"/>
      <c r="J3989" s="2"/>
      <c r="K3989" s="2"/>
    </row>
    <row r="3990" spans="4:11" x14ac:dyDescent="0.2">
      <c r="D3990" s="2"/>
      <c r="E3990" s="2"/>
      <c r="F3990" s="2"/>
      <c r="G3990" s="2"/>
      <c r="H3990" s="2"/>
      <c r="I3990" s="2"/>
      <c r="J3990" s="2"/>
      <c r="K3990" s="2"/>
    </row>
    <row r="3991" spans="4:11" x14ac:dyDescent="0.2">
      <c r="D3991" s="2"/>
      <c r="E3991" s="2"/>
      <c r="F3991" s="2"/>
      <c r="G3991" s="2"/>
      <c r="H3991" s="2"/>
      <c r="I3991" s="2"/>
      <c r="J3991" s="2"/>
      <c r="K3991" s="2"/>
    </row>
    <row r="3992" spans="4:11" x14ac:dyDescent="0.2">
      <c r="D3992" s="2"/>
      <c r="E3992" s="2"/>
      <c r="F3992" s="2"/>
      <c r="G3992" s="2"/>
      <c r="H3992" s="2"/>
      <c r="I3992" s="2"/>
      <c r="J3992" s="2"/>
      <c r="K3992" s="2"/>
    </row>
    <row r="3993" spans="4:11" x14ac:dyDescent="0.2">
      <c r="D3993" s="2"/>
      <c r="E3993" s="2"/>
      <c r="F3993" s="2"/>
      <c r="G3993" s="2"/>
      <c r="H3993" s="2"/>
      <c r="I3993" s="2"/>
      <c r="J3993" s="2"/>
      <c r="K3993" s="2"/>
    </row>
    <row r="3994" spans="4:11" x14ac:dyDescent="0.2">
      <c r="D3994" s="2"/>
      <c r="E3994" s="2"/>
      <c r="F3994" s="2"/>
      <c r="G3994" s="2"/>
      <c r="H3994" s="2"/>
      <c r="I3994" s="2"/>
      <c r="J3994" s="2"/>
      <c r="K3994" s="2"/>
    </row>
    <row r="3995" spans="4:11" x14ac:dyDescent="0.2">
      <c r="D3995" s="2"/>
      <c r="E3995" s="2"/>
      <c r="F3995" s="2"/>
      <c r="G3995" s="2"/>
      <c r="H3995" s="2"/>
      <c r="I3995" s="2"/>
      <c r="J3995" s="2"/>
      <c r="K3995" s="2"/>
    </row>
    <row r="3996" spans="4:11" x14ac:dyDescent="0.2">
      <c r="D3996" s="2"/>
      <c r="E3996" s="2"/>
      <c r="F3996" s="2"/>
      <c r="G3996" s="2"/>
      <c r="H3996" s="2"/>
      <c r="I3996" s="2"/>
      <c r="J3996" s="2"/>
      <c r="K3996" s="2"/>
    </row>
    <row r="3997" spans="4:11" x14ac:dyDescent="0.2">
      <c r="D3997" s="2"/>
      <c r="E3997" s="2"/>
      <c r="F3997" s="2"/>
      <c r="G3997" s="2"/>
      <c r="H3997" s="2"/>
      <c r="I3997" s="2"/>
      <c r="J3997" s="2"/>
      <c r="K3997" s="2"/>
    </row>
    <row r="3998" spans="4:11" x14ac:dyDescent="0.2">
      <c r="D3998" s="2"/>
      <c r="E3998" s="2"/>
      <c r="F3998" s="2"/>
      <c r="G3998" s="2"/>
      <c r="H3998" s="2"/>
      <c r="I3998" s="2"/>
      <c r="J3998" s="2"/>
      <c r="K3998" s="2"/>
    </row>
    <row r="3999" spans="4:11" x14ac:dyDescent="0.2">
      <c r="D3999" s="2"/>
      <c r="E3999" s="2"/>
      <c r="F3999" s="2"/>
      <c r="G3999" s="2"/>
      <c r="H3999" s="2"/>
      <c r="I3999" s="2"/>
      <c r="J3999" s="2"/>
      <c r="K3999" s="2"/>
    </row>
    <row r="4000" spans="4:11" x14ac:dyDescent="0.2">
      <c r="D4000" s="2"/>
      <c r="E4000" s="2"/>
      <c r="F4000" s="2"/>
      <c r="G4000" s="2"/>
      <c r="H4000" s="2"/>
      <c r="I4000" s="2"/>
      <c r="J4000" s="2"/>
      <c r="K4000" s="2"/>
    </row>
    <row r="4001" spans="4:11" x14ac:dyDescent="0.2">
      <c r="D4001" s="2"/>
      <c r="E4001" s="2"/>
      <c r="F4001" s="2"/>
      <c r="G4001" s="2"/>
      <c r="H4001" s="2"/>
      <c r="I4001" s="2"/>
      <c r="J4001" s="2"/>
      <c r="K4001" s="2"/>
    </row>
    <row r="4002" spans="4:11" x14ac:dyDescent="0.2">
      <c r="D4002" s="2"/>
      <c r="E4002" s="2"/>
      <c r="F4002" s="2"/>
      <c r="G4002" s="2"/>
      <c r="H4002" s="2"/>
      <c r="I4002" s="2"/>
      <c r="J4002" s="2"/>
      <c r="K4002" s="2"/>
    </row>
    <row r="4003" spans="4:11" x14ac:dyDescent="0.2">
      <c r="D4003" s="2"/>
      <c r="E4003" s="2"/>
      <c r="F4003" s="2"/>
      <c r="G4003" s="2"/>
      <c r="H4003" s="2"/>
      <c r="I4003" s="2"/>
      <c r="J4003" s="2"/>
      <c r="K4003" s="2"/>
    </row>
    <row r="4004" spans="4:11" x14ac:dyDescent="0.2">
      <c r="D4004" s="2"/>
      <c r="E4004" s="2"/>
      <c r="F4004" s="2"/>
      <c r="G4004" s="2"/>
      <c r="H4004" s="2"/>
      <c r="I4004" s="2"/>
      <c r="J4004" s="2"/>
      <c r="K4004" s="2"/>
    </row>
    <row r="4005" spans="4:11" x14ac:dyDescent="0.2">
      <c r="D4005" s="2"/>
      <c r="E4005" s="2"/>
      <c r="F4005" s="2"/>
      <c r="G4005" s="2"/>
      <c r="H4005" s="2"/>
      <c r="I4005" s="2"/>
      <c r="J4005" s="2"/>
      <c r="K4005" s="2"/>
    </row>
    <row r="4006" spans="4:11" x14ac:dyDescent="0.2">
      <c r="D4006" s="2"/>
      <c r="E4006" s="2"/>
      <c r="F4006" s="2"/>
      <c r="G4006" s="2"/>
      <c r="H4006" s="2"/>
      <c r="I4006" s="2"/>
      <c r="J4006" s="2"/>
      <c r="K4006" s="2"/>
    </row>
    <row r="4007" spans="4:11" x14ac:dyDescent="0.2">
      <c r="D4007" s="2"/>
      <c r="E4007" s="2"/>
      <c r="F4007" s="2"/>
      <c r="G4007" s="2"/>
      <c r="H4007" s="2"/>
      <c r="I4007" s="2"/>
      <c r="J4007" s="2"/>
      <c r="K4007" s="2"/>
    </row>
    <row r="4008" spans="4:11" x14ac:dyDescent="0.2">
      <c r="D4008" s="2"/>
      <c r="E4008" s="2"/>
      <c r="F4008" s="2"/>
      <c r="G4008" s="2"/>
      <c r="H4008" s="2"/>
      <c r="I4008" s="2"/>
      <c r="J4008" s="2"/>
      <c r="K4008" s="2"/>
    </row>
    <row r="4009" spans="4:11" x14ac:dyDescent="0.2">
      <c r="D4009" s="2"/>
      <c r="E4009" s="2"/>
      <c r="F4009" s="2"/>
      <c r="G4009" s="2"/>
      <c r="H4009" s="2"/>
      <c r="I4009" s="2"/>
      <c r="J4009" s="2"/>
      <c r="K4009" s="2"/>
    </row>
    <row r="4010" spans="4:11" x14ac:dyDescent="0.2">
      <c r="D4010" s="2"/>
      <c r="E4010" s="2"/>
      <c r="F4010" s="2"/>
      <c r="G4010" s="2"/>
      <c r="H4010" s="2"/>
      <c r="I4010" s="2"/>
      <c r="J4010" s="2"/>
      <c r="K4010" s="2"/>
    </row>
    <row r="4011" spans="4:11" x14ac:dyDescent="0.2">
      <c r="D4011" s="2"/>
      <c r="E4011" s="2"/>
      <c r="F4011" s="2"/>
      <c r="G4011" s="2"/>
      <c r="H4011" s="2"/>
      <c r="I4011" s="2"/>
      <c r="J4011" s="2"/>
      <c r="K4011" s="2"/>
    </row>
    <row r="4012" spans="4:11" x14ac:dyDescent="0.2">
      <c r="D4012" s="2"/>
      <c r="E4012" s="2"/>
      <c r="F4012" s="2"/>
      <c r="G4012" s="2"/>
      <c r="H4012" s="2"/>
      <c r="I4012" s="2"/>
      <c r="J4012" s="2"/>
      <c r="K4012" s="2"/>
    </row>
    <row r="4013" spans="4:11" x14ac:dyDescent="0.2">
      <c r="D4013" s="2"/>
      <c r="E4013" s="2"/>
      <c r="F4013" s="2"/>
      <c r="G4013" s="2"/>
      <c r="H4013" s="2"/>
      <c r="I4013" s="2"/>
      <c r="J4013" s="2"/>
      <c r="K4013" s="2"/>
    </row>
    <row r="4014" spans="4:11" x14ac:dyDescent="0.2">
      <c r="D4014" s="2"/>
      <c r="E4014" s="2"/>
      <c r="F4014" s="2"/>
      <c r="G4014" s="2"/>
      <c r="H4014" s="2"/>
      <c r="I4014" s="2"/>
      <c r="J4014" s="2"/>
      <c r="K4014" s="2"/>
    </row>
    <row r="4015" spans="4:11" x14ac:dyDescent="0.2">
      <c r="D4015" s="2"/>
      <c r="E4015" s="2"/>
      <c r="F4015" s="2"/>
      <c r="G4015" s="2"/>
      <c r="H4015" s="2"/>
      <c r="I4015" s="2"/>
      <c r="J4015" s="2"/>
      <c r="K4015" s="2"/>
    </row>
    <row r="4016" spans="4:11" x14ac:dyDescent="0.2">
      <c r="D4016" s="2"/>
      <c r="E4016" s="2"/>
      <c r="F4016" s="2"/>
      <c r="G4016" s="2"/>
      <c r="H4016" s="2"/>
      <c r="I4016" s="2"/>
      <c r="J4016" s="2"/>
      <c r="K4016" s="2"/>
    </row>
    <row r="4017" spans="4:11" x14ac:dyDescent="0.2">
      <c r="D4017" s="2"/>
      <c r="E4017" s="2"/>
      <c r="F4017" s="2"/>
      <c r="G4017" s="2"/>
      <c r="H4017" s="2"/>
      <c r="I4017" s="2"/>
      <c r="J4017" s="2"/>
      <c r="K4017" s="2"/>
    </row>
    <row r="4018" spans="4:11" x14ac:dyDescent="0.2">
      <c r="D4018" s="2"/>
      <c r="E4018" s="2"/>
      <c r="F4018" s="2"/>
      <c r="G4018" s="2"/>
      <c r="H4018" s="2"/>
      <c r="I4018" s="2"/>
      <c r="J4018" s="2"/>
      <c r="K4018" s="2"/>
    </row>
    <row r="4019" spans="4:11" x14ac:dyDescent="0.2">
      <c r="D4019" s="2"/>
      <c r="E4019" s="2"/>
      <c r="F4019" s="2"/>
      <c r="G4019" s="2"/>
      <c r="H4019" s="2"/>
      <c r="I4019" s="2"/>
      <c r="J4019" s="2"/>
      <c r="K4019" s="2"/>
    </row>
    <row r="4020" spans="4:11" x14ac:dyDescent="0.2">
      <c r="D4020" s="2"/>
      <c r="E4020" s="2"/>
      <c r="F4020" s="2"/>
      <c r="G4020" s="2"/>
      <c r="H4020" s="2"/>
      <c r="I4020" s="2"/>
      <c r="J4020" s="2"/>
      <c r="K4020" s="2"/>
    </row>
    <row r="4021" spans="4:11" x14ac:dyDescent="0.2">
      <c r="D4021" s="2"/>
      <c r="E4021" s="2"/>
      <c r="F4021" s="2"/>
      <c r="G4021" s="2"/>
      <c r="H4021" s="2"/>
      <c r="I4021" s="2"/>
      <c r="J4021" s="2"/>
      <c r="K4021" s="2"/>
    </row>
    <row r="4022" spans="4:11" x14ac:dyDescent="0.2">
      <c r="D4022" s="2"/>
      <c r="E4022" s="2"/>
      <c r="F4022" s="2"/>
      <c r="G4022" s="2"/>
      <c r="H4022" s="2"/>
      <c r="I4022" s="2"/>
      <c r="J4022" s="2"/>
      <c r="K4022" s="2"/>
    </row>
    <row r="4023" spans="4:11" x14ac:dyDescent="0.2">
      <c r="D4023" s="2"/>
      <c r="E4023" s="2"/>
      <c r="F4023" s="2"/>
      <c r="G4023" s="2"/>
      <c r="H4023" s="2"/>
      <c r="I4023" s="2"/>
      <c r="J4023" s="2"/>
      <c r="K4023" s="2"/>
    </row>
    <row r="4024" spans="4:11" x14ac:dyDescent="0.2">
      <c r="D4024" s="2"/>
      <c r="E4024" s="2"/>
      <c r="F4024" s="2"/>
      <c r="G4024" s="2"/>
      <c r="H4024" s="2"/>
      <c r="I4024" s="2"/>
      <c r="J4024" s="2"/>
      <c r="K4024" s="2"/>
    </row>
    <row r="4025" spans="4:11" x14ac:dyDescent="0.2">
      <c r="D4025" s="2"/>
      <c r="E4025" s="2"/>
      <c r="F4025" s="2"/>
      <c r="G4025" s="2"/>
      <c r="H4025" s="2"/>
      <c r="I4025" s="2"/>
      <c r="J4025" s="2"/>
      <c r="K4025" s="2"/>
    </row>
    <row r="4026" spans="4:11" x14ac:dyDescent="0.2">
      <c r="D4026" s="2"/>
      <c r="E4026" s="2"/>
      <c r="F4026" s="2"/>
      <c r="G4026" s="2"/>
      <c r="H4026" s="2"/>
      <c r="I4026" s="2"/>
      <c r="J4026" s="2"/>
      <c r="K4026" s="2"/>
    </row>
    <row r="4027" spans="4:11" x14ac:dyDescent="0.2">
      <c r="D4027" s="2"/>
      <c r="E4027" s="2"/>
      <c r="F4027" s="2"/>
      <c r="G4027" s="2"/>
      <c r="H4027" s="2"/>
      <c r="I4027" s="2"/>
      <c r="J4027" s="2"/>
      <c r="K4027" s="2"/>
    </row>
    <row r="4028" spans="4:11" x14ac:dyDescent="0.2">
      <c r="D4028" s="2"/>
      <c r="E4028" s="2"/>
      <c r="F4028" s="2"/>
      <c r="G4028" s="2"/>
      <c r="H4028" s="2"/>
      <c r="I4028" s="2"/>
      <c r="J4028" s="2"/>
      <c r="K4028" s="2"/>
    </row>
    <row r="4029" spans="4:11" x14ac:dyDescent="0.2">
      <c r="D4029" s="2"/>
      <c r="E4029" s="2"/>
      <c r="F4029" s="2"/>
      <c r="G4029" s="2"/>
      <c r="H4029" s="2"/>
      <c r="I4029" s="2"/>
      <c r="J4029" s="2"/>
      <c r="K4029" s="2"/>
    </row>
    <row r="4030" spans="4:11" x14ac:dyDescent="0.2">
      <c r="D4030" s="2"/>
      <c r="E4030" s="2"/>
      <c r="F4030" s="2"/>
      <c r="G4030" s="2"/>
      <c r="H4030" s="2"/>
      <c r="I4030" s="2"/>
      <c r="J4030" s="2"/>
      <c r="K4030" s="2"/>
    </row>
    <row r="4031" spans="4:11" x14ac:dyDescent="0.2">
      <c r="D4031" s="2"/>
      <c r="E4031" s="2"/>
      <c r="F4031" s="2"/>
      <c r="G4031" s="2"/>
      <c r="H4031" s="2"/>
      <c r="I4031" s="2"/>
      <c r="J4031" s="2"/>
      <c r="K4031" s="2"/>
    </row>
    <row r="4032" spans="4:11" x14ac:dyDescent="0.2">
      <c r="D4032" s="2"/>
      <c r="E4032" s="2"/>
      <c r="F4032" s="2"/>
      <c r="G4032" s="2"/>
      <c r="H4032" s="2"/>
      <c r="I4032" s="2"/>
      <c r="J4032" s="2"/>
      <c r="K4032" s="2"/>
    </row>
    <row r="4033" spans="4:11" x14ac:dyDescent="0.2">
      <c r="D4033" s="2"/>
      <c r="E4033" s="2"/>
      <c r="F4033" s="2"/>
      <c r="G4033" s="2"/>
      <c r="H4033" s="2"/>
      <c r="I4033" s="2"/>
      <c r="J4033" s="2"/>
      <c r="K4033" s="2"/>
    </row>
    <row r="4034" spans="4:11" x14ac:dyDescent="0.2">
      <c r="D4034" s="2"/>
      <c r="E4034" s="2"/>
      <c r="F4034" s="2"/>
      <c r="G4034" s="2"/>
      <c r="H4034" s="2"/>
      <c r="I4034" s="2"/>
      <c r="J4034" s="2"/>
      <c r="K4034" s="2"/>
    </row>
    <row r="4035" spans="4:11" x14ac:dyDescent="0.2">
      <c r="D4035" s="2"/>
      <c r="E4035" s="2"/>
      <c r="F4035" s="2"/>
      <c r="G4035" s="2"/>
      <c r="H4035" s="2"/>
      <c r="I4035" s="2"/>
      <c r="J4035" s="2"/>
      <c r="K4035" s="2"/>
    </row>
    <row r="4036" spans="4:11" x14ac:dyDescent="0.2">
      <c r="D4036" s="2"/>
      <c r="E4036" s="2"/>
      <c r="F4036" s="2"/>
      <c r="G4036" s="2"/>
      <c r="H4036" s="2"/>
      <c r="I4036" s="2"/>
      <c r="J4036" s="2"/>
      <c r="K4036" s="2"/>
    </row>
    <row r="4037" spans="4:11" x14ac:dyDescent="0.2">
      <c r="D4037" s="2"/>
      <c r="E4037" s="2"/>
      <c r="F4037" s="2"/>
      <c r="G4037" s="2"/>
      <c r="H4037" s="2"/>
      <c r="I4037" s="2"/>
      <c r="J4037" s="2"/>
      <c r="K4037" s="2"/>
    </row>
    <row r="4038" spans="4:11" x14ac:dyDescent="0.2">
      <c r="D4038" s="2"/>
      <c r="E4038" s="2"/>
      <c r="F4038" s="2"/>
      <c r="G4038" s="2"/>
      <c r="H4038" s="2"/>
      <c r="I4038" s="2"/>
      <c r="J4038" s="2"/>
      <c r="K4038" s="2"/>
    </row>
    <row r="4039" spans="4:11" x14ac:dyDescent="0.2">
      <c r="D4039" s="2"/>
      <c r="E4039" s="2"/>
      <c r="F4039" s="2"/>
      <c r="G4039" s="2"/>
      <c r="H4039" s="2"/>
      <c r="I4039" s="2"/>
      <c r="J4039" s="2"/>
      <c r="K4039" s="2"/>
    </row>
    <row r="4040" spans="4:11" x14ac:dyDescent="0.2">
      <c r="D4040" s="2"/>
      <c r="E4040" s="2"/>
      <c r="F4040" s="2"/>
      <c r="G4040" s="2"/>
      <c r="H4040" s="2"/>
      <c r="I4040" s="2"/>
      <c r="J4040" s="2"/>
      <c r="K4040" s="2"/>
    </row>
    <row r="4041" spans="4:11" x14ac:dyDescent="0.2">
      <c r="D4041" s="2"/>
      <c r="E4041" s="2"/>
      <c r="F4041" s="2"/>
      <c r="G4041" s="2"/>
      <c r="H4041" s="2"/>
      <c r="I4041" s="2"/>
      <c r="J4041" s="2"/>
      <c r="K4041" s="2"/>
    </row>
    <row r="4042" spans="4:11" x14ac:dyDescent="0.2">
      <c r="D4042" s="2"/>
      <c r="E4042" s="2"/>
      <c r="F4042" s="2"/>
      <c r="G4042" s="2"/>
      <c r="H4042" s="2"/>
      <c r="I4042" s="2"/>
      <c r="J4042" s="2"/>
      <c r="K4042" s="2"/>
    </row>
    <row r="4043" spans="4:11" x14ac:dyDescent="0.2">
      <c r="D4043" s="2"/>
      <c r="E4043" s="2"/>
      <c r="F4043" s="2"/>
      <c r="G4043" s="2"/>
      <c r="H4043" s="2"/>
      <c r="I4043" s="2"/>
      <c r="J4043" s="2"/>
      <c r="K4043" s="2"/>
    </row>
    <row r="4044" spans="4:11" x14ac:dyDescent="0.2">
      <c r="D4044" s="2"/>
      <c r="E4044" s="2"/>
      <c r="F4044" s="2"/>
      <c r="G4044" s="2"/>
      <c r="H4044" s="2"/>
      <c r="I4044" s="2"/>
      <c r="J4044" s="2"/>
      <c r="K4044" s="2"/>
    </row>
    <row r="4045" spans="4:11" x14ac:dyDescent="0.2">
      <c r="D4045" s="2"/>
      <c r="E4045" s="2"/>
      <c r="F4045" s="2"/>
      <c r="G4045" s="2"/>
      <c r="H4045" s="2"/>
      <c r="I4045" s="2"/>
      <c r="J4045" s="2"/>
      <c r="K4045" s="2"/>
    </row>
    <row r="4046" spans="4:11" x14ac:dyDescent="0.2">
      <c r="D4046" s="2"/>
      <c r="E4046" s="2"/>
      <c r="F4046" s="2"/>
      <c r="G4046" s="2"/>
      <c r="H4046" s="2"/>
      <c r="I4046" s="2"/>
      <c r="J4046" s="2"/>
      <c r="K4046" s="2"/>
    </row>
    <row r="4047" spans="4:11" x14ac:dyDescent="0.2">
      <c r="D4047" s="2"/>
      <c r="E4047" s="2"/>
      <c r="F4047" s="2"/>
      <c r="G4047" s="2"/>
      <c r="H4047" s="2"/>
      <c r="I4047" s="2"/>
      <c r="J4047" s="2"/>
      <c r="K4047" s="2"/>
    </row>
    <row r="4048" spans="4:11" x14ac:dyDescent="0.2">
      <c r="D4048" s="2"/>
      <c r="E4048" s="2"/>
      <c r="F4048" s="2"/>
      <c r="G4048" s="2"/>
      <c r="H4048" s="2"/>
      <c r="I4048" s="2"/>
      <c r="J4048" s="2"/>
      <c r="K4048" s="2"/>
    </row>
    <row r="4049" spans="4:11" x14ac:dyDescent="0.2">
      <c r="D4049" s="2"/>
      <c r="E4049" s="2"/>
      <c r="F4049" s="2"/>
      <c r="G4049" s="2"/>
      <c r="H4049" s="2"/>
      <c r="I4049" s="2"/>
      <c r="J4049" s="2"/>
      <c r="K4049" s="2"/>
    </row>
    <row r="4050" spans="4:11" x14ac:dyDescent="0.2">
      <c r="D4050" s="2"/>
      <c r="E4050" s="2"/>
      <c r="F4050" s="2"/>
      <c r="G4050" s="2"/>
      <c r="H4050" s="2"/>
      <c r="I4050" s="2"/>
      <c r="J4050" s="2"/>
      <c r="K4050" s="2"/>
    </row>
    <row r="4051" spans="4:11" x14ac:dyDescent="0.2">
      <c r="D4051" s="2"/>
      <c r="E4051" s="2"/>
      <c r="F4051" s="2"/>
      <c r="G4051" s="2"/>
      <c r="H4051" s="2"/>
      <c r="I4051" s="2"/>
      <c r="J4051" s="2"/>
      <c r="K4051" s="2"/>
    </row>
    <row r="4052" spans="4:11" x14ac:dyDescent="0.2">
      <c r="D4052" s="2"/>
      <c r="E4052" s="2"/>
      <c r="F4052" s="2"/>
      <c r="G4052" s="2"/>
      <c r="H4052" s="2"/>
      <c r="I4052" s="2"/>
      <c r="J4052" s="2"/>
      <c r="K4052" s="2"/>
    </row>
    <row r="4053" spans="4:11" x14ac:dyDescent="0.2">
      <c r="D4053" s="2"/>
      <c r="E4053" s="2"/>
      <c r="F4053" s="2"/>
      <c r="G4053" s="2"/>
      <c r="H4053" s="2"/>
      <c r="I4053" s="2"/>
      <c r="J4053" s="2"/>
      <c r="K4053" s="2"/>
    </row>
    <row r="4054" spans="4:11" x14ac:dyDescent="0.2">
      <c r="D4054" s="2"/>
      <c r="E4054" s="2"/>
      <c r="F4054" s="2"/>
      <c r="G4054" s="2"/>
      <c r="H4054" s="2"/>
      <c r="I4054" s="2"/>
      <c r="J4054" s="2"/>
      <c r="K4054" s="2"/>
    </row>
    <row r="4055" spans="4:11" x14ac:dyDescent="0.2">
      <c r="D4055" s="2"/>
      <c r="E4055" s="2"/>
      <c r="F4055" s="2"/>
      <c r="G4055" s="2"/>
      <c r="H4055" s="2"/>
      <c r="I4055" s="2"/>
      <c r="J4055" s="2"/>
      <c r="K4055" s="2"/>
    </row>
    <row r="4056" spans="4:11" x14ac:dyDescent="0.2">
      <c r="D4056" s="2"/>
      <c r="E4056" s="2"/>
      <c r="F4056" s="2"/>
      <c r="G4056" s="2"/>
      <c r="H4056" s="2"/>
      <c r="I4056" s="2"/>
      <c r="J4056" s="2"/>
      <c r="K4056" s="2"/>
    </row>
    <row r="4057" spans="4:11" x14ac:dyDescent="0.2">
      <c r="D4057" s="2"/>
      <c r="E4057" s="2"/>
      <c r="F4057" s="2"/>
      <c r="G4057" s="2"/>
      <c r="H4057" s="2"/>
      <c r="I4057" s="2"/>
      <c r="J4057" s="2"/>
      <c r="K4057" s="2"/>
    </row>
    <row r="4058" spans="4:11" x14ac:dyDescent="0.2">
      <c r="D4058" s="2"/>
      <c r="E4058" s="2"/>
      <c r="F4058" s="2"/>
      <c r="G4058" s="2"/>
      <c r="H4058" s="2"/>
      <c r="I4058" s="2"/>
      <c r="J4058" s="2"/>
      <c r="K4058" s="2"/>
    </row>
    <row r="4059" spans="4:11" x14ac:dyDescent="0.2">
      <c r="D4059" s="2"/>
      <c r="E4059" s="2"/>
      <c r="F4059" s="2"/>
      <c r="G4059" s="2"/>
      <c r="H4059" s="2"/>
      <c r="I4059" s="2"/>
      <c r="J4059" s="2"/>
      <c r="K4059" s="2"/>
    </row>
    <row r="4060" spans="4:11" x14ac:dyDescent="0.2">
      <c r="D4060" s="2"/>
      <c r="E4060" s="2"/>
      <c r="F4060" s="2"/>
      <c r="G4060" s="2"/>
      <c r="H4060" s="2"/>
      <c r="I4060" s="2"/>
      <c r="J4060" s="2"/>
      <c r="K4060" s="2"/>
    </row>
    <row r="4061" spans="4:11" x14ac:dyDescent="0.2">
      <c r="D4061" s="2"/>
      <c r="E4061" s="2"/>
      <c r="F4061" s="2"/>
      <c r="G4061" s="2"/>
      <c r="H4061" s="2"/>
      <c r="I4061" s="2"/>
      <c r="J4061" s="2"/>
      <c r="K4061" s="2"/>
    </row>
    <row r="4062" spans="4:11" x14ac:dyDescent="0.2">
      <c r="D4062" s="2"/>
      <c r="E4062" s="2"/>
      <c r="F4062" s="2"/>
      <c r="G4062" s="2"/>
      <c r="H4062" s="2"/>
      <c r="I4062" s="2"/>
      <c r="J4062" s="2"/>
      <c r="K4062" s="2"/>
    </row>
    <row r="4063" spans="4:11" x14ac:dyDescent="0.2">
      <c r="D4063" s="2"/>
      <c r="E4063" s="2"/>
      <c r="F4063" s="2"/>
      <c r="G4063" s="2"/>
      <c r="H4063" s="2"/>
      <c r="I4063" s="2"/>
      <c r="J4063" s="2"/>
      <c r="K4063" s="2"/>
    </row>
    <row r="4064" spans="4:11" x14ac:dyDescent="0.2">
      <c r="D4064" s="2"/>
      <c r="E4064" s="2"/>
      <c r="F4064" s="2"/>
      <c r="G4064" s="2"/>
      <c r="H4064" s="2"/>
      <c r="I4064" s="2"/>
      <c r="J4064" s="2"/>
      <c r="K4064" s="2"/>
    </row>
    <row r="4065" spans="4:11" x14ac:dyDescent="0.2">
      <c r="D4065" s="2"/>
      <c r="E4065" s="2"/>
      <c r="F4065" s="2"/>
      <c r="G4065" s="2"/>
      <c r="H4065" s="2"/>
      <c r="I4065" s="2"/>
      <c r="J4065" s="2"/>
      <c r="K4065" s="2"/>
    </row>
    <row r="4066" spans="4:11" x14ac:dyDescent="0.2">
      <c r="D4066" s="2"/>
      <c r="E4066" s="2"/>
      <c r="F4066" s="2"/>
      <c r="G4066" s="2"/>
      <c r="H4066" s="2"/>
      <c r="I4066" s="2"/>
      <c r="J4066" s="2"/>
      <c r="K4066" s="2"/>
    </row>
    <row r="4067" spans="4:11" x14ac:dyDescent="0.2">
      <c r="D4067" s="2"/>
      <c r="E4067" s="2"/>
      <c r="F4067" s="2"/>
      <c r="G4067" s="2"/>
      <c r="H4067" s="2"/>
      <c r="I4067" s="2"/>
      <c r="J4067" s="2"/>
      <c r="K4067" s="2"/>
    </row>
    <row r="4068" spans="4:11" x14ac:dyDescent="0.2">
      <c r="D4068" s="2"/>
      <c r="E4068" s="2"/>
      <c r="F4068" s="2"/>
      <c r="G4068" s="2"/>
      <c r="H4068" s="2"/>
      <c r="I4068" s="2"/>
      <c r="J4068" s="2"/>
      <c r="K4068" s="2"/>
    </row>
    <row r="4069" spans="4:11" x14ac:dyDescent="0.2">
      <c r="D4069" s="2"/>
      <c r="E4069" s="2"/>
      <c r="F4069" s="2"/>
      <c r="G4069" s="2"/>
      <c r="H4069" s="2"/>
      <c r="I4069" s="2"/>
      <c r="J4069" s="2"/>
      <c r="K4069" s="2"/>
    </row>
    <row r="4070" spans="4:11" x14ac:dyDescent="0.2">
      <c r="D4070" s="2"/>
      <c r="E4070" s="2"/>
      <c r="F4070" s="2"/>
      <c r="G4070" s="2"/>
      <c r="H4070" s="2"/>
      <c r="I4070" s="2"/>
      <c r="J4070" s="2"/>
      <c r="K4070" s="2"/>
    </row>
    <row r="4071" spans="4:11" x14ac:dyDescent="0.2">
      <c r="D4071" s="2"/>
      <c r="E4071" s="2"/>
      <c r="F4071" s="2"/>
      <c r="G4071" s="2"/>
      <c r="H4071" s="2"/>
      <c r="I4071" s="2"/>
      <c r="J4071" s="2"/>
      <c r="K4071" s="2"/>
    </row>
    <row r="4072" spans="4:11" x14ac:dyDescent="0.2">
      <c r="D4072" s="2"/>
      <c r="E4072" s="2"/>
      <c r="F4072" s="2"/>
      <c r="G4072" s="2"/>
      <c r="H4072" s="2"/>
      <c r="I4072" s="2"/>
      <c r="J4072" s="2"/>
      <c r="K4072" s="2"/>
    </row>
    <row r="4073" spans="4:11" x14ac:dyDescent="0.2">
      <c r="D4073" s="2"/>
      <c r="E4073" s="2"/>
      <c r="F4073" s="2"/>
      <c r="G4073" s="2"/>
      <c r="H4073" s="2"/>
      <c r="I4073" s="2"/>
      <c r="J4073" s="2"/>
      <c r="K4073" s="2"/>
    </row>
    <row r="4074" spans="4:11" x14ac:dyDescent="0.2">
      <c r="D4074" s="2"/>
      <c r="E4074" s="2"/>
      <c r="F4074" s="2"/>
      <c r="G4074" s="2"/>
      <c r="H4074" s="2"/>
      <c r="I4074" s="2"/>
      <c r="J4074" s="2"/>
      <c r="K4074" s="2"/>
    </row>
    <row r="4075" spans="4:11" x14ac:dyDescent="0.2">
      <c r="D4075" s="2"/>
      <c r="E4075" s="2"/>
      <c r="F4075" s="2"/>
      <c r="G4075" s="2"/>
      <c r="H4075" s="2"/>
      <c r="I4075" s="2"/>
      <c r="J4075" s="2"/>
      <c r="K4075" s="2"/>
    </row>
    <row r="4076" spans="4:11" x14ac:dyDescent="0.2">
      <c r="D4076" s="2"/>
      <c r="E4076" s="2"/>
      <c r="F4076" s="2"/>
      <c r="G4076" s="2"/>
      <c r="H4076" s="2"/>
      <c r="I4076" s="2"/>
      <c r="J4076" s="2"/>
      <c r="K4076" s="2"/>
    </row>
    <row r="4077" spans="4:11" x14ac:dyDescent="0.2">
      <c r="D4077" s="2"/>
      <c r="E4077" s="2"/>
      <c r="F4077" s="2"/>
      <c r="G4077" s="2"/>
      <c r="H4077" s="2"/>
      <c r="I4077" s="2"/>
      <c r="J4077" s="2"/>
      <c r="K4077" s="2"/>
    </row>
    <row r="4078" spans="4:11" x14ac:dyDescent="0.2">
      <c r="D4078" s="2"/>
      <c r="E4078" s="2"/>
      <c r="F4078" s="2"/>
      <c r="G4078" s="2"/>
      <c r="H4078" s="2"/>
      <c r="I4078" s="2"/>
      <c r="J4078" s="2"/>
      <c r="K4078" s="2"/>
    </row>
    <row r="4079" spans="4:11" x14ac:dyDescent="0.2">
      <c r="D4079" s="2"/>
      <c r="E4079" s="2"/>
      <c r="F4079" s="2"/>
      <c r="G4079" s="2"/>
      <c r="H4079" s="2"/>
      <c r="I4079" s="2"/>
      <c r="J4079" s="2"/>
      <c r="K4079" s="2"/>
    </row>
    <row r="4080" spans="4:11" x14ac:dyDescent="0.2">
      <c r="D4080" s="2"/>
      <c r="E4080" s="2"/>
      <c r="F4080" s="2"/>
      <c r="G4080" s="2"/>
      <c r="H4080" s="2"/>
      <c r="I4080" s="2"/>
      <c r="J4080" s="2"/>
      <c r="K4080" s="2"/>
    </row>
    <row r="4081" spans="4:11" x14ac:dyDescent="0.2">
      <c r="D4081" s="2"/>
      <c r="E4081" s="2"/>
      <c r="F4081" s="2"/>
      <c r="G4081" s="2"/>
      <c r="H4081" s="2"/>
      <c r="I4081" s="2"/>
      <c r="J4081" s="2"/>
      <c r="K4081" s="2"/>
    </row>
    <row r="4082" spans="4:11" x14ac:dyDescent="0.2">
      <c r="D4082" s="2"/>
      <c r="E4082" s="2"/>
      <c r="F4082" s="2"/>
      <c r="G4082" s="2"/>
      <c r="H4082" s="2"/>
      <c r="I4082" s="2"/>
      <c r="J4082" s="2"/>
      <c r="K4082" s="2"/>
    </row>
    <row r="4083" spans="4:11" x14ac:dyDescent="0.2">
      <c r="D4083" s="2"/>
      <c r="E4083" s="2"/>
      <c r="F4083" s="2"/>
      <c r="G4083" s="2"/>
      <c r="H4083" s="2"/>
      <c r="I4083" s="2"/>
      <c r="J4083" s="2"/>
      <c r="K4083" s="2"/>
    </row>
    <row r="4084" spans="4:11" x14ac:dyDescent="0.2">
      <c r="D4084" s="2"/>
      <c r="E4084" s="2"/>
      <c r="F4084" s="2"/>
      <c r="G4084" s="2"/>
      <c r="H4084" s="2"/>
      <c r="I4084" s="2"/>
      <c r="J4084" s="2"/>
      <c r="K4084" s="2"/>
    </row>
    <row r="4085" spans="4:11" x14ac:dyDescent="0.2">
      <c r="D4085" s="2"/>
      <c r="E4085" s="2"/>
      <c r="F4085" s="2"/>
      <c r="G4085" s="2"/>
      <c r="H4085" s="2"/>
      <c r="I4085" s="2"/>
      <c r="J4085" s="2"/>
      <c r="K4085" s="2"/>
    </row>
    <row r="4086" spans="4:11" x14ac:dyDescent="0.2">
      <c r="D4086" s="2"/>
      <c r="E4086" s="2"/>
      <c r="F4086" s="2"/>
      <c r="G4086" s="2"/>
      <c r="H4086" s="2"/>
      <c r="I4086" s="2"/>
      <c r="J4086" s="2"/>
      <c r="K4086" s="2"/>
    </row>
    <row r="4087" spans="4:11" x14ac:dyDescent="0.2">
      <c r="D4087" s="2"/>
      <c r="E4087" s="2"/>
      <c r="F4087" s="2"/>
      <c r="G4087" s="2"/>
      <c r="H4087" s="2"/>
      <c r="I4087" s="2"/>
      <c r="J4087" s="2"/>
      <c r="K4087" s="2"/>
    </row>
    <row r="4088" spans="4:11" x14ac:dyDescent="0.2">
      <c r="D4088" s="2"/>
      <c r="E4088" s="2"/>
      <c r="F4088" s="2"/>
      <c r="G4088" s="2"/>
      <c r="H4088" s="2"/>
      <c r="I4088" s="2"/>
      <c r="J4088" s="2"/>
      <c r="K4088" s="2"/>
    </row>
    <row r="4089" spans="4:11" x14ac:dyDescent="0.2">
      <c r="D4089" s="2"/>
      <c r="E4089" s="2"/>
      <c r="F4089" s="2"/>
      <c r="G4089" s="2"/>
      <c r="H4089" s="2"/>
      <c r="I4089" s="2"/>
      <c r="J4089" s="2"/>
      <c r="K4089" s="2"/>
    </row>
    <row r="4090" spans="4:11" x14ac:dyDescent="0.2">
      <c r="D4090" s="2"/>
      <c r="E4090" s="2"/>
      <c r="F4090" s="2"/>
      <c r="G4090" s="2"/>
      <c r="H4090" s="2"/>
      <c r="I4090" s="2"/>
      <c r="J4090" s="2"/>
      <c r="K4090" s="2"/>
    </row>
    <row r="4091" spans="4:11" x14ac:dyDescent="0.2">
      <c r="D4091" s="2"/>
      <c r="E4091" s="2"/>
      <c r="F4091" s="2"/>
      <c r="G4091" s="2"/>
      <c r="H4091" s="2"/>
      <c r="I4091" s="2"/>
      <c r="J4091" s="2"/>
      <c r="K4091" s="2"/>
    </row>
    <row r="4092" spans="4:11" x14ac:dyDescent="0.2">
      <c r="D4092" s="2"/>
      <c r="E4092" s="2"/>
      <c r="F4092" s="2"/>
      <c r="G4092" s="2"/>
      <c r="H4092" s="2"/>
      <c r="I4092" s="2"/>
      <c r="J4092" s="2"/>
      <c r="K4092" s="2"/>
    </row>
    <row r="4093" spans="4:11" x14ac:dyDescent="0.2">
      <c r="D4093" s="2"/>
      <c r="E4093" s="2"/>
      <c r="F4093" s="2"/>
      <c r="G4093" s="2"/>
      <c r="H4093" s="2"/>
      <c r="I4093" s="2"/>
      <c r="J4093" s="2"/>
      <c r="K4093" s="2"/>
    </row>
    <row r="4094" spans="4:11" x14ac:dyDescent="0.2">
      <c r="D4094" s="2"/>
      <c r="E4094" s="2"/>
      <c r="F4094" s="2"/>
      <c r="G4094" s="2"/>
      <c r="H4094" s="2"/>
      <c r="I4094" s="2"/>
      <c r="J4094" s="2"/>
      <c r="K4094" s="2"/>
    </row>
    <row r="4095" spans="4:11" x14ac:dyDescent="0.2">
      <c r="D4095" s="2"/>
      <c r="E4095" s="2"/>
      <c r="F4095" s="2"/>
      <c r="G4095" s="2"/>
      <c r="H4095" s="2"/>
      <c r="I4095" s="2"/>
      <c r="J4095" s="2"/>
      <c r="K4095" s="2"/>
    </row>
    <row r="4096" spans="4:11" x14ac:dyDescent="0.2">
      <c r="D4096" s="2"/>
      <c r="E4096" s="2"/>
      <c r="F4096" s="2"/>
      <c r="G4096" s="2"/>
      <c r="H4096" s="2"/>
      <c r="I4096" s="2"/>
      <c r="J4096" s="2"/>
      <c r="K4096" s="2"/>
    </row>
    <row r="4097" spans="4:11" x14ac:dyDescent="0.2">
      <c r="D4097" s="2"/>
      <c r="E4097" s="2"/>
      <c r="F4097" s="2"/>
      <c r="G4097" s="2"/>
      <c r="H4097" s="2"/>
      <c r="I4097" s="2"/>
      <c r="J4097" s="2"/>
      <c r="K4097" s="2"/>
    </row>
    <row r="4098" spans="4:11" x14ac:dyDescent="0.2">
      <c r="D4098" s="2"/>
      <c r="E4098" s="2"/>
      <c r="F4098" s="2"/>
      <c r="G4098" s="2"/>
      <c r="H4098" s="2"/>
      <c r="I4098" s="2"/>
      <c r="J4098" s="2"/>
      <c r="K4098" s="2"/>
    </row>
    <row r="4099" spans="4:11" x14ac:dyDescent="0.2">
      <c r="D4099" s="2"/>
      <c r="E4099" s="2"/>
      <c r="F4099" s="2"/>
      <c r="G4099" s="2"/>
      <c r="H4099" s="2"/>
      <c r="I4099" s="2"/>
      <c r="J4099" s="2"/>
      <c r="K4099" s="2"/>
    </row>
    <row r="4100" spans="4:11" x14ac:dyDescent="0.2">
      <c r="D4100" s="2"/>
      <c r="E4100" s="2"/>
      <c r="F4100" s="2"/>
      <c r="G4100" s="2"/>
      <c r="H4100" s="2"/>
      <c r="I4100" s="2"/>
      <c r="J4100" s="2"/>
      <c r="K4100" s="2"/>
    </row>
    <row r="4101" spans="4:11" x14ac:dyDescent="0.2">
      <c r="D4101" s="2"/>
      <c r="E4101" s="2"/>
      <c r="F4101" s="2"/>
      <c r="G4101" s="2"/>
      <c r="H4101" s="2"/>
      <c r="I4101" s="2"/>
      <c r="J4101" s="2"/>
      <c r="K4101" s="2"/>
    </row>
    <row r="4102" spans="4:11" x14ac:dyDescent="0.2">
      <c r="D4102" s="2"/>
      <c r="E4102" s="2"/>
      <c r="F4102" s="2"/>
      <c r="G4102" s="2"/>
      <c r="H4102" s="2"/>
      <c r="I4102" s="2"/>
      <c r="J4102" s="2"/>
      <c r="K4102" s="2"/>
    </row>
    <row r="4103" spans="4:11" x14ac:dyDescent="0.2">
      <c r="D4103" s="2"/>
      <c r="E4103" s="2"/>
      <c r="F4103" s="2"/>
      <c r="G4103" s="2"/>
      <c r="H4103" s="2"/>
      <c r="I4103" s="2"/>
      <c r="J4103" s="2"/>
      <c r="K4103" s="2"/>
    </row>
    <row r="4104" spans="4:11" x14ac:dyDescent="0.2">
      <c r="D4104" s="2"/>
      <c r="E4104" s="2"/>
      <c r="F4104" s="2"/>
      <c r="G4104" s="2"/>
      <c r="H4104" s="2"/>
      <c r="I4104" s="2"/>
      <c r="J4104" s="2"/>
      <c r="K4104" s="2"/>
    </row>
    <row r="4105" spans="4:11" x14ac:dyDescent="0.2">
      <c r="D4105" s="2"/>
      <c r="E4105" s="2"/>
      <c r="F4105" s="2"/>
      <c r="G4105" s="2"/>
      <c r="H4105" s="2"/>
      <c r="I4105" s="2"/>
      <c r="J4105" s="2"/>
      <c r="K4105" s="2"/>
    </row>
    <row r="4106" spans="4:11" x14ac:dyDescent="0.2">
      <c r="D4106" s="2"/>
      <c r="E4106" s="2"/>
      <c r="F4106" s="2"/>
      <c r="G4106" s="2"/>
      <c r="H4106" s="2"/>
      <c r="I4106" s="2"/>
      <c r="J4106" s="2"/>
      <c r="K4106" s="2"/>
    </row>
    <row r="4107" spans="4:11" x14ac:dyDescent="0.2">
      <c r="D4107" s="2"/>
      <c r="E4107" s="2"/>
      <c r="F4107" s="2"/>
      <c r="G4107" s="2"/>
      <c r="H4107" s="2"/>
      <c r="I4107" s="2"/>
      <c r="J4107" s="2"/>
      <c r="K4107" s="2"/>
    </row>
    <row r="4108" spans="4:11" x14ac:dyDescent="0.2">
      <c r="D4108" s="2"/>
      <c r="E4108" s="2"/>
      <c r="F4108" s="2"/>
      <c r="G4108" s="2"/>
      <c r="H4108" s="2"/>
      <c r="I4108" s="2"/>
      <c r="J4108" s="2"/>
      <c r="K4108" s="2"/>
    </row>
    <row r="4109" spans="4:11" x14ac:dyDescent="0.2">
      <c r="D4109" s="2"/>
      <c r="E4109" s="2"/>
      <c r="F4109" s="2"/>
      <c r="G4109" s="2"/>
      <c r="H4109" s="2"/>
      <c r="I4109" s="2"/>
      <c r="J4109" s="2"/>
      <c r="K4109" s="2"/>
    </row>
    <row r="4110" spans="4:11" x14ac:dyDescent="0.2">
      <c r="D4110" s="2"/>
      <c r="E4110" s="2"/>
      <c r="F4110" s="2"/>
      <c r="G4110" s="2"/>
      <c r="H4110" s="2"/>
      <c r="I4110" s="2"/>
      <c r="J4110" s="2"/>
      <c r="K4110" s="2"/>
    </row>
    <row r="4111" spans="4:11" x14ac:dyDescent="0.2">
      <c r="D4111" s="2"/>
      <c r="E4111" s="2"/>
      <c r="F4111" s="2"/>
      <c r="G4111" s="2"/>
      <c r="H4111" s="2"/>
      <c r="I4111" s="2"/>
      <c r="J4111" s="2"/>
      <c r="K4111" s="2"/>
    </row>
    <row r="4112" spans="4:11" x14ac:dyDescent="0.2">
      <c r="D4112" s="2"/>
      <c r="E4112" s="2"/>
      <c r="F4112" s="2"/>
      <c r="G4112" s="2"/>
      <c r="H4112" s="2"/>
      <c r="I4112" s="2"/>
      <c r="J4112" s="2"/>
      <c r="K4112" s="2"/>
    </row>
    <row r="4113" spans="4:11" x14ac:dyDescent="0.2">
      <c r="D4113" s="2"/>
      <c r="E4113" s="2"/>
      <c r="F4113" s="2"/>
      <c r="G4113" s="2"/>
      <c r="H4113" s="2"/>
      <c r="I4113" s="2"/>
      <c r="J4113" s="2"/>
      <c r="K4113" s="2"/>
    </row>
    <row r="4114" spans="4:11" x14ac:dyDescent="0.2">
      <c r="D4114" s="2"/>
      <c r="E4114" s="2"/>
      <c r="F4114" s="2"/>
      <c r="G4114" s="2"/>
      <c r="H4114" s="2"/>
      <c r="I4114" s="2"/>
      <c r="J4114" s="2"/>
      <c r="K4114" s="2"/>
    </row>
    <row r="4115" spans="4:11" x14ac:dyDescent="0.2">
      <c r="D4115" s="2"/>
      <c r="E4115" s="2"/>
      <c r="F4115" s="2"/>
      <c r="G4115" s="2"/>
      <c r="H4115" s="2"/>
      <c r="I4115" s="2"/>
      <c r="J4115" s="2"/>
      <c r="K4115" s="2"/>
    </row>
    <row r="4116" spans="4:11" x14ac:dyDescent="0.2">
      <c r="D4116" s="2"/>
      <c r="E4116" s="2"/>
      <c r="F4116" s="2"/>
      <c r="G4116" s="2"/>
      <c r="H4116" s="2"/>
      <c r="I4116" s="2"/>
      <c r="J4116" s="2"/>
      <c r="K4116" s="2"/>
    </row>
    <row r="4117" spans="4:11" x14ac:dyDescent="0.2">
      <c r="D4117" s="2"/>
      <c r="E4117" s="2"/>
      <c r="F4117" s="2"/>
      <c r="G4117" s="2"/>
      <c r="H4117" s="2"/>
      <c r="I4117" s="2"/>
      <c r="J4117" s="2"/>
      <c r="K4117" s="2"/>
    </row>
    <row r="4118" spans="4:11" x14ac:dyDescent="0.2">
      <c r="D4118" s="2"/>
      <c r="E4118" s="2"/>
      <c r="F4118" s="2"/>
      <c r="G4118" s="2"/>
      <c r="H4118" s="2"/>
      <c r="I4118" s="2"/>
      <c r="J4118" s="2"/>
      <c r="K4118" s="2"/>
    </row>
    <row r="4119" spans="4:11" x14ac:dyDescent="0.2">
      <c r="D4119" s="2"/>
      <c r="E4119" s="2"/>
      <c r="F4119" s="2"/>
      <c r="G4119" s="2"/>
      <c r="H4119" s="2"/>
      <c r="I4119" s="2"/>
      <c r="J4119" s="2"/>
      <c r="K4119" s="2"/>
    </row>
    <row r="4120" spans="4:11" x14ac:dyDescent="0.2">
      <c r="D4120" s="2"/>
      <c r="E4120" s="2"/>
      <c r="F4120" s="2"/>
      <c r="G4120" s="2"/>
      <c r="H4120" s="2"/>
      <c r="I4120" s="2"/>
      <c r="J4120" s="2"/>
      <c r="K4120" s="2"/>
    </row>
    <row r="4121" spans="4:11" x14ac:dyDescent="0.2">
      <c r="D4121" s="2"/>
      <c r="E4121" s="2"/>
      <c r="F4121" s="2"/>
      <c r="G4121" s="2"/>
      <c r="H4121" s="2"/>
      <c r="I4121" s="2"/>
      <c r="J4121" s="2"/>
      <c r="K4121" s="2"/>
    </row>
    <row r="4122" spans="4:11" x14ac:dyDescent="0.2">
      <c r="D4122" s="2"/>
      <c r="E4122" s="2"/>
      <c r="F4122" s="2"/>
      <c r="G4122" s="2"/>
      <c r="H4122" s="2"/>
      <c r="I4122" s="2"/>
      <c r="J4122" s="2"/>
      <c r="K4122" s="2"/>
    </row>
    <row r="4123" spans="4:11" x14ac:dyDescent="0.2">
      <c r="D4123" s="2"/>
      <c r="E4123" s="2"/>
      <c r="F4123" s="2"/>
      <c r="G4123" s="2"/>
      <c r="H4123" s="2"/>
      <c r="I4123" s="2"/>
      <c r="J4123" s="2"/>
      <c r="K4123" s="2"/>
    </row>
    <row r="4124" spans="4:11" x14ac:dyDescent="0.2">
      <c r="D4124" s="2"/>
      <c r="E4124" s="2"/>
      <c r="F4124" s="2"/>
      <c r="G4124" s="2"/>
      <c r="H4124" s="2"/>
      <c r="I4124" s="2"/>
      <c r="J4124" s="2"/>
      <c r="K4124" s="2"/>
    </row>
    <row r="4125" spans="4:11" x14ac:dyDescent="0.2">
      <c r="D4125" s="2"/>
      <c r="E4125" s="2"/>
      <c r="F4125" s="2"/>
      <c r="G4125" s="2"/>
      <c r="H4125" s="2"/>
      <c r="I4125" s="2"/>
      <c r="J4125" s="2"/>
      <c r="K4125" s="2"/>
    </row>
    <row r="4126" spans="4:11" x14ac:dyDescent="0.2">
      <c r="D4126" s="2"/>
      <c r="E4126" s="2"/>
      <c r="F4126" s="2"/>
      <c r="G4126" s="2"/>
      <c r="H4126" s="2"/>
      <c r="I4126" s="2"/>
      <c r="J4126" s="2"/>
      <c r="K4126" s="2"/>
    </row>
    <row r="4127" spans="4:11" x14ac:dyDescent="0.2">
      <c r="D4127" s="2"/>
      <c r="E4127" s="2"/>
      <c r="F4127" s="2"/>
      <c r="G4127" s="2"/>
      <c r="H4127" s="2"/>
      <c r="I4127" s="2"/>
      <c r="J4127" s="2"/>
      <c r="K4127" s="2"/>
    </row>
    <row r="4128" spans="4:11" x14ac:dyDescent="0.2">
      <c r="D4128" s="2"/>
      <c r="E4128" s="2"/>
      <c r="F4128" s="2"/>
      <c r="G4128" s="2"/>
      <c r="H4128" s="2"/>
      <c r="I4128" s="2"/>
      <c r="J4128" s="2"/>
      <c r="K4128" s="2"/>
    </row>
    <row r="4129" spans="4:11" x14ac:dyDescent="0.2">
      <c r="D4129" s="2"/>
      <c r="E4129" s="2"/>
      <c r="F4129" s="2"/>
      <c r="G4129" s="2"/>
      <c r="H4129" s="2"/>
      <c r="I4129" s="2"/>
      <c r="J4129" s="2"/>
      <c r="K4129" s="2"/>
    </row>
    <row r="4130" spans="4:11" x14ac:dyDescent="0.2">
      <c r="D4130" s="2"/>
      <c r="E4130" s="2"/>
      <c r="F4130" s="2"/>
      <c r="G4130" s="2"/>
      <c r="H4130" s="2"/>
      <c r="I4130" s="2"/>
      <c r="J4130" s="2"/>
      <c r="K4130" s="2"/>
    </row>
    <row r="4131" spans="4:11" x14ac:dyDescent="0.2">
      <c r="D4131" s="2"/>
      <c r="E4131" s="2"/>
      <c r="F4131" s="2"/>
      <c r="G4131" s="2"/>
      <c r="H4131" s="2"/>
      <c r="I4131" s="2"/>
      <c r="J4131" s="2"/>
      <c r="K4131" s="2"/>
    </row>
    <row r="4132" spans="4:11" x14ac:dyDescent="0.2">
      <c r="D4132" s="2"/>
      <c r="E4132" s="2"/>
      <c r="F4132" s="2"/>
      <c r="G4132" s="2"/>
      <c r="H4132" s="2"/>
      <c r="I4132" s="2"/>
      <c r="J4132" s="2"/>
      <c r="K4132" s="2"/>
    </row>
    <row r="4133" spans="4:11" x14ac:dyDescent="0.2">
      <c r="D4133" s="2"/>
      <c r="E4133" s="2"/>
      <c r="F4133" s="2"/>
      <c r="G4133" s="2"/>
      <c r="H4133" s="2"/>
      <c r="I4133" s="2"/>
      <c r="J4133" s="2"/>
      <c r="K4133" s="2"/>
    </row>
    <row r="4134" spans="4:11" x14ac:dyDescent="0.2">
      <c r="D4134" s="2"/>
      <c r="E4134" s="2"/>
      <c r="F4134" s="2"/>
      <c r="G4134" s="2"/>
      <c r="H4134" s="2"/>
      <c r="I4134" s="2"/>
      <c r="J4134" s="2"/>
      <c r="K4134" s="2"/>
    </row>
    <row r="4135" spans="4:11" x14ac:dyDescent="0.2">
      <c r="D4135" s="2"/>
      <c r="E4135" s="2"/>
      <c r="F4135" s="2"/>
      <c r="G4135" s="2"/>
      <c r="H4135" s="2"/>
      <c r="I4135" s="2"/>
      <c r="J4135" s="2"/>
      <c r="K4135" s="2"/>
    </row>
    <row r="4136" spans="4:11" x14ac:dyDescent="0.2">
      <c r="D4136" s="2"/>
      <c r="E4136" s="2"/>
      <c r="F4136" s="2"/>
      <c r="G4136" s="2"/>
      <c r="H4136" s="2"/>
      <c r="I4136" s="2"/>
      <c r="J4136" s="2"/>
      <c r="K4136" s="2"/>
    </row>
    <row r="4137" spans="4:11" x14ac:dyDescent="0.2">
      <c r="D4137" s="2"/>
      <c r="E4137" s="2"/>
      <c r="F4137" s="2"/>
      <c r="G4137" s="2"/>
      <c r="H4137" s="2"/>
      <c r="I4137" s="2"/>
      <c r="J4137" s="2"/>
      <c r="K4137" s="2"/>
    </row>
    <row r="4138" spans="4:11" x14ac:dyDescent="0.2">
      <c r="D4138" s="2"/>
      <c r="E4138" s="2"/>
      <c r="F4138" s="2"/>
      <c r="G4138" s="2"/>
      <c r="H4138" s="2"/>
      <c r="I4138" s="2"/>
      <c r="J4138" s="2"/>
      <c r="K4138" s="2"/>
    </row>
    <row r="4139" spans="4:11" x14ac:dyDescent="0.2">
      <c r="D4139" s="2"/>
      <c r="E4139" s="2"/>
      <c r="F4139" s="2"/>
      <c r="G4139" s="2"/>
      <c r="H4139" s="2"/>
      <c r="I4139" s="2"/>
      <c r="J4139" s="2"/>
      <c r="K4139" s="2"/>
    </row>
    <row r="4140" spans="4:11" x14ac:dyDescent="0.2">
      <c r="D4140" s="2"/>
      <c r="E4140" s="2"/>
      <c r="F4140" s="2"/>
      <c r="G4140" s="2"/>
      <c r="H4140" s="2"/>
      <c r="I4140" s="2"/>
      <c r="J4140" s="2"/>
      <c r="K4140" s="2"/>
    </row>
    <row r="4141" spans="4:11" x14ac:dyDescent="0.2">
      <c r="D4141" s="2"/>
      <c r="E4141" s="2"/>
      <c r="F4141" s="2"/>
      <c r="G4141" s="2"/>
      <c r="H4141" s="2"/>
      <c r="I4141" s="2"/>
      <c r="J4141" s="2"/>
      <c r="K4141" s="2"/>
    </row>
    <row r="4142" spans="4:11" x14ac:dyDescent="0.2">
      <c r="D4142" s="2"/>
      <c r="E4142" s="2"/>
      <c r="F4142" s="2"/>
      <c r="G4142" s="2"/>
      <c r="H4142" s="2"/>
      <c r="I4142" s="2"/>
      <c r="J4142" s="2"/>
      <c r="K4142" s="2"/>
    </row>
    <row r="4143" spans="4:11" x14ac:dyDescent="0.2">
      <c r="D4143" s="2"/>
      <c r="E4143" s="2"/>
      <c r="F4143" s="2"/>
      <c r="G4143" s="2"/>
      <c r="H4143" s="2"/>
      <c r="I4143" s="2"/>
      <c r="J4143" s="2"/>
      <c r="K4143" s="2"/>
    </row>
    <row r="4144" spans="4:11" x14ac:dyDescent="0.2">
      <c r="D4144" s="2"/>
      <c r="E4144" s="2"/>
      <c r="F4144" s="2"/>
      <c r="G4144" s="2"/>
      <c r="H4144" s="2"/>
      <c r="I4144" s="2"/>
      <c r="J4144" s="2"/>
      <c r="K4144" s="2"/>
    </row>
    <row r="4145" spans="4:11" x14ac:dyDescent="0.2">
      <c r="D4145" s="2"/>
      <c r="E4145" s="2"/>
      <c r="F4145" s="2"/>
      <c r="G4145" s="2"/>
      <c r="H4145" s="2"/>
      <c r="I4145" s="2"/>
      <c r="J4145" s="2"/>
      <c r="K4145" s="2"/>
    </row>
    <row r="4146" spans="4:11" x14ac:dyDescent="0.2">
      <c r="D4146" s="2"/>
      <c r="E4146" s="2"/>
      <c r="F4146" s="2"/>
      <c r="G4146" s="2"/>
      <c r="H4146" s="2"/>
      <c r="I4146" s="2"/>
      <c r="J4146" s="2"/>
      <c r="K4146" s="2"/>
    </row>
    <row r="4147" spans="4:11" x14ac:dyDescent="0.2">
      <c r="D4147" s="2"/>
      <c r="E4147" s="2"/>
      <c r="F4147" s="2"/>
      <c r="G4147" s="2"/>
      <c r="H4147" s="2"/>
      <c r="I4147" s="2"/>
      <c r="J4147" s="2"/>
      <c r="K4147" s="2"/>
    </row>
    <row r="4148" spans="4:11" x14ac:dyDescent="0.2">
      <c r="D4148" s="2"/>
      <c r="E4148" s="2"/>
      <c r="F4148" s="2"/>
      <c r="G4148" s="2"/>
      <c r="H4148" s="2"/>
      <c r="I4148" s="2"/>
      <c r="J4148" s="2"/>
      <c r="K4148" s="2"/>
    </row>
    <row r="4149" spans="4:11" x14ac:dyDescent="0.2">
      <c r="D4149" s="2"/>
      <c r="E4149" s="2"/>
      <c r="F4149" s="2"/>
      <c r="G4149" s="2"/>
      <c r="H4149" s="2"/>
      <c r="I4149" s="2"/>
      <c r="J4149" s="2"/>
      <c r="K4149" s="2"/>
    </row>
    <row r="4150" spans="4:11" x14ac:dyDescent="0.2">
      <c r="D4150" s="2"/>
      <c r="E4150" s="2"/>
      <c r="F4150" s="2"/>
      <c r="G4150" s="2"/>
      <c r="H4150" s="2"/>
      <c r="I4150" s="2"/>
      <c r="J4150" s="2"/>
      <c r="K4150" s="2"/>
    </row>
    <row r="4151" spans="4:11" x14ac:dyDescent="0.2">
      <c r="D4151" s="2"/>
      <c r="E4151" s="2"/>
      <c r="F4151" s="2"/>
      <c r="G4151" s="2"/>
      <c r="H4151" s="2"/>
      <c r="I4151" s="2"/>
      <c r="J4151" s="2"/>
      <c r="K4151" s="2"/>
    </row>
    <row r="4152" spans="4:11" x14ac:dyDescent="0.2">
      <c r="D4152" s="2"/>
      <c r="E4152" s="2"/>
      <c r="F4152" s="2"/>
      <c r="G4152" s="2"/>
      <c r="H4152" s="2"/>
      <c r="I4152" s="2"/>
      <c r="J4152" s="2"/>
      <c r="K4152" s="2"/>
    </row>
    <row r="4153" spans="4:11" x14ac:dyDescent="0.2">
      <c r="D4153" s="2"/>
      <c r="E4153" s="2"/>
      <c r="F4153" s="2"/>
      <c r="G4153" s="2"/>
      <c r="H4153" s="2"/>
      <c r="I4153" s="2"/>
      <c r="J4153" s="2"/>
      <c r="K4153" s="2"/>
    </row>
    <row r="4154" spans="4:11" x14ac:dyDescent="0.2">
      <c r="D4154" s="2"/>
      <c r="E4154" s="2"/>
      <c r="F4154" s="2"/>
      <c r="G4154" s="2"/>
      <c r="H4154" s="2"/>
      <c r="I4154" s="2"/>
      <c r="J4154" s="2"/>
      <c r="K4154" s="2"/>
    </row>
    <row r="4155" spans="4:11" x14ac:dyDescent="0.2">
      <c r="D4155" s="2"/>
      <c r="E4155" s="2"/>
      <c r="F4155" s="2"/>
      <c r="G4155" s="2"/>
      <c r="H4155" s="2"/>
      <c r="I4155" s="2"/>
      <c r="J4155" s="2"/>
      <c r="K4155" s="2"/>
    </row>
    <row r="4156" spans="4:11" x14ac:dyDescent="0.2">
      <c r="D4156" s="2"/>
      <c r="E4156" s="2"/>
      <c r="F4156" s="2"/>
      <c r="G4156" s="2"/>
      <c r="H4156" s="2"/>
      <c r="I4156" s="2"/>
      <c r="J4156" s="2"/>
      <c r="K4156" s="2"/>
    </row>
    <row r="4157" spans="4:11" x14ac:dyDescent="0.2">
      <c r="D4157" s="2"/>
      <c r="E4157" s="2"/>
      <c r="F4157" s="2"/>
      <c r="G4157" s="2"/>
      <c r="H4157" s="2"/>
      <c r="I4157" s="2"/>
      <c r="J4157" s="2"/>
      <c r="K4157" s="2"/>
    </row>
    <row r="4158" spans="4:11" x14ac:dyDescent="0.2">
      <c r="D4158" s="2"/>
      <c r="E4158" s="2"/>
      <c r="F4158" s="2"/>
      <c r="G4158" s="2"/>
      <c r="H4158" s="2"/>
      <c r="I4158" s="2"/>
      <c r="J4158" s="2"/>
      <c r="K4158" s="2"/>
    </row>
    <row r="4159" spans="4:11" x14ac:dyDescent="0.2">
      <c r="D4159" s="2"/>
      <c r="E4159" s="2"/>
      <c r="F4159" s="2"/>
      <c r="G4159" s="2"/>
      <c r="H4159" s="2"/>
      <c r="I4159" s="2"/>
      <c r="J4159" s="2"/>
      <c r="K4159" s="2"/>
    </row>
    <row r="4160" spans="4:11" x14ac:dyDescent="0.2">
      <c r="D4160" s="2"/>
      <c r="E4160" s="2"/>
      <c r="F4160" s="2"/>
      <c r="G4160" s="2"/>
      <c r="H4160" s="2"/>
      <c r="I4160" s="2"/>
      <c r="J4160" s="2"/>
      <c r="K4160" s="2"/>
    </row>
    <row r="4161" spans="4:11" x14ac:dyDescent="0.2">
      <c r="D4161" s="2"/>
      <c r="E4161" s="2"/>
      <c r="F4161" s="2"/>
      <c r="G4161" s="2"/>
      <c r="H4161" s="2"/>
      <c r="I4161" s="2"/>
      <c r="J4161" s="2"/>
      <c r="K4161" s="2"/>
    </row>
    <row r="4162" spans="4:11" x14ac:dyDescent="0.2">
      <c r="D4162" s="2"/>
      <c r="E4162" s="2"/>
      <c r="F4162" s="2"/>
      <c r="G4162" s="2"/>
      <c r="H4162" s="2"/>
      <c r="I4162" s="2"/>
      <c r="J4162" s="2"/>
      <c r="K4162" s="2"/>
    </row>
    <row r="4163" spans="4:11" x14ac:dyDescent="0.2">
      <c r="D4163" s="2"/>
      <c r="E4163" s="2"/>
      <c r="F4163" s="2"/>
      <c r="G4163" s="2"/>
      <c r="H4163" s="2"/>
      <c r="I4163" s="2"/>
      <c r="J4163" s="2"/>
      <c r="K4163" s="2"/>
    </row>
    <row r="4164" spans="4:11" x14ac:dyDescent="0.2">
      <c r="D4164" s="2"/>
      <c r="E4164" s="2"/>
      <c r="F4164" s="2"/>
      <c r="G4164" s="2"/>
      <c r="H4164" s="2"/>
      <c r="I4164" s="2"/>
      <c r="J4164" s="2"/>
      <c r="K4164" s="2"/>
    </row>
    <row r="4165" spans="4:11" x14ac:dyDescent="0.2">
      <c r="D4165" s="2"/>
      <c r="E4165" s="2"/>
      <c r="F4165" s="2"/>
      <c r="G4165" s="2"/>
      <c r="H4165" s="2"/>
      <c r="I4165" s="2"/>
      <c r="J4165" s="2"/>
      <c r="K4165" s="2"/>
    </row>
    <row r="4166" spans="4:11" x14ac:dyDescent="0.2">
      <c r="D4166" s="2"/>
      <c r="E4166" s="2"/>
      <c r="F4166" s="2"/>
      <c r="G4166" s="2"/>
      <c r="H4166" s="2"/>
      <c r="I4166" s="2"/>
      <c r="J4166" s="2"/>
      <c r="K4166" s="2"/>
    </row>
    <row r="4167" spans="4:11" x14ac:dyDescent="0.2">
      <c r="D4167" s="2"/>
      <c r="E4167" s="2"/>
      <c r="F4167" s="2"/>
      <c r="G4167" s="2"/>
      <c r="H4167" s="2"/>
      <c r="I4167" s="2"/>
      <c r="J4167" s="2"/>
      <c r="K4167" s="2"/>
    </row>
    <row r="4168" spans="4:11" x14ac:dyDescent="0.2">
      <c r="D4168" s="2"/>
      <c r="E4168" s="2"/>
      <c r="F4168" s="2"/>
      <c r="G4168" s="2"/>
      <c r="H4168" s="2"/>
      <c r="I4168" s="2"/>
      <c r="J4168" s="2"/>
      <c r="K4168" s="2"/>
    </row>
    <row r="4169" spans="4:11" x14ac:dyDescent="0.2">
      <c r="D4169" s="2"/>
      <c r="E4169" s="2"/>
      <c r="F4169" s="2"/>
      <c r="G4169" s="2"/>
      <c r="H4169" s="2"/>
      <c r="I4169" s="2"/>
      <c r="J4169" s="2"/>
      <c r="K4169" s="2"/>
    </row>
    <row r="4170" spans="4:11" x14ac:dyDescent="0.2">
      <c r="D4170" s="2"/>
      <c r="E4170" s="2"/>
      <c r="F4170" s="2"/>
      <c r="G4170" s="2"/>
      <c r="H4170" s="2"/>
      <c r="I4170" s="2"/>
      <c r="J4170" s="2"/>
      <c r="K4170" s="2"/>
    </row>
    <row r="4171" spans="4:11" x14ac:dyDescent="0.2">
      <c r="D4171" s="2"/>
      <c r="E4171" s="2"/>
      <c r="F4171" s="2"/>
      <c r="G4171" s="2"/>
      <c r="H4171" s="2"/>
      <c r="I4171" s="2"/>
      <c r="J4171" s="2"/>
      <c r="K4171" s="2"/>
    </row>
    <row r="4172" spans="4:11" x14ac:dyDescent="0.2">
      <c r="D4172" s="2"/>
      <c r="E4172" s="2"/>
      <c r="F4172" s="2"/>
      <c r="G4172" s="2"/>
      <c r="H4172" s="2"/>
      <c r="I4172" s="2"/>
      <c r="J4172" s="2"/>
      <c r="K4172" s="2"/>
    </row>
    <row r="4173" spans="4:11" x14ac:dyDescent="0.2">
      <c r="D4173" s="2"/>
      <c r="E4173" s="2"/>
      <c r="F4173" s="2"/>
      <c r="G4173" s="2"/>
      <c r="H4173" s="2"/>
      <c r="I4173" s="2"/>
      <c r="J4173" s="2"/>
      <c r="K4173" s="2"/>
    </row>
    <row r="4174" spans="4:11" x14ac:dyDescent="0.2">
      <c r="D4174" s="2"/>
      <c r="E4174" s="2"/>
      <c r="F4174" s="2"/>
      <c r="G4174" s="2"/>
      <c r="H4174" s="2"/>
      <c r="I4174" s="2"/>
      <c r="J4174" s="2"/>
      <c r="K4174" s="2"/>
    </row>
    <row r="4175" spans="4:11" x14ac:dyDescent="0.2">
      <c r="D4175" s="2"/>
      <c r="E4175" s="2"/>
      <c r="F4175" s="2"/>
      <c r="G4175" s="2"/>
      <c r="H4175" s="2"/>
      <c r="I4175" s="2"/>
      <c r="J4175" s="2"/>
      <c r="K4175" s="2"/>
    </row>
    <row r="4176" spans="4:11" x14ac:dyDescent="0.2">
      <c r="D4176" s="2"/>
      <c r="E4176" s="2"/>
      <c r="F4176" s="2"/>
      <c r="G4176" s="2"/>
      <c r="H4176" s="2"/>
      <c r="I4176" s="2"/>
      <c r="J4176" s="2"/>
      <c r="K4176" s="2"/>
    </row>
    <row r="4177" spans="4:11" x14ac:dyDescent="0.2">
      <c r="D4177" s="2"/>
      <c r="E4177" s="2"/>
      <c r="F4177" s="2"/>
      <c r="G4177" s="2"/>
      <c r="H4177" s="2"/>
      <c r="I4177" s="2"/>
      <c r="J4177" s="2"/>
      <c r="K4177" s="2"/>
    </row>
    <row r="4178" spans="4:11" x14ac:dyDescent="0.2">
      <c r="D4178" s="2"/>
      <c r="E4178" s="2"/>
      <c r="F4178" s="2"/>
      <c r="G4178" s="2"/>
      <c r="H4178" s="2"/>
      <c r="I4178" s="2"/>
      <c r="J4178" s="2"/>
      <c r="K4178" s="2"/>
    </row>
    <row r="4179" spans="4:11" x14ac:dyDescent="0.2">
      <c r="D4179" s="2"/>
      <c r="E4179" s="2"/>
      <c r="F4179" s="2"/>
      <c r="G4179" s="2"/>
      <c r="H4179" s="2"/>
      <c r="I4179" s="2"/>
      <c r="J4179" s="2"/>
      <c r="K4179" s="2"/>
    </row>
    <row r="4180" spans="4:11" x14ac:dyDescent="0.2">
      <c r="D4180" s="2"/>
      <c r="E4180" s="2"/>
      <c r="F4180" s="2"/>
      <c r="G4180" s="2"/>
      <c r="H4180" s="2"/>
      <c r="I4180" s="2"/>
      <c r="J4180" s="2"/>
      <c r="K4180" s="2"/>
    </row>
    <row r="4181" spans="4:11" x14ac:dyDescent="0.2">
      <c r="D4181" s="2"/>
      <c r="E4181" s="2"/>
      <c r="F4181" s="2"/>
      <c r="G4181" s="2"/>
      <c r="H4181" s="2"/>
      <c r="I4181" s="2"/>
      <c r="J4181" s="2"/>
      <c r="K4181" s="2"/>
    </row>
    <row r="4182" spans="4:11" x14ac:dyDescent="0.2">
      <c r="D4182" s="2"/>
      <c r="E4182" s="2"/>
      <c r="F4182" s="2"/>
      <c r="G4182" s="2"/>
      <c r="H4182" s="2"/>
      <c r="I4182" s="2"/>
      <c r="J4182" s="2"/>
      <c r="K4182" s="2"/>
    </row>
    <row r="4183" spans="4:11" x14ac:dyDescent="0.2">
      <c r="D4183" s="2"/>
      <c r="E4183" s="2"/>
      <c r="F4183" s="2"/>
      <c r="G4183" s="2"/>
      <c r="H4183" s="2"/>
      <c r="I4183" s="2"/>
      <c r="J4183" s="2"/>
      <c r="K4183" s="2"/>
    </row>
    <row r="4184" spans="4:11" x14ac:dyDescent="0.2">
      <c r="D4184" s="2"/>
      <c r="E4184" s="2"/>
      <c r="F4184" s="2"/>
      <c r="G4184" s="2"/>
      <c r="H4184" s="2"/>
      <c r="I4184" s="2"/>
      <c r="J4184" s="2"/>
      <c r="K4184" s="2"/>
    </row>
    <row r="4185" spans="4:11" x14ac:dyDescent="0.2">
      <c r="D4185" s="2"/>
      <c r="E4185" s="2"/>
      <c r="F4185" s="2"/>
      <c r="G4185" s="2"/>
      <c r="H4185" s="2"/>
      <c r="I4185" s="2"/>
      <c r="J4185" s="2"/>
      <c r="K4185" s="2"/>
    </row>
    <row r="4186" spans="4:11" x14ac:dyDescent="0.2">
      <c r="D4186" s="2"/>
      <c r="E4186" s="2"/>
      <c r="F4186" s="2"/>
      <c r="G4186" s="2"/>
      <c r="H4186" s="2"/>
      <c r="I4186" s="2"/>
      <c r="J4186" s="2"/>
      <c r="K4186" s="2"/>
    </row>
    <row r="4187" spans="4:11" x14ac:dyDescent="0.2">
      <c r="D4187" s="2"/>
      <c r="E4187" s="2"/>
      <c r="F4187" s="2"/>
      <c r="G4187" s="2"/>
      <c r="H4187" s="2"/>
      <c r="I4187" s="2"/>
      <c r="J4187" s="2"/>
      <c r="K4187" s="2"/>
    </row>
    <row r="4188" spans="4:11" x14ac:dyDescent="0.2">
      <c r="D4188" s="2"/>
      <c r="E4188" s="2"/>
      <c r="F4188" s="2"/>
      <c r="G4188" s="2"/>
      <c r="H4188" s="2"/>
      <c r="I4188" s="2"/>
      <c r="J4188" s="2"/>
      <c r="K4188" s="2"/>
    </row>
    <row r="4189" spans="4:11" x14ac:dyDescent="0.2">
      <c r="D4189" s="2"/>
      <c r="E4189" s="2"/>
      <c r="F4189" s="2"/>
      <c r="G4189" s="2"/>
      <c r="H4189" s="2"/>
      <c r="I4189" s="2"/>
      <c r="J4189" s="2"/>
      <c r="K4189" s="2"/>
    </row>
    <row r="4190" spans="4:11" x14ac:dyDescent="0.2">
      <c r="D4190" s="2"/>
      <c r="E4190" s="2"/>
      <c r="F4190" s="2"/>
      <c r="G4190" s="2"/>
      <c r="H4190" s="2"/>
      <c r="I4190" s="2"/>
      <c r="J4190" s="2"/>
      <c r="K4190" s="2"/>
    </row>
    <row r="4191" spans="4:11" x14ac:dyDescent="0.2">
      <c r="D4191" s="2"/>
      <c r="E4191" s="2"/>
      <c r="F4191" s="2"/>
      <c r="G4191" s="2"/>
      <c r="H4191" s="2"/>
      <c r="I4191" s="2"/>
      <c r="J4191" s="2"/>
      <c r="K4191" s="2"/>
    </row>
    <row r="4192" spans="4:11" x14ac:dyDescent="0.2">
      <c r="D4192" s="2"/>
      <c r="E4192" s="2"/>
      <c r="F4192" s="2"/>
      <c r="G4192" s="2"/>
      <c r="H4192" s="2"/>
      <c r="I4192" s="2"/>
      <c r="J4192" s="2"/>
      <c r="K4192" s="2"/>
    </row>
    <row r="4193" spans="4:11" x14ac:dyDescent="0.2">
      <c r="D4193" s="2"/>
      <c r="E4193" s="2"/>
      <c r="F4193" s="2"/>
      <c r="G4193" s="2"/>
      <c r="H4193" s="2"/>
      <c r="I4193" s="2"/>
      <c r="J4193" s="2"/>
      <c r="K4193" s="2"/>
    </row>
    <row r="4194" spans="4:11" x14ac:dyDescent="0.2">
      <c r="D4194" s="2"/>
      <c r="E4194" s="2"/>
      <c r="F4194" s="2"/>
      <c r="G4194" s="2"/>
      <c r="H4194" s="2"/>
      <c r="I4194" s="2"/>
      <c r="J4194" s="2"/>
      <c r="K4194" s="2"/>
    </row>
    <row r="4195" spans="4:11" x14ac:dyDescent="0.2">
      <c r="D4195" s="2"/>
      <c r="E4195" s="2"/>
      <c r="F4195" s="2"/>
      <c r="G4195" s="2"/>
      <c r="H4195" s="2"/>
      <c r="I4195" s="2"/>
      <c r="J4195" s="2"/>
      <c r="K4195" s="2"/>
    </row>
    <row r="4196" spans="4:11" x14ac:dyDescent="0.2">
      <c r="D4196" s="2"/>
      <c r="E4196" s="2"/>
      <c r="F4196" s="2"/>
      <c r="G4196" s="2"/>
      <c r="H4196" s="2"/>
      <c r="I4196" s="2"/>
      <c r="J4196" s="2"/>
      <c r="K4196" s="2"/>
    </row>
    <row r="4197" spans="4:11" x14ac:dyDescent="0.2">
      <c r="D4197" s="2"/>
      <c r="E4197" s="2"/>
      <c r="F4197" s="2"/>
      <c r="G4197" s="2"/>
      <c r="H4197" s="2"/>
      <c r="I4197" s="2"/>
      <c r="J4197" s="2"/>
      <c r="K4197" s="2"/>
    </row>
    <row r="4198" spans="4:11" x14ac:dyDescent="0.2">
      <c r="D4198" s="2"/>
      <c r="E4198" s="2"/>
      <c r="F4198" s="2"/>
      <c r="G4198" s="2"/>
      <c r="H4198" s="2"/>
      <c r="I4198" s="2"/>
      <c r="J4198" s="2"/>
      <c r="K4198" s="2"/>
    </row>
    <row r="4199" spans="4:11" x14ac:dyDescent="0.2">
      <c r="D4199" s="2"/>
      <c r="E4199" s="2"/>
      <c r="F4199" s="2"/>
      <c r="G4199" s="2"/>
      <c r="H4199" s="2"/>
      <c r="I4199" s="2"/>
      <c r="J4199" s="2"/>
      <c r="K4199" s="2"/>
    </row>
    <row r="4200" spans="4:11" x14ac:dyDescent="0.2">
      <c r="D4200" s="2"/>
      <c r="E4200" s="2"/>
      <c r="F4200" s="2"/>
      <c r="G4200" s="2"/>
      <c r="H4200" s="2"/>
      <c r="I4200" s="2"/>
      <c r="J4200" s="2"/>
      <c r="K4200" s="2"/>
    </row>
    <row r="4201" spans="4:11" x14ac:dyDescent="0.2">
      <c r="D4201" s="2"/>
      <c r="E4201" s="2"/>
      <c r="F4201" s="2"/>
      <c r="G4201" s="2"/>
      <c r="H4201" s="2"/>
      <c r="I4201" s="2"/>
      <c r="J4201" s="2"/>
      <c r="K4201" s="2"/>
    </row>
    <row r="4202" spans="4:11" x14ac:dyDescent="0.2">
      <c r="D4202" s="2"/>
      <c r="E4202" s="2"/>
      <c r="F4202" s="2"/>
      <c r="G4202" s="2"/>
      <c r="H4202" s="2"/>
      <c r="I4202" s="2"/>
      <c r="J4202" s="2"/>
      <c r="K4202" s="2"/>
    </row>
    <row r="4203" spans="4:11" x14ac:dyDescent="0.2">
      <c r="D4203" s="2"/>
      <c r="E4203" s="2"/>
      <c r="F4203" s="2"/>
      <c r="G4203" s="2"/>
      <c r="H4203" s="2"/>
      <c r="I4203" s="2"/>
      <c r="J4203" s="2"/>
      <c r="K4203" s="2"/>
    </row>
    <row r="4204" spans="4:11" x14ac:dyDescent="0.2">
      <c r="D4204" s="2"/>
      <c r="E4204" s="2"/>
      <c r="F4204" s="2"/>
      <c r="G4204" s="2"/>
      <c r="H4204" s="2"/>
      <c r="I4204" s="2"/>
      <c r="J4204" s="2"/>
      <c r="K4204" s="2"/>
    </row>
    <row r="4205" spans="4:11" x14ac:dyDescent="0.2">
      <c r="D4205" s="2"/>
      <c r="E4205" s="2"/>
      <c r="F4205" s="2"/>
      <c r="G4205" s="2"/>
      <c r="H4205" s="2"/>
      <c r="I4205" s="2"/>
      <c r="J4205" s="2"/>
      <c r="K4205" s="2"/>
    </row>
    <row r="4206" spans="4:11" x14ac:dyDescent="0.2">
      <c r="D4206" s="2"/>
      <c r="E4206" s="2"/>
      <c r="F4206" s="2"/>
      <c r="G4206" s="2"/>
      <c r="H4206" s="2"/>
      <c r="I4206" s="2"/>
      <c r="J4206" s="2"/>
      <c r="K4206" s="2"/>
    </row>
    <row r="4207" spans="4:11" x14ac:dyDescent="0.2">
      <c r="D4207" s="2"/>
      <c r="E4207" s="2"/>
      <c r="F4207" s="2"/>
      <c r="G4207" s="2"/>
      <c r="H4207" s="2"/>
      <c r="I4207" s="2"/>
      <c r="J4207" s="2"/>
      <c r="K4207" s="2"/>
    </row>
    <row r="4208" spans="4:11" x14ac:dyDescent="0.2">
      <c r="D4208" s="2"/>
      <c r="E4208" s="2"/>
      <c r="F4208" s="2"/>
      <c r="G4208" s="2"/>
      <c r="H4208" s="2"/>
      <c r="I4208" s="2"/>
      <c r="J4208" s="2"/>
      <c r="K4208" s="2"/>
    </row>
    <row r="4209" spans="4:11" x14ac:dyDescent="0.2">
      <c r="D4209" s="2"/>
      <c r="E4209" s="2"/>
      <c r="F4209" s="2"/>
      <c r="G4209" s="2"/>
      <c r="H4209" s="2"/>
      <c r="I4209" s="2"/>
      <c r="J4209" s="2"/>
      <c r="K4209" s="2"/>
    </row>
    <row r="4210" spans="4:11" x14ac:dyDescent="0.2">
      <c r="D4210" s="2"/>
      <c r="E4210" s="2"/>
      <c r="F4210" s="2"/>
      <c r="G4210" s="2"/>
      <c r="H4210" s="2"/>
      <c r="I4210" s="2"/>
      <c r="J4210" s="2"/>
      <c r="K4210" s="2"/>
    </row>
    <row r="4211" spans="4:11" x14ac:dyDescent="0.2">
      <c r="D4211" s="2"/>
      <c r="E4211" s="2"/>
      <c r="F4211" s="2"/>
      <c r="G4211" s="2"/>
      <c r="H4211" s="2"/>
      <c r="I4211" s="2"/>
      <c r="J4211" s="2"/>
      <c r="K4211" s="2"/>
    </row>
    <row r="4212" spans="4:11" x14ac:dyDescent="0.2">
      <c r="D4212" s="2"/>
      <c r="E4212" s="2"/>
      <c r="F4212" s="2"/>
      <c r="G4212" s="2"/>
      <c r="H4212" s="2"/>
      <c r="I4212" s="2"/>
      <c r="J4212" s="2"/>
      <c r="K4212" s="2"/>
    </row>
    <row r="4213" spans="4:11" x14ac:dyDescent="0.2">
      <c r="D4213" s="2"/>
      <c r="E4213" s="2"/>
      <c r="F4213" s="2"/>
      <c r="G4213" s="2"/>
      <c r="H4213" s="2"/>
      <c r="I4213" s="2"/>
      <c r="J4213" s="2"/>
      <c r="K4213" s="2"/>
    </row>
    <row r="4214" spans="4:11" x14ac:dyDescent="0.2">
      <c r="D4214" s="2"/>
      <c r="E4214" s="2"/>
      <c r="F4214" s="2"/>
      <c r="G4214" s="2"/>
      <c r="H4214" s="2"/>
      <c r="I4214" s="2"/>
      <c r="J4214" s="2"/>
      <c r="K4214" s="2"/>
    </row>
    <row r="4215" spans="4:11" x14ac:dyDescent="0.2">
      <c r="D4215" s="2"/>
      <c r="E4215" s="2"/>
      <c r="F4215" s="2"/>
      <c r="G4215" s="2"/>
      <c r="H4215" s="2"/>
      <c r="I4215" s="2"/>
      <c r="J4215" s="2"/>
      <c r="K4215" s="2"/>
    </row>
    <row r="4216" spans="4:11" x14ac:dyDescent="0.2">
      <c r="D4216" s="2"/>
      <c r="E4216" s="2"/>
      <c r="F4216" s="2"/>
      <c r="G4216" s="2"/>
      <c r="H4216" s="2"/>
      <c r="I4216" s="2"/>
      <c r="J4216" s="2"/>
      <c r="K4216" s="2"/>
    </row>
    <row r="4217" spans="4:11" x14ac:dyDescent="0.2">
      <c r="D4217" s="2"/>
      <c r="E4217" s="2"/>
      <c r="F4217" s="2"/>
      <c r="G4217" s="2"/>
      <c r="H4217" s="2"/>
      <c r="I4217" s="2"/>
      <c r="J4217" s="2"/>
      <c r="K4217" s="2"/>
    </row>
    <row r="4218" spans="4:11" x14ac:dyDescent="0.2">
      <c r="D4218" s="2"/>
      <c r="E4218" s="2"/>
      <c r="F4218" s="2"/>
      <c r="G4218" s="2"/>
      <c r="H4218" s="2"/>
      <c r="I4218" s="2"/>
      <c r="J4218" s="2"/>
      <c r="K4218" s="2"/>
    </row>
    <row r="4219" spans="4:11" x14ac:dyDescent="0.2">
      <c r="D4219" s="2"/>
      <c r="E4219" s="2"/>
      <c r="F4219" s="2"/>
      <c r="G4219" s="2"/>
      <c r="H4219" s="2"/>
      <c r="I4219" s="2"/>
      <c r="J4219" s="2"/>
      <c r="K4219" s="2"/>
    </row>
    <row r="4220" spans="4:11" x14ac:dyDescent="0.2">
      <c r="D4220" s="2"/>
      <c r="E4220" s="2"/>
      <c r="F4220" s="2"/>
      <c r="G4220" s="2"/>
      <c r="H4220" s="2"/>
      <c r="I4220" s="2"/>
      <c r="J4220" s="2"/>
      <c r="K4220" s="2"/>
    </row>
    <row r="4221" spans="4:11" x14ac:dyDescent="0.2">
      <c r="D4221" s="2"/>
      <c r="E4221" s="2"/>
      <c r="F4221" s="2"/>
      <c r="G4221" s="2"/>
      <c r="H4221" s="2"/>
      <c r="I4221" s="2"/>
      <c r="J4221" s="2"/>
      <c r="K4221" s="2"/>
    </row>
    <row r="4222" spans="4:11" x14ac:dyDescent="0.2">
      <c r="D4222" s="2"/>
      <c r="E4222" s="2"/>
      <c r="F4222" s="2"/>
      <c r="G4222" s="2"/>
      <c r="H4222" s="2"/>
      <c r="I4222" s="2"/>
      <c r="J4222" s="2"/>
      <c r="K4222" s="2"/>
    </row>
    <row r="4223" spans="4:11" x14ac:dyDescent="0.2">
      <c r="D4223" s="2"/>
      <c r="E4223" s="2"/>
      <c r="F4223" s="2"/>
      <c r="G4223" s="2"/>
      <c r="H4223" s="2"/>
      <c r="I4223" s="2"/>
      <c r="J4223" s="2"/>
      <c r="K4223" s="2"/>
    </row>
    <row r="4224" spans="4:11" x14ac:dyDescent="0.2">
      <c r="D4224" s="2"/>
      <c r="E4224" s="2"/>
      <c r="F4224" s="2"/>
      <c r="G4224" s="2"/>
      <c r="H4224" s="2"/>
      <c r="I4224" s="2"/>
      <c r="J4224" s="2"/>
      <c r="K4224" s="2"/>
    </row>
    <row r="4225" spans="4:11" x14ac:dyDescent="0.2">
      <c r="D4225" s="2"/>
      <c r="E4225" s="2"/>
      <c r="F4225" s="2"/>
      <c r="G4225" s="2"/>
      <c r="H4225" s="2"/>
      <c r="I4225" s="2"/>
      <c r="J4225" s="2"/>
      <c r="K4225" s="2"/>
    </row>
    <row r="4226" spans="4:11" x14ac:dyDescent="0.2">
      <c r="D4226" s="2"/>
      <c r="E4226" s="2"/>
      <c r="F4226" s="2"/>
      <c r="G4226" s="2"/>
      <c r="H4226" s="2"/>
      <c r="I4226" s="2"/>
      <c r="J4226" s="2"/>
      <c r="K4226" s="2"/>
    </row>
    <row r="4227" spans="4:11" x14ac:dyDescent="0.2">
      <c r="D4227" s="2"/>
      <c r="E4227" s="2"/>
      <c r="F4227" s="2"/>
      <c r="G4227" s="2"/>
      <c r="H4227" s="2"/>
      <c r="I4227" s="2"/>
      <c r="J4227" s="2"/>
      <c r="K4227" s="2"/>
    </row>
    <row r="4228" spans="4:11" x14ac:dyDescent="0.2">
      <c r="D4228" s="2"/>
      <c r="E4228" s="2"/>
      <c r="F4228" s="2"/>
      <c r="G4228" s="2"/>
      <c r="H4228" s="2"/>
      <c r="I4228" s="2"/>
      <c r="J4228" s="2"/>
      <c r="K4228" s="2"/>
    </row>
    <row r="4229" spans="4:11" x14ac:dyDescent="0.2">
      <c r="D4229" s="2"/>
      <c r="E4229" s="2"/>
      <c r="F4229" s="2"/>
      <c r="G4229" s="2"/>
      <c r="H4229" s="2"/>
      <c r="I4229" s="2"/>
      <c r="J4229" s="2"/>
      <c r="K4229" s="2"/>
    </row>
    <row r="4230" spans="4:11" x14ac:dyDescent="0.2">
      <c r="D4230" s="2"/>
      <c r="E4230" s="2"/>
      <c r="F4230" s="2"/>
      <c r="G4230" s="2"/>
      <c r="H4230" s="2"/>
      <c r="I4230" s="2"/>
      <c r="J4230" s="2"/>
      <c r="K4230" s="2"/>
    </row>
    <row r="4231" spans="4:11" x14ac:dyDescent="0.2">
      <c r="D4231" s="2"/>
      <c r="E4231" s="2"/>
      <c r="F4231" s="2"/>
      <c r="G4231" s="2"/>
      <c r="H4231" s="2"/>
      <c r="I4231" s="2"/>
      <c r="J4231" s="2"/>
      <c r="K4231" s="2"/>
    </row>
    <row r="4232" spans="4:11" x14ac:dyDescent="0.2">
      <c r="D4232" s="2"/>
      <c r="E4232" s="2"/>
      <c r="F4232" s="2"/>
      <c r="G4232" s="2"/>
      <c r="H4232" s="2"/>
      <c r="I4232" s="2"/>
      <c r="J4232" s="2"/>
      <c r="K4232" s="2"/>
    </row>
    <row r="4233" spans="4:11" x14ac:dyDescent="0.2">
      <c r="D4233" s="2"/>
      <c r="E4233" s="2"/>
      <c r="F4233" s="2"/>
      <c r="G4233" s="2"/>
      <c r="H4233" s="2"/>
      <c r="I4233" s="2"/>
      <c r="J4233" s="2"/>
      <c r="K4233" s="2"/>
    </row>
    <row r="4234" spans="4:11" x14ac:dyDescent="0.2">
      <c r="D4234" s="2"/>
      <c r="E4234" s="2"/>
      <c r="F4234" s="2"/>
      <c r="G4234" s="2"/>
      <c r="H4234" s="2"/>
      <c r="I4234" s="2"/>
      <c r="J4234" s="2"/>
      <c r="K4234" s="2"/>
    </row>
    <row r="4235" spans="4:11" x14ac:dyDescent="0.2">
      <c r="D4235" s="2"/>
      <c r="E4235" s="2"/>
      <c r="F4235" s="2"/>
      <c r="G4235" s="2"/>
      <c r="H4235" s="2"/>
      <c r="I4235" s="2"/>
      <c r="J4235" s="2"/>
      <c r="K4235" s="2"/>
    </row>
    <row r="4236" spans="4:11" x14ac:dyDescent="0.2">
      <c r="D4236" s="2"/>
      <c r="E4236" s="2"/>
      <c r="F4236" s="2"/>
      <c r="G4236" s="2"/>
      <c r="H4236" s="2"/>
      <c r="I4236" s="2"/>
      <c r="J4236" s="2"/>
      <c r="K4236" s="2"/>
    </row>
    <row r="4237" spans="4:11" x14ac:dyDescent="0.2">
      <c r="D4237" s="2"/>
      <c r="E4237" s="2"/>
      <c r="F4237" s="2"/>
      <c r="G4237" s="2"/>
      <c r="H4237" s="2"/>
      <c r="I4237" s="2"/>
      <c r="J4237" s="2"/>
      <c r="K4237" s="2"/>
    </row>
    <row r="4238" spans="4:11" x14ac:dyDescent="0.2">
      <c r="D4238" s="2"/>
      <c r="E4238" s="2"/>
      <c r="F4238" s="2"/>
      <c r="G4238" s="2"/>
      <c r="H4238" s="2"/>
      <c r="I4238" s="2"/>
      <c r="J4238" s="2"/>
      <c r="K4238" s="2"/>
    </row>
    <row r="4239" spans="4:11" x14ac:dyDescent="0.2">
      <c r="D4239" s="2"/>
      <c r="E4239" s="2"/>
      <c r="F4239" s="2"/>
      <c r="G4239" s="2"/>
      <c r="H4239" s="2"/>
      <c r="I4239" s="2"/>
      <c r="J4239" s="2"/>
      <c r="K4239" s="2"/>
    </row>
    <row r="4240" spans="4:11" x14ac:dyDescent="0.2">
      <c r="D4240" s="2"/>
      <c r="E4240" s="2"/>
      <c r="F4240" s="2"/>
      <c r="G4240" s="2"/>
      <c r="H4240" s="2"/>
      <c r="I4240" s="2"/>
      <c r="J4240" s="2"/>
      <c r="K4240" s="2"/>
    </row>
    <row r="4241" spans="4:11" x14ac:dyDescent="0.2">
      <c r="D4241" s="2"/>
      <c r="E4241" s="2"/>
      <c r="F4241" s="2"/>
      <c r="G4241" s="2"/>
      <c r="H4241" s="2"/>
      <c r="I4241" s="2"/>
      <c r="J4241" s="2"/>
      <c r="K4241" s="2"/>
    </row>
    <row r="4242" spans="4:11" x14ac:dyDescent="0.2">
      <c r="D4242" s="2"/>
      <c r="E4242" s="2"/>
      <c r="F4242" s="2"/>
      <c r="G4242" s="2"/>
      <c r="H4242" s="2"/>
      <c r="I4242" s="2"/>
      <c r="J4242" s="2"/>
      <c r="K4242" s="2"/>
    </row>
    <row r="4243" spans="4:11" x14ac:dyDescent="0.2">
      <c r="D4243" s="2"/>
      <c r="E4243" s="2"/>
      <c r="F4243" s="2"/>
      <c r="G4243" s="2"/>
      <c r="H4243" s="2"/>
      <c r="I4243" s="2"/>
      <c r="J4243" s="2"/>
      <c r="K4243" s="2"/>
    </row>
    <row r="4244" spans="4:11" x14ac:dyDescent="0.2">
      <c r="D4244" s="2"/>
      <c r="E4244" s="2"/>
      <c r="F4244" s="2"/>
      <c r="G4244" s="2"/>
      <c r="H4244" s="2"/>
      <c r="I4244" s="2"/>
      <c r="J4244" s="2"/>
      <c r="K4244" s="2"/>
    </row>
    <row r="4245" spans="4:11" x14ac:dyDescent="0.2">
      <c r="D4245" s="2"/>
      <c r="E4245" s="2"/>
      <c r="F4245" s="2"/>
      <c r="G4245" s="2"/>
      <c r="H4245" s="2"/>
      <c r="I4245" s="2"/>
      <c r="J4245" s="2"/>
      <c r="K4245" s="2"/>
    </row>
    <row r="4246" spans="4:11" x14ac:dyDescent="0.2">
      <c r="D4246" s="2"/>
      <c r="E4246" s="2"/>
      <c r="F4246" s="2"/>
      <c r="G4246" s="2"/>
      <c r="H4246" s="2"/>
      <c r="I4246" s="2"/>
      <c r="J4246" s="2"/>
      <c r="K4246" s="2"/>
    </row>
    <row r="4247" spans="4:11" x14ac:dyDescent="0.2">
      <c r="D4247" s="2"/>
      <c r="E4247" s="2"/>
      <c r="F4247" s="2"/>
      <c r="G4247" s="2"/>
      <c r="H4247" s="2"/>
      <c r="I4247" s="2"/>
      <c r="J4247" s="2"/>
      <c r="K4247" s="2"/>
    </row>
    <row r="4248" spans="4:11" x14ac:dyDescent="0.2">
      <c r="D4248" s="2"/>
      <c r="E4248" s="2"/>
      <c r="F4248" s="2"/>
      <c r="G4248" s="2"/>
      <c r="H4248" s="2"/>
      <c r="I4248" s="2"/>
      <c r="J4248" s="2"/>
      <c r="K4248" s="2"/>
    </row>
    <row r="4249" spans="4:11" x14ac:dyDescent="0.2">
      <c r="D4249" s="2"/>
      <c r="E4249" s="2"/>
      <c r="F4249" s="2"/>
      <c r="G4249" s="2"/>
      <c r="H4249" s="2"/>
      <c r="I4249" s="2"/>
      <c r="J4249" s="2"/>
      <c r="K4249" s="2"/>
    </row>
    <row r="4250" spans="4:11" x14ac:dyDescent="0.2">
      <c r="D4250" s="2"/>
      <c r="E4250" s="2"/>
      <c r="F4250" s="2"/>
      <c r="G4250" s="2"/>
      <c r="H4250" s="2"/>
      <c r="I4250" s="2"/>
      <c r="J4250" s="2"/>
      <c r="K4250" s="2"/>
    </row>
    <row r="4251" spans="4:11" x14ac:dyDescent="0.2">
      <c r="D4251" s="2"/>
      <c r="E4251" s="2"/>
      <c r="F4251" s="2"/>
      <c r="G4251" s="2"/>
      <c r="H4251" s="2"/>
      <c r="I4251" s="2"/>
      <c r="J4251" s="2"/>
      <c r="K4251" s="2"/>
    </row>
    <row r="4252" spans="4:11" x14ac:dyDescent="0.2">
      <c r="D4252" s="2"/>
      <c r="E4252" s="2"/>
      <c r="F4252" s="2"/>
      <c r="G4252" s="2"/>
      <c r="H4252" s="2"/>
      <c r="I4252" s="2"/>
      <c r="J4252" s="2"/>
      <c r="K4252" s="2"/>
    </row>
    <row r="4253" spans="4:11" x14ac:dyDescent="0.2">
      <c r="D4253" s="2"/>
      <c r="E4253" s="2"/>
      <c r="F4253" s="2"/>
      <c r="G4253" s="2"/>
      <c r="H4253" s="2"/>
      <c r="I4253" s="2"/>
      <c r="J4253" s="2"/>
      <c r="K4253" s="2"/>
    </row>
    <row r="4254" spans="4:11" x14ac:dyDescent="0.2">
      <c r="D4254" s="2"/>
      <c r="E4254" s="2"/>
      <c r="F4254" s="2"/>
      <c r="G4254" s="2"/>
      <c r="H4254" s="2"/>
      <c r="I4254" s="2"/>
      <c r="J4254" s="2"/>
      <c r="K4254" s="2"/>
    </row>
    <row r="4255" spans="4:11" x14ac:dyDescent="0.2">
      <c r="D4255" s="2"/>
      <c r="E4255" s="2"/>
      <c r="F4255" s="2"/>
      <c r="G4255" s="2"/>
      <c r="H4255" s="2"/>
      <c r="I4255" s="2"/>
      <c r="J4255" s="2"/>
      <c r="K4255" s="2"/>
    </row>
    <row r="4256" spans="4:11" x14ac:dyDescent="0.2">
      <c r="D4256" s="2"/>
      <c r="E4256" s="2"/>
      <c r="F4256" s="2"/>
      <c r="G4256" s="2"/>
      <c r="H4256" s="2"/>
      <c r="I4256" s="2"/>
      <c r="J4256" s="2"/>
      <c r="K4256" s="2"/>
    </row>
    <row r="4257" spans="4:11" x14ac:dyDescent="0.2">
      <c r="D4257" s="2"/>
      <c r="E4257" s="2"/>
      <c r="F4257" s="2"/>
      <c r="G4257" s="2"/>
      <c r="H4257" s="2"/>
      <c r="I4257" s="2"/>
      <c r="J4257" s="2"/>
      <c r="K4257" s="2"/>
    </row>
    <row r="4258" spans="4:11" x14ac:dyDescent="0.2">
      <c r="D4258" s="2"/>
      <c r="E4258" s="2"/>
      <c r="F4258" s="2"/>
      <c r="G4258" s="2"/>
      <c r="H4258" s="2"/>
      <c r="I4258" s="2"/>
      <c r="J4258" s="2"/>
      <c r="K4258" s="2"/>
    </row>
    <row r="4259" spans="4:11" x14ac:dyDescent="0.2">
      <c r="D4259" s="2"/>
      <c r="E4259" s="2"/>
      <c r="F4259" s="2"/>
      <c r="G4259" s="2"/>
      <c r="H4259" s="2"/>
      <c r="I4259" s="2"/>
      <c r="J4259" s="2"/>
      <c r="K4259" s="2"/>
    </row>
    <row r="4260" spans="4:11" x14ac:dyDescent="0.2">
      <c r="D4260" s="2"/>
      <c r="E4260" s="2"/>
      <c r="F4260" s="2"/>
      <c r="G4260" s="2"/>
      <c r="H4260" s="2"/>
      <c r="I4260" s="2"/>
      <c r="J4260" s="2"/>
      <c r="K4260" s="2"/>
    </row>
    <row r="4261" spans="4:11" x14ac:dyDescent="0.2">
      <c r="D4261" s="2"/>
      <c r="E4261" s="2"/>
      <c r="F4261" s="2"/>
      <c r="G4261" s="2"/>
      <c r="H4261" s="2"/>
      <c r="I4261" s="2"/>
      <c r="J4261" s="2"/>
      <c r="K4261" s="2"/>
    </row>
    <row r="4262" spans="4:11" x14ac:dyDescent="0.2">
      <c r="D4262" s="2"/>
      <c r="E4262" s="2"/>
      <c r="F4262" s="2"/>
      <c r="G4262" s="2"/>
      <c r="H4262" s="2"/>
      <c r="I4262" s="2"/>
      <c r="J4262" s="2"/>
      <c r="K4262" s="2"/>
    </row>
    <row r="4263" spans="4:11" x14ac:dyDescent="0.2">
      <c r="D4263" s="2"/>
      <c r="E4263" s="2"/>
      <c r="F4263" s="2"/>
      <c r="G4263" s="2"/>
      <c r="H4263" s="2"/>
      <c r="I4263" s="2"/>
      <c r="J4263" s="2"/>
      <c r="K4263" s="2"/>
    </row>
    <row r="4264" spans="4:11" x14ac:dyDescent="0.2">
      <c r="D4264" s="2"/>
      <c r="E4264" s="2"/>
      <c r="F4264" s="2"/>
      <c r="G4264" s="2"/>
      <c r="H4264" s="2"/>
      <c r="I4264" s="2"/>
      <c r="J4264" s="2"/>
      <c r="K4264" s="2"/>
    </row>
    <row r="4265" spans="4:11" x14ac:dyDescent="0.2">
      <c r="D4265" s="2"/>
      <c r="E4265" s="2"/>
      <c r="F4265" s="2"/>
      <c r="G4265" s="2"/>
      <c r="H4265" s="2"/>
      <c r="I4265" s="2"/>
      <c r="J4265" s="2"/>
      <c r="K4265" s="2"/>
    </row>
    <row r="4266" spans="4:11" x14ac:dyDescent="0.2">
      <c r="D4266" s="2"/>
      <c r="E4266" s="2"/>
      <c r="F4266" s="2"/>
      <c r="G4266" s="2"/>
      <c r="H4266" s="2"/>
      <c r="I4266" s="2"/>
      <c r="J4266" s="2"/>
      <c r="K4266" s="2"/>
    </row>
    <row r="4267" spans="4:11" x14ac:dyDescent="0.2">
      <c r="D4267" s="2"/>
      <c r="E4267" s="2"/>
      <c r="F4267" s="2"/>
      <c r="G4267" s="2"/>
      <c r="H4267" s="2"/>
      <c r="I4267" s="2"/>
      <c r="J4267" s="2"/>
      <c r="K4267" s="2"/>
    </row>
    <row r="4268" spans="4:11" x14ac:dyDescent="0.2">
      <c r="D4268" s="2"/>
      <c r="E4268" s="2"/>
      <c r="F4268" s="2"/>
      <c r="G4268" s="2"/>
      <c r="H4268" s="2"/>
      <c r="I4268" s="2"/>
      <c r="J4268" s="2"/>
      <c r="K4268" s="2"/>
    </row>
    <row r="4269" spans="4:11" x14ac:dyDescent="0.2">
      <c r="D4269" s="2"/>
      <c r="E4269" s="2"/>
      <c r="F4269" s="2"/>
      <c r="G4269" s="2"/>
      <c r="H4269" s="2"/>
      <c r="I4269" s="2"/>
      <c r="J4269" s="2"/>
      <c r="K4269" s="2"/>
    </row>
    <row r="4270" spans="4:11" x14ac:dyDescent="0.2">
      <c r="D4270" s="2"/>
      <c r="E4270" s="2"/>
      <c r="F4270" s="2"/>
      <c r="G4270" s="2"/>
      <c r="H4270" s="2"/>
      <c r="I4270" s="2"/>
      <c r="J4270" s="2"/>
      <c r="K4270" s="2"/>
    </row>
    <row r="4271" spans="4:11" x14ac:dyDescent="0.2">
      <c r="D4271" s="2"/>
      <c r="E4271" s="2"/>
      <c r="F4271" s="2"/>
      <c r="G4271" s="2"/>
      <c r="H4271" s="2"/>
      <c r="I4271" s="2"/>
      <c r="J4271" s="2"/>
      <c r="K4271" s="2"/>
    </row>
    <row r="4272" spans="4:11" x14ac:dyDescent="0.2">
      <c r="D4272" s="2"/>
      <c r="E4272" s="2"/>
      <c r="F4272" s="2"/>
      <c r="G4272" s="2"/>
      <c r="H4272" s="2"/>
      <c r="I4272" s="2"/>
      <c r="J4272" s="2"/>
      <c r="K4272" s="2"/>
    </row>
    <row r="4273" spans="4:11" x14ac:dyDescent="0.2">
      <c r="D4273" s="2"/>
      <c r="E4273" s="2"/>
      <c r="F4273" s="2"/>
      <c r="G4273" s="2"/>
      <c r="H4273" s="2"/>
      <c r="I4273" s="2"/>
      <c r="J4273" s="2"/>
      <c r="K4273" s="2"/>
    </row>
    <row r="4274" spans="4:11" x14ac:dyDescent="0.2">
      <c r="D4274" s="2"/>
      <c r="E4274" s="2"/>
      <c r="F4274" s="2"/>
      <c r="G4274" s="2"/>
      <c r="H4274" s="2"/>
      <c r="I4274" s="2"/>
      <c r="J4274" s="2"/>
      <c r="K4274" s="2"/>
    </row>
    <row r="4275" spans="4:11" x14ac:dyDescent="0.2">
      <c r="D4275" s="2"/>
      <c r="E4275" s="2"/>
      <c r="F4275" s="2"/>
      <c r="G4275" s="2"/>
      <c r="H4275" s="2"/>
      <c r="I4275" s="2"/>
      <c r="J4275" s="2"/>
      <c r="K4275" s="2"/>
    </row>
    <row r="4276" spans="4:11" x14ac:dyDescent="0.2">
      <c r="D4276" s="2"/>
      <c r="E4276" s="2"/>
      <c r="F4276" s="2"/>
      <c r="G4276" s="2"/>
      <c r="H4276" s="2"/>
      <c r="I4276" s="2"/>
      <c r="J4276" s="2"/>
      <c r="K4276" s="2"/>
    </row>
    <row r="4277" spans="4:11" x14ac:dyDescent="0.2">
      <c r="D4277" s="2"/>
      <c r="E4277" s="2"/>
      <c r="F4277" s="2"/>
      <c r="G4277" s="2"/>
      <c r="H4277" s="2"/>
      <c r="I4277" s="2"/>
      <c r="J4277" s="2"/>
      <c r="K4277" s="2"/>
    </row>
    <row r="4278" spans="4:11" x14ac:dyDescent="0.2">
      <c r="D4278" s="2"/>
      <c r="E4278" s="2"/>
      <c r="F4278" s="2"/>
      <c r="G4278" s="2"/>
      <c r="H4278" s="2"/>
      <c r="I4278" s="2"/>
      <c r="J4278" s="2"/>
      <c r="K4278" s="2"/>
    </row>
    <row r="4279" spans="4:11" x14ac:dyDescent="0.2">
      <c r="D4279" s="2"/>
      <c r="E4279" s="2"/>
      <c r="F4279" s="2"/>
      <c r="G4279" s="2"/>
      <c r="H4279" s="2"/>
      <c r="I4279" s="2"/>
      <c r="J4279" s="2"/>
      <c r="K4279" s="2"/>
    </row>
    <row r="4280" spans="4:11" x14ac:dyDescent="0.2">
      <c r="D4280" s="2"/>
      <c r="E4280" s="2"/>
      <c r="F4280" s="2"/>
      <c r="G4280" s="2"/>
      <c r="H4280" s="2"/>
      <c r="I4280" s="2"/>
      <c r="J4280" s="2"/>
      <c r="K4280" s="2"/>
    </row>
    <row r="4281" spans="4:11" x14ac:dyDescent="0.2">
      <c r="D4281" s="2"/>
      <c r="E4281" s="2"/>
      <c r="F4281" s="2"/>
      <c r="G4281" s="2"/>
      <c r="H4281" s="2"/>
      <c r="I4281" s="2"/>
      <c r="J4281" s="2"/>
      <c r="K4281" s="2"/>
    </row>
    <row r="4282" spans="4:11" x14ac:dyDescent="0.2">
      <c r="D4282" s="2"/>
      <c r="E4282" s="2"/>
      <c r="F4282" s="2"/>
      <c r="G4282" s="2"/>
      <c r="H4282" s="2"/>
      <c r="I4282" s="2"/>
      <c r="J4282" s="2"/>
      <c r="K4282" s="2"/>
    </row>
    <row r="4283" spans="4:11" x14ac:dyDescent="0.2">
      <c r="D4283" s="2"/>
      <c r="E4283" s="2"/>
      <c r="F4283" s="2"/>
      <c r="G4283" s="2"/>
      <c r="H4283" s="2"/>
      <c r="I4283" s="2"/>
      <c r="J4283" s="2"/>
      <c r="K4283" s="2"/>
    </row>
    <row r="4284" spans="4:11" x14ac:dyDescent="0.2">
      <c r="D4284" s="2"/>
      <c r="E4284" s="2"/>
      <c r="F4284" s="2"/>
      <c r="G4284" s="2"/>
      <c r="H4284" s="2"/>
      <c r="I4284" s="2"/>
      <c r="J4284" s="2"/>
      <c r="K4284" s="2"/>
    </row>
    <row r="4285" spans="4:11" x14ac:dyDescent="0.2">
      <c r="D4285" s="2"/>
      <c r="E4285" s="2"/>
      <c r="F4285" s="2"/>
      <c r="G4285" s="2"/>
      <c r="H4285" s="2"/>
      <c r="I4285" s="2"/>
      <c r="J4285" s="2"/>
      <c r="K4285" s="2"/>
    </row>
    <row r="4286" spans="4:11" x14ac:dyDescent="0.2">
      <c r="D4286" s="2"/>
      <c r="E4286" s="2"/>
      <c r="F4286" s="2"/>
      <c r="G4286" s="2"/>
      <c r="H4286" s="2"/>
      <c r="I4286" s="2"/>
      <c r="J4286" s="2"/>
      <c r="K4286" s="2"/>
    </row>
    <row r="4287" spans="4:11" x14ac:dyDescent="0.2">
      <c r="D4287" s="2"/>
      <c r="E4287" s="2"/>
      <c r="F4287" s="2"/>
      <c r="G4287" s="2"/>
      <c r="H4287" s="2"/>
      <c r="I4287" s="2"/>
      <c r="J4287" s="2"/>
      <c r="K4287" s="2"/>
    </row>
    <row r="4288" spans="4:11" x14ac:dyDescent="0.2">
      <c r="D4288" s="2"/>
      <c r="E4288" s="2"/>
      <c r="F4288" s="2"/>
      <c r="G4288" s="2"/>
      <c r="H4288" s="2"/>
      <c r="I4288" s="2"/>
      <c r="J4288" s="2"/>
      <c r="K4288" s="2"/>
    </row>
    <row r="4289" spans="4:11" x14ac:dyDescent="0.2">
      <c r="D4289" s="2"/>
      <c r="E4289" s="2"/>
      <c r="F4289" s="2"/>
      <c r="G4289" s="2"/>
      <c r="H4289" s="2"/>
      <c r="I4289" s="2"/>
      <c r="J4289" s="2"/>
      <c r="K4289" s="2"/>
    </row>
    <row r="4290" spans="4:11" x14ac:dyDescent="0.2">
      <c r="D4290" s="2"/>
      <c r="E4290" s="2"/>
      <c r="F4290" s="2"/>
      <c r="G4290" s="2"/>
      <c r="H4290" s="2"/>
      <c r="I4290" s="2"/>
      <c r="J4290" s="2"/>
      <c r="K4290" s="2"/>
    </row>
    <row r="4291" spans="4:11" x14ac:dyDescent="0.2">
      <c r="D4291" s="2"/>
      <c r="E4291" s="2"/>
      <c r="F4291" s="2"/>
      <c r="G4291" s="2"/>
      <c r="H4291" s="2"/>
      <c r="I4291" s="2"/>
      <c r="J4291" s="2"/>
      <c r="K4291" s="2"/>
    </row>
    <row r="4292" spans="4:11" x14ac:dyDescent="0.2">
      <c r="D4292" s="2"/>
      <c r="E4292" s="2"/>
      <c r="F4292" s="2"/>
      <c r="G4292" s="2"/>
      <c r="H4292" s="2"/>
      <c r="I4292" s="2"/>
      <c r="J4292" s="2"/>
      <c r="K4292" s="2"/>
    </row>
    <row r="4293" spans="4:11" x14ac:dyDescent="0.2">
      <c r="D4293" s="2"/>
      <c r="E4293" s="2"/>
      <c r="F4293" s="2"/>
      <c r="G4293" s="2"/>
      <c r="H4293" s="2"/>
      <c r="I4293" s="2"/>
      <c r="J4293" s="2"/>
      <c r="K4293" s="2"/>
    </row>
    <row r="4294" spans="4:11" x14ac:dyDescent="0.2">
      <c r="D4294" s="2"/>
      <c r="E4294" s="2"/>
      <c r="F4294" s="2"/>
      <c r="G4294" s="2"/>
      <c r="H4294" s="2"/>
      <c r="I4294" s="2"/>
      <c r="J4294" s="2"/>
      <c r="K4294" s="2"/>
    </row>
    <row r="4295" spans="4:11" x14ac:dyDescent="0.2">
      <c r="D4295" s="2"/>
      <c r="E4295" s="2"/>
      <c r="F4295" s="2"/>
      <c r="G4295" s="2"/>
      <c r="H4295" s="2"/>
      <c r="I4295" s="2"/>
      <c r="J4295" s="2"/>
      <c r="K4295" s="2"/>
    </row>
    <row r="4296" spans="4:11" x14ac:dyDescent="0.2">
      <c r="D4296" s="2"/>
      <c r="E4296" s="2"/>
      <c r="F4296" s="2"/>
      <c r="G4296" s="2"/>
      <c r="H4296" s="2"/>
      <c r="I4296" s="2"/>
      <c r="J4296" s="2"/>
      <c r="K4296" s="2"/>
    </row>
    <row r="4297" spans="4:11" x14ac:dyDescent="0.2">
      <c r="D4297" s="2"/>
      <c r="E4297" s="2"/>
      <c r="F4297" s="2"/>
      <c r="G4297" s="2"/>
      <c r="H4297" s="2"/>
      <c r="I4297" s="2"/>
      <c r="J4297" s="2"/>
      <c r="K4297" s="2"/>
    </row>
    <row r="4298" spans="4:11" x14ac:dyDescent="0.2">
      <c r="D4298" s="2"/>
      <c r="E4298" s="2"/>
      <c r="F4298" s="2"/>
      <c r="G4298" s="2"/>
      <c r="H4298" s="2"/>
      <c r="I4298" s="2"/>
      <c r="J4298" s="2"/>
      <c r="K4298" s="2"/>
    </row>
    <row r="4299" spans="4:11" x14ac:dyDescent="0.2">
      <c r="D4299" s="2"/>
      <c r="E4299" s="2"/>
      <c r="F4299" s="2"/>
      <c r="G4299" s="2"/>
      <c r="H4299" s="2"/>
      <c r="I4299" s="2"/>
      <c r="J4299" s="2"/>
      <c r="K4299" s="2"/>
    </row>
    <row r="4300" spans="4:11" x14ac:dyDescent="0.2">
      <c r="D4300" s="2"/>
      <c r="E4300" s="2"/>
      <c r="F4300" s="2"/>
      <c r="G4300" s="2"/>
      <c r="H4300" s="2"/>
      <c r="I4300" s="2"/>
      <c r="J4300" s="2"/>
      <c r="K4300" s="2"/>
    </row>
    <row r="4301" spans="4:11" x14ac:dyDescent="0.2">
      <c r="D4301" s="2"/>
      <c r="E4301" s="2"/>
      <c r="F4301" s="2"/>
      <c r="G4301" s="2"/>
      <c r="H4301" s="2"/>
      <c r="I4301" s="2"/>
      <c r="J4301" s="2"/>
      <c r="K4301" s="2"/>
    </row>
    <row r="4302" spans="4:11" x14ac:dyDescent="0.2">
      <c r="D4302" s="2"/>
      <c r="E4302" s="2"/>
      <c r="F4302" s="2"/>
      <c r="G4302" s="2"/>
      <c r="H4302" s="2"/>
      <c r="I4302" s="2"/>
      <c r="J4302" s="2"/>
      <c r="K4302" s="2"/>
    </row>
    <row r="4303" spans="4:11" x14ac:dyDescent="0.2">
      <c r="D4303" s="2"/>
      <c r="E4303" s="2"/>
      <c r="F4303" s="2"/>
      <c r="G4303" s="2"/>
      <c r="H4303" s="2"/>
      <c r="I4303" s="2"/>
      <c r="J4303" s="2"/>
      <c r="K4303" s="2"/>
    </row>
    <row r="4304" spans="4:11" x14ac:dyDescent="0.2">
      <c r="D4304" s="2"/>
      <c r="E4304" s="2"/>
      <c r="F4304" s="2"/>
      <c r="G4304" s="2"/>
      <c r="H4304" s="2"/>
      <c r="I4304" s="2"/>
      <c r="J4304" s="2"/>
      <c r="K4304" s="2"/>
    </row>
    <row r="4305" spans="4:11" x14ac:dyDescent="0.2">
      <c r="D4305" s="2"/>
      <c r="E4305" s="2"/>
      <c r="F4305" s="2"/>
      <c r="G4305" s="2"/>
      <c r="H4305" s="2"/>
      <c r="I4305" s="2"/>
      <c r="J4305" s="2"/>
      <c r="K4305" s="2"/>
    </row>
    <row r="4306" spans="4:11" x14ac:dyDescent="0.2">
      <c r="D4306" s="2"/>
      <c r="E4306" s="2"/>
      <c r="F4306" s="2"/>
      <c r="G4306" s="2"/>
      <c r="H4306" s="2"/>
      <c r="I4306" s="2"/>
      <c r="J4306" s="2"/>
      <c r="K4306" s="2"/>
    </row>
    <row r="4307" spans="4:11" x14ac:dyDescent="0.2">
      <c r="D4307" s="2"/>
      <c r="E4307" s="2"/>
      <c r="F4307" s="2"/>
      <c r="G4307" s="2"/>
      <c r="H4307" s="2"/>
      <c r="I4307" s="2"/>
      <c r="J4307" s="2"/>
      <c r="K4307" s="2"/>
    </row>
    <row r="4308" spans="4:11" x14ac:dyDescent="0.2">
      <c r="D4308" s="2"/>
      <c r="E4308" s="2"/>
      <c r="F4308" s="2"/>
      <c r="G4308" s="2"/>
      <c r="H4308" s="2"/>
      <c r="I4308" s="2"/>
      <c r="J4308" s="2"/>
      <c r="K4308" s="2"/>
    </row>
    <row r="4309" spans="4:11" x14ac:dyDescent="0.2">
      <c r="D4309" s="2"/>
      <c r="E4309" s="2"/>
      <c r="F4309" s="2"/>
      <c r="G4309" s="2"/>
      <c r="H4309" s="2"/>
      <c r="I4309" s="2"/>
      <c r="J4309" s="2"/>
      <c r="K4309" s="2"/>
    </row>
    <row r="4310" spans="4:11" x14ac:dyDescent="0.2">
      <c r="D4310" s="2"/>
      <c r="E4310" s="2"/>
      <c r="F4310" s="2"/>
      <c r="G4310" s="2"/>
      <c r="H4310" s="2"/>
      <c r="I4310" s="2"/>
      <c r="J4310" s="2"/>
      <c r="K4310" s="2"/>
    </row>
    <row r="4311" spans="4:11" x14ac:dyDescent="0.2">
      <c r="D4311" s="2"/>
      <c r="E4311" s="2"/>
      <c r="F4311" s="2"/>
      <c r="G4311" s="2"/>
      <c r="H4311" s="2"/>
      <c r="I4311" s="2"/>
      <c r="J4311" s="2"/>
      <c r="K4311" s="2"/>
    </row>
    <row r="4312" spans="4:11" x14ac:dyDescent="0.2">
      <c r="D4312" s="2"/>
      <c r="E4312" s="2"/>
      <c r="F4312" s="2"/>
      <c r="G4312" s="2"/>
      <c r="H4312" s="2"/>
      <c r="I4312" s="2"/>
      <c r="J4312" s="2"/>
      <c r="K4312" s="2"/>
    </row>
    <row r="4313" spans="4:11" x14ac:dyDescent="0.2">
      <c r="D4313" s="2"/>
      <c r="E4313" s="2"/>
      <c r="F4313" s="2"/>
      <c r="G4313" s="2"/>
      <c r="H4313" s="2"/>
      <c r="I4313" s="2"/>
      <c r="J4313" s="2"/>
      <c r="K4313" s="2"/>
    </row>
    <row r="4314" spans="4:11" x14ac:dyDescent="0.2">
      <c r="D4314" s="2"/>
      <c r="E4314" s="2"/>
      <c r="F4314" s="2"/>
      <c r="G4314" s="2"/>
      <c r="H4314" s="2"/>
      <c r="I4314" s="2"/>
      <c r="J4314" s="2"/>
      <c r="K4314" s="2"/>
    </row>
    <row r="4315" spans="4:11" x14ac:dyDescent="0.2">
      <c r="D4315" s="2"/>
      <c r="E4315" s="2"/>
      <c r="F4315" s="2"/>
      <c r="G4315" s="2"/>
      <c r="H4315" s="2"/>
      <c r="I4315" s="2"/>
      <c r="J4315" s="2"/>
      <c r="K4315" s="2"/>
    </row>
    <row r="4316" spans="4:11" x14ac:dyDescent="0.2">
      <c r="D4316" s="2"/>
      <c r="E4316" s="2"/>
      <c r="F4316" s="2"/>
      <c r="G4316" s="2"/>
      <c r="H4316" s="2"/>
      <c r="I4316" s="2"/>
      <c r="J4316" s="2"/>
      <c r="K4316" s="2"/>
    </row>
    <row r="4317" spans="4:11" x14ac:dyDescent="0.2">
      <c r="D4317" s="2"/>
      <c r="E4317" s="2"/>
      <c r="F4317" s="2"/>
      <c r="G4317" s="2"/>
      <c r="H4317" s="2"/>
      <c r="I4317" s="2"/>
      <c r="J4317" s="2"/>
      <c r="K4317" s="2"/>
    </row>
    <row r="4318" spans="4:11" x14ac:dyDescent="0.2">
      <c r="D4318" s="2"/>
      <c r="E4318" s="2"/>
      <c r="F4318" s="2"/>
      <c r="G4318" s="2"/>
      <c r="H4318" s="2"/>
      <c r="I4318" s="2"/>
      <c r="J4318" s="2"/>
      <c r="K4318" s="2"/>
    </row>
    <row r="4319" spans="4:11" x14ac:dyDescent="0.2">
      <c r="D4319" s="2"/>
      <c r="E4319" s="2"/>
      <c r="F4319" s="2"/>
      <c r="G4319" s="2"/>
      <c r="H4319" s="2"/>
      <c r="I4319" s="2"/>
      <c r="J4319" s="2"/>
      <c r="K4319" s="2"/>
    </row>
    <row r="4320" spans="4:11" x14ac:dyDescent="0.2">
      <c r="D4320" s="2"/>
      <c r="E4320" s="2"/>
      <c r="F4320" s="2"/>
      <c r="G4320" s="2"/>
      <c r="H4320" s="2"/>
      <c r="I4320" s="2"/>
      <c r="J4320" s="2"/>
      <c r="K4320" s="2"/>
    </row>
    <row r="4321" spans="4:11" x14ac:dyDescent="0.2">
      <c r="D4321" s="2"/>
      <c r="E4321" s="2"/>
      <c r="F4321" s="2"/>
      <c r="G4321" s="2"/>
      <c r="H4321" s="2"/>
      <c r="I4321" s="2"/>
      <c r="J4321" s="2"/>
      <c r="K4321" s="2"/>
    </row>
    <row r="4322" spans="4:11" x14ac:dyDescent="0.2">
      <c r="D4322" s="2"/>
      <c r="E4322" s="2"/>
      <c r="F4322" s="2"/>
      <c r="G4322" s="2"/>
      <c r="H4322" s="2"/>
      <c r="I4322" s="2"/>
      <c r="J4322" s="2"/>
      <c r="K4322" s="2"/>
    </row>
    <row r="4323" spans="4:11" x14ac:dyDescent="0.2">
      <c r="D4323" s="2"/>
      <c r="E4323" s="2"/>
      <c r="F4323" s="2"/>
      <c r="G4323" s="2"/>
      <c r="H4323" s="2"/>
      <c r="I4323" s="2"/>
      <c r="J4323" s="2"/>
      <c r="K4323" s="2"/>
    </row>
    <row r="4324" spans="4:11" x14ac:dyDescent="0.2">
      <c r="D4324" s="2"/>
      <c r="E4324" s="2"/>
      <c r="F4324" s="2"/>
      <c r="G4324" s="2"/>
      <c r="H4324" s="2"/>
      <c r="I4324" s="2"/>
      <c r="J4324" s="2"/>
      <c r="K4324" s="2"/>
    </row>
    <row r="4325" spans="4:11" x14ac:dyDescent="0.2">
      <c r="D4325" s="2"/>
      <c r="E4325" s="2"/>
      <c r="F4325" s="2"/>
      <c r="G4325" s="2"/>
      <c r="H4325" s="2"/>
      <c r="I4325" s="2"/>
      <c r="J4325" s="2"/>
      <c r="K4325" s="2"/>
    </row>
    <row r="4326" spans="4:11" x14ac:dyDescent="0.2">
      <c r="D4326" s="2"/>
      <c r="E4326" s="2"/>
      <c r="F4326" s="2"/>
      <c r="G4326" s="2"/>
      <c r="H4326" s="2"/>
      <c r="I4326" s="2"/>
      <c r="J4326" s="2"/>
      <c r="K4326" s="2"/>
    </row>
    <row r="4327" spans="4:11" x14ac:dyDescent="0.2">
      <c r="D4327" s="2"/>
      <c r="E4327" s="2"/>
      <c r="F4327" s="2"/>
      <c r="G4327" s="2"/>
      <c r="H4327" s="2"/>
      <c r="I4327" s="2"/>
      <c r="J4327" s="2"/>
      <c r="K4327" s="2"/>
    </row>
    <row r="4328" spans="4:11" x14ac:dyDescent="0.2">
      <c r="D4328" s="2"/>
      <c r="E4328" s="2"/>
      <c r="F4328" s="2"/>
      <c r="G4328" s="2"/>
      <c r="H4328" s="2"/>
      <c r="I4328" s="2"/>
      <c r="J4328" s="2"/>
      <c r="K4328" s="2"/>
    </row>
    <row r="4329" spans="4:11" x14ac:dyDescent="0.2">
      <c r="D4329" s="2"/>
      <c r="E4329" s="2"/>
      <c r="F4329" s="2"/>
      <c r="G4329" s="2"/>
      <c r="H4329" s="2"/>
      <c r="I4329" s="2"/>
      <c r="J4329" s="2"/>
      <c r="K4329" s="2"/>
    </row>
    <row r="4330" spans="4:11" x14ac:dyDescent="0.2">
      <c r="D4330" s="2"/>
      <c r="E4330" s="2"/>
      <c r="F4330" s="2"/>
      <c r="G4330" s="2"/>
      <c r="H4330" s="2"/>
      <c r="I4330" s="2"/>
      <c r="J4330" s="2"/>
      <c r="K4330" s="2"/>
    </row>
    <row r="4331" spans="4:11" x14ac:dyDescent="0.2">
      <c r="D4331" s="2"/>
      <c r="E4331" s="2"/>
      <c r="F4331" s="2"/>
      <c r="G4331" s="2"/>
      <c r="H4331" s="2"/>
      <c r="I4331" s="2"/>
      <c r="J4331" s="2"/>
      <c r="K4331" s="2"/>
    </row>
    <row r="4332" spans="4:11" x14ac:dyDescent="0.2">
      <c r="D4332" s="2"/>
      <c r="E4332" s="2"/>
      <c r="F4332" s="2"/>
      <c r="G4332" s="2"/>
      <c r="H4332" s="2"/>
      <c r="I4332" s="2"/>
      <c r="J4332" s="2"/>
      <c r="K4332" s="2"/>
    </row>
    <row r="4333" spans="4:11" x14ac:dyDescent="0.2">
      <c r="D4333" s="2"/>
      <c r="E4333" s="2"/>
      <c r="F4333" s="2"/>
      <c r="G4333" s="2"/>
      <c r="H4333" s="2"/>
      <c r="I4333" s="2"/>
      <c r="J4333" s="2"/>
      <c r="K4333" s="2"/>
    </row>
    <row r="4334" spans="4:11" x14ac:dyDescent="0.2">
      <c r="D4334" s="2"/>
      <c r="E4334" s="2"/>
      <c r="F4334" s="2"/>
      <c r="G4334" s="2"/>
      <c r="H4334" s="2"/>
      <c r="I4334" s="2"/>
      <c r="J4334" s="2"/>
      <c r="K4334" s="2"/>
    </row>
    <row r="4335" spans="4:11" x14ac:dyDescent="0.2">
      <c r="D4335" s="2"/>
      <c r="E4335" s="2"/>
      <c r="F4335" s="2"/>
      <c r="G4335" s="2"/>
      <c r="H4335" s="2"/>
      <c r="I4335" s="2"/>
      <c r="J4335" s="2"/>
      <c r="K4335" s="2"/>
    </row>
    <row r="4336" spans="4:11" x14ac:dyDescent="0.2">
      <c r="D4336" s="2"/>
      <c r="E4336" s="2"/>
      <c r="F4336" s="2"/>
      <c r="G4336" s="2"/>
      <c r="H4336" s="2"/>
      <c r="I4336" s="2"/>
      <c r="J4336" s="2"/>
      <c r="K4336" s="2"/>
    </row>
    <row r="4337" spans="4:11" x14ac:dyDescent="0.2">
      <c r="D4337" s="2"/>
      <c r="E4337" s="2"/>
      <c r="F4337" s="2"/>
      <c r="G4337" s="2"/>
      <c r="H4337" s="2"/>
      <c r="I4337" s="2"/>
      <c r="J4337" s="2"/>
      <c r="K4337" s="2"/>
    </row>
    <row r="4338" spans="4:11" x14ac:dyDescent="0.2">
      <c r="D4338" s="2"/>
      <c r="E4338" s="2"/>
      <c r="F4338" s="2"/>
      <c r="G4338" s="2"/>
      <c r="H4338" s="2"/>
      <c r="I4338" s="2"/>
      <c r="J4338" s="2"/>
      <c r="K4338" s="2"/>
    </row>
    <row r="4339" spans="4:11" x14ac:dyDescent="0.2">
      <c r="D4339" s="2"/>
      <c r="E4339" s="2"/>
      <c r="F4339" s="2"/>
      <c r="G4339" s="2"/>
      <c r="H4339" s="2"/>
      <c r="I4339" s="2"/>
      <c r="J4339" s="2"/>
      <c r="K4339" s="2"/>
    </row>
    <row r="4340" spans="4:11" x14ac:dyDescent="0.2">
      <c r="D4340" s="2"/>
      <c r="E4340" s="2"/>
      <c r="F4340" s="2"/>
      <c r="G4340" s="2"/>
      <c r="H4340" s="2"/>
      <c r="I4340" s="2"/>
      <c r="J4340" s="2"/>
      <c r="K4340" s="2"/>
    </row>
    <row r="4341" spans="4:11" x14ac:dyDescent="0.2">
      <c r="D4341" s="2"/>
      <c r="E4341" s="2"/>
      <c r="F4341" s="2"/>
      <c r="G4341" s="2"/>
      <c r="H4341" s="2"/>
      <c r="I4341" s="2"/>
      <c r="J4341" s="2"/>
      <c r="K4341" s="2"/>
    </row>
    <row r="4342" spans="4:11" x14ac:dyDescent="0.2">
      <c r="D4342" s="2"/>
      <c r="E4342" s="2"/>
      <c r="F4342" s="2"/>
      <c r="G4342" s="2"/>
      <c r="H4342" s="2"/>
      <c r="I4342" s="2"/>
      <c r="J4342" s="2"/>
      <c r="K4342" s="2"/>
    </row>
    <row r="4343" spans="4:11" x14ac:dyDescent="0.2">
      <c r="D4343" s="2"/>
      <c r="E4343" s="2"/>
      <c r="F4343" s="2"/>
      <c r="G4343" s="2"/>
      <c r="H4343" s="2"/>
      <c r="I4343" s="2"/>
      <c r="J4343" s="2"/>
      <c r="K4343" s="2"/>
    </row>
    <row r="4344" spans="4:11" x14ac:dyDescent="0.2">
      <c r="D4344" s="2"/>
      <c r="E4344" s="2"/>
      <c r="F4344" s="2"/>
      <c r="G4344" s="2"/>
      <c r="H4344" s="2"/>
      <c r="I4344" s="2"/>
      <c r="J4344" s="2"/>
      <c r="K4344" s="2"/>
    </row>
    <row r="4345" spans="4:11" x14ac:dyDescent="0.2">
      <c r="D4345" s="2"/>
      <c r="E4345" s="2"/>
      <c r="F4345" s="2"/>
      <c r="G4345" s="2"/>
      <c r="H4345" s="2"/>
      <c r="I4345" s="2"/>
      <c r="J4345" s="2"/>
      <c r="K4345" s="2"/>
    </row>
    <row r="4346" spans="4:11" x14ac:dyDescent="0.2">
      <c r="D4346" s="2"/>
      <c r="E4346" s="2"/>
      <c r="F4346" s="2"/>
      <c r="G4346" s="2"/>
      <c r="H4346" s="2"/>
      <c r="I4346" s="2"/>
      <c r="J4346" s="2"/>
      <c r="K4346" s="2"/>
    </row>
    <row r="4347" spans="4:11" x14ac:dyDescent="0.2">
      <c r="D4347" s="2"/>
      <c r="E4347" s="2"/>
      <c r="F4347" s="2"/>
      <c r="G4347" s="2"/>
      <c r="H4347" s="2"/>
      <c r="I4347" s="2"/>
      <c r="J4347" s="2"/>
      <c r="K4347" s="2"/>
    </row>
    <row r="4348" spans="4:11" x14ac:dyDescent="0.2">
      <c r="D4348" s="2"/>
      <c r="E4348" s="2"/>
      <c r="F4348" s="2"/>
      <c r="G4348" s="2"/>
      <c r="H4348" s="2"/>
      <c r="I4348" s="2"/>
      <c r="J4348" s="2"/>
      <c r="K4348" s="2"/>
    </row>
    <row r="4349" spans="4:11" x14ac:dyDescent="0.2">
      <c r="D4349" s="2"/>
      <c r="E4349" s="2"/>
      <c r="F4349" s="2"/>
      <c r="G4349" s="2"/>
      <c r="H4349" s="2"/>
      <c r="I4349" s="2"/>
      <c r="J4349" s="2"/>
      <c r="K4349" s="2"/>
    </row>
    <row r="4350" spans="4:11" x14ac:dyDescent="0.2">
      <c r="D4350" s="2"/>
      <c r="E4350" s="2"/>
      <c r="F4350" s="2"/>
      <c r="G4350" s="2"/>
      <c r="H4350" s="2"/>
      <c r="I4350" s="2"/>
      <c r="J4350" s="2"/>
      <c r="K4350" s="2"/>
    </row>
    <row r="4351" spans="4:11" x14ac:dyDescent="0.2">
      <c r="D4351" s="2"/>
      <c r="E4351" s="2"/>
      <c r="F4351" s="2"/>
      <c r="G4351" s="2"/>
      <c r="H4351" s="2"/>
      <c r="I4351" s="2"/>
      <c r="J4351" s="2"/>
      <c r="K4351" s="2"/>
    </row>
    <row r="4352" spans="4:11" x14ac:dyDescent="0.2">
      <c r="D4352" s="2"/>
      <c r="E4352" s="2"/>
      <c r="F4352" s="2"/>
      <c r="G4352" s="2"/>
      <c r="H4352" s="2"/>
      <c r="I4352" s="2"/>
      <c r="J4352" s="2"/>
      <c r="K4352" s="2"/>
    </row>
    <row r="4353" spans="4:11" x14ac:dyDescent="0.2">
      <c r="D4353" s="2"/>
      <c r="E4353" s="2"/>
      <c r="F4353" s="2"/>
      <c r="G4353" s="2"/>
      <c r="H4353" s="2"/>
      <c r="I4353" s="2"/>
      <c r="J4353" s="2"/>
      <c r="K4353" s="2"/>
    </row>
    <row r="4354" spans="4:11" x14ac:dyDescent="0.2">
      <c r="D4354" s="2"/>
      <c r="E4354" s="2"/>
      <c r="F4354" s="2"/>
      <c r="G4354" s="2"/>
      <c r="H4354" s="2"/>
      <c r="I4354" s="2"/>
      <c r="J4354" s="2"/>
      <c r="K4354" s="2"/>
    </row>
    <row r="4355" spans="4:11" x14ac:dyDescent="0.2">
      <c r="D4355" s="2"/>
      <c r="E4355" s="2"/>
      <c r="F4355" s="2"/>
      <c r="G4355" s="2"/>
      <c r="H4355" s="2"/>
      <c r="I4355" s="2"/>
      <c r="J4355" s="2"/>
      <c r="K4355" s="2"/>
    </row>
    <row r="4356" spans="4:11" x14ac:dyDescent="0.2">
      <c r="D4356" s="2"/>
      <c r="E4356" s="2"/>
      <c r="F4356" s="2"/>
      <c r="G4356" s="2"/>
      <c r="H4356" s="2"/>
      <c r="I4356" s="2"/>
      <c r="J4356" s="2"/>
      <c r="K4356" s="2"/>
    </row>
    <row r="4357" spans="4:11" x14ac:dyDescent="0.2">
      <c r="D4357" s="2"/>
      <c r="E4357" s="2"/>
      <c r="F4357" s="2"/>
      <c r="G4357" s="2"/>
      <c r="H4357" s="2"/>
      <c r="I4357" s="2"/>
      <c r="J4357" s="2"/>
      <c r="K4357" s="2"/>
    </row>
    <row r="4358" spans="4:11" x14ac:dyDescent="0.2">
      <c r="D4358" s="2"/>
      <c r="E4358" s="2"/>
      <c r="F4358" s="2"/>
      <c r="G4358" s="2"/>
      <c r="H4358" s="2"/>
      <c r="I4358" s="2"/>
      <c r="J4358" s="2"/>
      <c r="K4358" s="2"/>
    </row>
    <row r="4359" spans="4:11" x14ac:dyDescent="0.2">
      <c r="D4359" s="2"/>
      <c r="E4359" s="2"/>
      <c r="F4359" s="2"/>
      <c r="G4359" s="2"/>
      <c r="H4359" s="2"/>
      <c r="I4359" s="2"/>
      <c r="J4359" s="2"/>
      <c r="K4359" s="2"/>
    </row>
    <row r="4360" spans="4:11" x14ac:dyDescent="0.2">
      <c r="D4360" s="2"/>
      <c r="E4360" s="2"/>
      <c r="F4360" s="2"/>
      <c r="G4360" s="2"/>
      <c r="H4360" s="2"/>
      <c r="I4360" s="2"/>
      <c r="J4360" s="2"/>
      <c r="K4360" s="2"/>
    </row>
    <row r="4361" spans="4:11" x14ac:dyDescent="0.2">
      <c r="D4361" s="2"/>
      <c r="E4361" s="2"/>
      <c r="F4361" s="2"/>
      <c r="G4361" s="2"/>
      <c r="H4361" s="2"/>
      <c r="I4361" s="2"/>
      <c r="J4361" s="2"/>
      <c r="K4361" s="2"/>
    </row>
    <row r="4362" spans="4:11" x14ac:dyDescent="0.2">
      <c r="D4362" s="2"/>
      <c r="E4362" s="2"/>
      <c r="F4362" s="2"/>
      <c r="G4362" s="2"/>
      <c r="H4362" s="2"/>
      <c r="I4362" s="2"/>
      <c r="J4362" s="2"/>
      <c r="K4362" s="2"/>
    </row>
    <row r="4363" spans="4:11" x14ac:dyDescent="0.2">
      <c r="D4363" s="2"/>
      <c r="E4363" s="2"/>
      <c r="F4363" s="2"/>
      <c r="G4363" s="2"/>
      <c r="H4363" s="2"/>
      <c r="I4363" s="2"/>
      <c r="J4363" s="2"/>
      <c r="K4363" s="2"/>
    </row>
    <row r="4364" spans="4:11" x14ac:dyDescent="0.2">
      <c r="D4364" s="2"/>
      <c r="E4364" s="2"/>
      <c r="F4364" s="2"/>
      <c r="G4364" s="2"/>
      <c r="H4364" s="2"/>
      <c r="I4364" s="2"/>
      <c r="J4364" s="2"/>
      <c r="K4364" s="2"/>
    </row>
    <row r="4365" spans="4:11" x14ac:dyDescent="0.2">
      <c r="D4365" s="2"/>
      <c r="E4365" s="2"/>
      <c r="F4365" s="2"/>
      <c r="G4365" s="2"/>
      <c r="H4365" s="2"/>
      <c r="I4365" s="2"/>
      <c r="J4365" s="2"/>
      <c r="K4365" s="2"/>
    </row>
    <row r="4366" spans="4:11" x14ac:dyDescent="0.2">
      <c r="D4366" s="2"/>
      <c r="E4366" s="2"/>
      <c r="F4366" s="2"/>
      <c r="G4366" s="2"/>
      <c r="H4366" s="2"/>
      <c r="I4366" s="2"/>
      <c r="J4366" s="2"/>
      <c r="K4366" s="2"/>
    </row>
    <row r="4367" spans="4:11" x14ac:dyDescent="0.2">
      <c r="D4367" s="2"/>
      <c r="E4367" s="2"/>
      <c r="F4367" s="2"/>
      <c r="G4367" s="2"/>
      <c r="H4367" s="2"/>
      <c r="I4367" s="2"/>
      <c r="J4367" s="2"/>
      <c r="K4367" s="2"/>
    </row>
    <row r="4368" spans="4:11" x14ac:dyDescent="0.2">
      <c r="D4368" s="2"/>
      <c r="E4368" s="2"/>
      <c r="F4368" s="2"/>
      <c r="G4368" s="2"/>
      <c r="H4368" s="2"/>
      <c r="I4368" s="2"/>
      <c r="J4368" s="2"/>
      <c r="K4368" s="2"/>
    </row>
    <row r="4369" spans="4:11" x14ac:dyDescent="0.2">
      <c r="D4369" s="2"/>
      <c r="E4369" s="2"/>
      <c r="F4369" s="2"/>
      <c r="G4369" s="2"/>
      <c r="H4369" s="2"/>
      <c r="I4369" s="2"/>
      <c r="J4369" s="2"/>
      <c r="K4369" s="2"/>
    </row>
    <row r="4370" spans="4:11" x14ac:dyDescent="0.2">
      <c r="D4370" s="2"/>
      <c r="E4370" s="2"/>
      <c r="F4370" s="2"/>
      <c r="G4370" s="2"/>
      <c r="H4370" s="2"/>
      <c r="I4370" s="2"/>
      <c r="J4370" s="2"/>
      <c r="K4370" s="2"/>
    </row>
    <row r="4371" spans="4:11" x14ac:dyDescent="0.2">
      <c r="D4371" s="2"/>
      <c r="E4371" s="2"/>
      <c r="F4371" s="2"/>
      <c r="G4371" s="2"/>
      <c r="H4371" s="2"/>
      <c r="I4371" s="2"/>
      <c r="J4371" s="2"/>
      <c r="K4371" s="2"/>
    </row>
    <row r="4372" spans="4:11" x14ac:dyDescent="0.2">
      <c r="D4372" s="2"/>
      <c r="E4372" s="2"/>
      <c r="F4372" s="2"/>
      <c r="G4372" s="2"/>
      <c r="H4372" s="2"/>
      <c r="I4372" s="2"/>
      <c r="J4372" s="2"/>
      <c r="K4372" s="2"/>
    </row>
    <row r="4373" spans="4:11" x14ac:dyDescent="0.2">
      <c r="D4373" s="2"/>
      <c r="E4373" s="2"/>
      <c r="F4373" s="2"/>
      <c r="G4373" s="2"/>
      <c r="H4373" s="2"/>
      <c r="I4373" s="2"/>
      <c r="J4373" s="2"/>
      <c r="K4373" s="2"/>
    </row>
    <row r="4374" spans="4:11" x14ac:dyDescent="0.2">
      <c r="D4374" s="2"/>
      <c r="E4374" s="2"/>
      <c r="F4374" s="2"/>
      <c r="G4374" s="2"/>
      <c r="H4374" s="2"/>
      <c r="I4374" s="2"/>
      <c r="J4374" s="2"/>
      <c r="K4374" s="2"/>
    </row>
    <row r="4375" spans="4:11" x14ac:dyDescent="0.2">
      <c r="D4375" s="2"/>
      <c r="E4375" s="2"/>
      <c r="F4375" s="2"/>
      <c r="G4375" s="2"/>
      <c r="H4375" s="2"/>
      <c r="I4375" s="2"/>
      <c r="J4375" s="2"/>
      <c r="K4375" s="2"/>
    </row>
    <row r="4376" spans="4:11" x14ac:dyDescent="0.2">
      <c r="D4376" s="2"/>
      <c r="E4376" s="2"/>
      <c r="F4376" s="2"/>
      <c r="G4376" s="2"/>
      <c r="H4376" s="2"/>
      <c r="I4376" s="2"/>
      <c r="J4376" s="2"/>
      <c r="K4376" s="2"/>
    </row>
    <row r="4377" spans="4:11" x14ac:dyDescent="0.2">
      <c r="D4377" s="2"/>
      <c r="E4377" s="2"/>
      <c r="F4377" s="2"/>
      <c r="G4377" s="2"/>
      <c r="H4377" s="2"/>
      <c r="I4377" s="2"/>
      <c r="J4377" s="2"/>
      <c r="K4377" s="2"/>
    </row>
    <row r="4378" spans="4:11" x14ac:dyDescent="0.2">
      <c r="D4378" s="2"/>
      <c r="E4378" s="2"/>
      <c r="F4378" s="2"/>
      <c r="G4378" s="2"/>
      <c r="H4378" s="2"/>
      <c r="I4378" s="2"/>
      <c r="J4378" s="2"/>
      <c r="K4378" s="2"/>
    </row>
    <row r="4379" spans="4:11" x14ac:dyDescent="0.2">
      <c r="D4379" s="2"/>
      <c r="E4379" s="2"/>
      <c r="F4379" s="2"/>
      <c r="G4379" s="2"/>
      <c r="H4379" s="2"/>
      <c r="I4379" s="2"/>
      <c r="J4379" s="2"/>
      <c r="K4379" s="2"/>
    </row>
    <row r="4380" spans="4:11" x14ac:dyDescent="0.2">
      <c r="D4380" s="2"/>
      <c r="E4380" s="2"/>
      <c r="F4380" s="2"/>
      <c r="G4380" s="2"/>
      <c r="H4380" s="2"/>
      <c r="I4380" s="2"/>
      <c r="J4380" s="2"/>
      <c r="K4380" s="2"/>
    </row>
    <row r="4381" spans="4:11" x14ac:dyDescent="0.2">
      <c r="D4381" s="2"/>
      <c r="E4381" s="2"/>
      <c r="F4381" s="2"/>
      <c r="G4381" s="2"/>
      <c r="H4381" s="2"/>
      <c r="I4381" s="2"/>
      <c r="J4381" s="2"/>
      <c r="K4381" s="2"/>
    </row>
    <row r="4382" spans="4:11" x14ac:dyDescent="0.2">
      <c r="D4382" s="2"/>
      <c r="E4382" s="2"/>
      <c r="F4382" s="2"/>
      <c r="G4382" s="2"/>
      <c r="H4382" s="2"/>
      <c r="I4382" s="2"/>
      <c r="J4382" s="2"/>
      <c r="K4382" s="2"/>
    </row>
    <row r="4383" spans="4:11" x14ac:dyDescent="0.2">
      <c r="D4383" s="2"/>
      <c r="E4383" s="2"/>
      <c r="F4383" s="2"/>
      <c r="G4383" s="2"/>
      <c r="H4383" s="2"/>
      <c r="I4383" s="2"/>
      <c r="J4383" s="2"/>
      <c r="K4383" s="2"/>
    </row>
    <row r="4384" spans="4:11" x14ac:dyDescent="0.2">
      <c r="D4384" s="2"/>
      <c r="E4384" s="2"/>
      <c r="F4384" s="2"/>
      <c r="G4384" s="2"/>
      <c r="H4384" s="2"/>
      <c r="I4384" s="2"/>
      <c r="J4384" s="2"/>
      <c r="K4384" s="2"/>
    </row>
    <row r="4385" spans="4:11" x14ac:dyDescent="0.2">
      <c r="D4385" s="2"/>
      <c r="E4385" s="2"/>
      <c r="F4385" s="2"/>
      <c r="G4385" s="2"/>
      <c r="H4385" s="2"/>
      <c r="I4385" s="2"/>
      <c r="J4385" s="2"/>
      <c r="K4385" s="2"/>
    </row>
    <row r="4386" spans="4:11" x14ac:dyDescent="0.2">
      <c r="D4386" s="2"/>
      <c r="E4386" s="2"/>
      <c r="F4386" s="2"/>
      <c r="G4386" s="2"/>
      <c r="H4386" s="2"/>
      <c r="I4386" s="2"/>
      <c r="J4386" s="2"/>
      <c r="K4386" s="2"/>
    </row>
    <row r="4387" spans="4:11" x14ac:dyDescent="0.2">
      <c r="D4387" s="2"/>
      <c r="E4387" s="2"/>
      <c r="F4387" s="2"/>
      <c r="G4387" s="2"/>
      <c r="H4387" s="2"/>
      <c r="I4387" s="2"/>
      <c r="J4387" s="2"/>
      <c r="K4387" s="2"/>
    </row>
    <row r="4388" spans="4:11" x14ac:dyDescent="0.2">
      <c r="D4388" s="2"/>
      <c r="E4388" s="2"/>
      <c r="F4388" s="2"/>
      <c r="G4388" s="2"/>
      <c r="H4388" s="2"/>
      <c r="I4388" s="2"/>
      <c r="J4388" s="2"/>
      <c r="K4388" s="2"/>
    </row>
    <row r="4389" spans="4:11" x14ac:dyDescent="0.2">
      <c r="D4389" s="2"/>
      <c r="E4389" s="2"/>
      <c r="F4389" s="2"/>
      <c r="G4389" s="2"/>
      <c r="H4389" s="2"/>
      <c r="I4389" s="2"/>
      <c r="J4389" s="2"/>
      <c r="K4389" s="2"/>
    </row>
    <row r="4390" spans="4:11" x14ac:dyDescent="0.2">
      <c r="D4390" s="2"/>
      <c r="E4390" s="2"/>
      <c r="F4390" s="2"/>
      <c r="G4390" s="2"/>
      <c r="H4390" s="2"/>
      <c r="I4390" s="2"/>
      <c r="J4390" s="2"/>
      <c r="K4390" s="2"/>
    </row>
    <row r="4391" spans="4:11" x14ac:dyDescent="0.2">
      <c r="D4391" s="2"/>
      <c r="E4391" s="2"/>
      <c r="F4391" s="2"/>
      <c r="G4391" s="2"/>
      <c r="H4391" s="2"/>
      <c r="I4391" s="2"/>
      <c r="J4391" s="2"/>
      <c r="K4391" s="2"/>
    </row>
    <row r="4392" spans="4:11" x14ac:dyDescent="0.2">
      <c r="D4392" s="2"/>
      <c r="E4392" s="2"/>
      <c r="F4392" s="2"/>
      <c r="G4392" s="2"/>
      <c r="H4392" s="2"/>
      <c r="I4392" s="2"/>
      <c r="J4392" s="2"/>
      <c r="K4392" s="2"/>
    </row>
    <row r="4393" spans="4:11" x14ac:dyDescent="0.2">
      <c r="D4393" s="2"/>
      <c r="E4393" s="2"/>
      <c r="F4393" s="2"/>
      <c r="G4393" s="2"/>
      <c r="H4393" s="2"/>
      <c r="I4393" s="2"/>
      <c r="J4393" s="2"/>
      <c r="K4393" s="2"/>
    </row>
    <row r="4394" spans="4:11" x14ac:dyDescent="0.2">
      <c r="D4394" s="2"/>
      <c r="E4394" s="2"/>
      <c r="F4394" s="2"/>
      <c r="G4394" s="2"/>
      <c r="H4394" s="2"/>
      <c r="I4394" s="2"/>
      <c r="J4394" s="2"/>
      <c r="K4394" s="2"/>
    </row>
    <row r="4395" spans="4:11" x14ac:dyDescent="0.2">
      <c r="D4395" s="2"/>
      <c r="E4395" s="2"/>
      <c r="F4395" s="2"/>
      <c r="G4395" s="2"/>
      <c r="H4395" s="2"/>
      <c r="I4395" s="2"/>
      <c r="J4395" s="2"/>
      <c r="K4395" s="2"/>
    </row>
    <row r="4396" spans="4:11" x14ac:dyDescent="0.2">
      <c r="D4396" s="2"/>
      <c r="E4396" s="2"/>
      <c r="F4396" s="2"/>
      <c r="G4396" s="2"/>
      <c r="H4396" s="2"/>
      <c r="I4396" s="2"/>
      <c r="J4396" s="2"/>
      <c r="K4396" s="2"/>
    </row>
    <row r="4397" spans="4:11" x14ac:dyDescent="0.2">
      <c r="D4397" s="2"/>
      <c r="E4397" s="2"/>
      <c r="F4397" s="2"/>
      <c r="G4397" s="2"/>
      <c r="H4397" s="2"/>
      <c r="I4397" s="2"/>
      <c r="J4397" s="2"/>
      <c r="K4397" s="2"/>
    </row>
    <row r="4398" spans="4:11" x14ac:dyDescent="0.2">
      <c r="D4398" s="2"/>
      <c r="E4398" s="2"/>
      <c r="F4398" s="2"/>
      <c r="G4398" s="2"/>
      <c r="H4398" s="2"/>
      <c r="I4398" s="2"/>
      <c r="J4398" s="2"/>
      <c r="K4398" s="2"/>
    </row>
    <row r="4399" spans="4:11" x14ac:dyDescent="0.2">
      <c r="D4399" s="2"/>
      <c r="E4399" s="2"/>
      <c r="F4399" s="2"/>
      <c r="G4399" s="2"/>
      <c r="H4399" s="2"/>
      <c r="I4399" s="2"/>
      <c r="J4399" s="2"/>
      <c r="K4399" s="2"/>
    </row>
    <row r="4400" spans="4:11" x14ac:dyDescent="0.2">
      <c r="D4400" s="2"/>
      <c r="E4400" s="2"/>
      <c r="F4400" s="2"/>
      <c r="G4400" s="2"/>
      <c r="H4400" s="2"/>
      <c r="I4400" s="2"/>
      <c r="J4400" s="2"/>
      <c r="K4400" s="2"/>
    </row>
    <row r="4401" spans="4:11" x14ac:dyDescent="0.2">
      <c r="D4401" s="2"/>
      <c r="E4401" s="2"/>
      <c r="F4401" s="2"/>
      <c r="G4401" s="2"/>
      <c r="H4401" s="2"/>
      <c r="I4401" s="2"/>
      <c r="J4401" s="2"/>
      <c r="K4401" s="2"/>
    </row>
    <row r="4402" spans="4:11" x14ac:dyDescent="0.2">
      <c r="D4402" s="2"/>
      <c r="E4402" s="2"/>
      <c r="F4402" s="2"/>
      <c r="G4402" s="2"/>
      <c r="H4402" s="2"/>
      <c r="I4402" s="2"/>
      <c r="J4402" s="2"/>
      <c r="K4402" s="2"/>
    </row>
    <row r="4403" spans="4:11" x14ac:dyDescent="0.2">
      <c r="D4403" s="2"/>
      <c r="E4403" s="2"/>
      <c r="F4403" s="2"/>
      <c r="G4403" s="2"/>
      <c r="H4403" s="2"/>
      <c r="I4403" s="2"/>
      <c r="J4403" s="2"/>
      <c r="K4403" s="2"/>
    </row>
    <row r="4404" spans="4:11" x14ac:dyDescent="0.2">
      <c r="D4404" s="2"/>
      <c r="E4404" s="2"/>
      <c r="F4404" s="2"/>
      <c r="G4404" s="2"/>
      <c r="H4404" s="2"/>
      <c r="I4404" s="2"/>
      <c r="J4404" s="2"/>
      <c r="K4404" s="2"/>
    </row>
    <row r="4405" spans="4:11" x14ac:dyDescent="0.2">
      <c r="D4405" s="2"/>
      <c r="E4405" s="2"/>
      <c r="F4405" s="2"/>
      <c r="G4405" s="2"/>
      <c r="H4405" s="2"/>
      <c r="I4405" s="2"/>
      <c r="J4405" s="2"/>
      <c r="K4405" s="2"/>
    </row>
    <row r="4406" spans="4:11" x14ac:dyDescent="0.2">
      <c r="D4406" s="2"/>
      <c r="E4406" s="2"/>
      <c r="F4406" s="2"/>
      <c r="G4406" s="2"/>
      <c r="H4406" s="2"/>
      <c r="I4406" s="2"/>
      <c r="J4406" s="2"/>
      <c r="K4406" s="2"/>
    </row>
    <row r="4407" spans="4:11" x14ac:dyDescent="0.2">
      <c r="D4407" s="2"/>
      <c r="E4407" s="2"/>
      <c r="F4407" s="2"/>
      <c r="G4407" s="2"/>
      <c r="H4407" s="2"/>
      <c r="I4407" s="2"/>
      <c r="J4407" s="2"/>
      <c r="K4407" s="2"/>
    </row>
    <row r="4408" spans="4:11" x14ac:dyDescent="0.2">
      <c r="D4408" s="2"/>
      <c r="E4408" s="2"/>
      <c r="F4408" s="2"/>
      <c r="G4408" s="2"/>
      <c r="H4408" s="2"/>
      <c r="I4408" s="2"/>
      <c r="J4408" s="2"/>
      <c r="K4408" s="2"/>
    </row>
    <row r="4409" spans="4:11" x14ac:dyDescent="0.2">
      <c r="D4409" s="2"/>
      <c r="E4409" s="2"/>
      <c r="F4409" s="2"/>
      <c r="G4409" s="2"/>
      <c r="H4409" s="2"/>
      <c r="I4409" s="2"/>
      <c r="J4409" s="2"/>
      <c r="K4409" s="2"/>
    </row>
    <row r="4410" spans="4:11" x14ac:dyDescent="0.2">
      <c r="D4410" s="2"/>
      <c r="E4410" s="2"/>
      <c r="F4410" s="2"/>
      <c r="G4410" s="2"/>
      <c r="H4410" s="2"/>
      <c r="I4410" s="2"/>
      <c r="J4410" s="2"/>
      <c r="K4410" s="2"/>
    </row>
    <row r="4411" spans="4:11" x14ac:dyDescent="0.2">
      <c r="D4411" s="2"/>
      <c r="E4411" s="2"/>
      <c r="F4411" s="2"/>
      <c r="G4411" s="2"/>
      <c r="H4411" s="2"/>
      <c r="I4411" s="2"/>
      <c r="J4411" s="2"/>
      <c r="K4411" s="2"/>
    </row>
    <row r="4412" spans="4:11" x14ac:dyDescent="0.2">
      <c r="D4412" s="2"/>
      <c r="E4412" s="2"/>
      <c r="F4412" s="2"/>
      <c r="G4412" s="2"/>
      <c r="H4412" s="2"/>
      <c r="I4412" s="2"/>
      <c r="J4412" s="2"/>
      <c r="K4412" s="2"/>
    </row>
    <row r="4413" spans="4:11" x14ac:dyDescent="0.2">
      <c r="D4413" s="2"/>
      <c r="E4413" s="2"/>
      <c r="F4413" s="2"/>
      <c r="G4413" s="2"/>
      <c r="H4413" s="2"/>
      <c r="I4413" s="2"/>
      <c r="J4413" s="2"/>
      <c r="K4413" s="2"/>
    </row>
    <row r="4414" spans="4:11" x14ac:dyDescent="0.2">
      <c r="D4414" s="2"/>
      <c r="E4414" s="2"/>
      <c r="F4414" s="2"/>
      <c r="G4414" s="2"/>
      <c r="H4414" s="2"/>
      <c r="I4414" s="2"/>
      <c r="J4414" s="2"/>
      <c r="K4414" s="2"/>
    </row>
    <row r="4415" spans="4:11" x14ac:dyDescent="0.2">
      <c r="D4415" s="2"/>
      <c r="E4415" s="2"/>
      <c r="F4415" s="2"/>
      <c r="G4415" s="2"/>
      <c r="H4415" s="2"/>
      <c r="I4415" s="2"/>
      <c r="J4415" s="2"/>
      <c r="K4415" s="2"/>
    </row>
    <row r="4416" spans="4:11" x14ac:dyDescent="0.2">
      <c r="D4416" s="2"/>
      <c r="E4416" s="2"/>
      <c r="F4416" s="2"/>
      <c r="G4416" s="2"/>
      <c r="H4416" s="2"/>
      <c r="I4416" s="2"/>
      <c r="J4416" s="2"/>
      <c r="K4416" s="2"/>
    </row>
    <row r="4417" spans="4:11" x14ac:dyDescent="0.2">
      <c r="D4417" s="2"/>
      <c r="E4417" s="2"/>
      <c r="F4417" s="2"/>
      <c r="G4417" s="2"/>
      <c r="H4417" s="2"/>
      <c r="I4417" s="2"/>
      <c r="J4417" s="2"/>
      <c r="K4417" s="2"/>
    </row>
    <row r="4418" spans="4:11" x14ac:dyDescent="0.2">
      <c r="D4418" s="2"/>
      <c r="E4418" s="2"/>
      <c r="F4418" s="2"/>
      <c r="G4418" s="2"/>
      <c r="H4418" s="2"/>
      <c r="I4418" s="2"/>
      <c r="J4418" s="2"/>
      <c r="K4418" s="2"/>
    </row>
    <row r="4419" spans="4:11" x14ac:dyDescent="0.2">
      <c r="D4419" s="2"/>
      <c r="E4419" s="2"/>
      <c r="F4419" s="2"/>
      <c r="G4419" s="2"/>
      <c r="H4419" s="2"/>
      <c r="I4419" s="2"/>
      <c r="J4419" s="2"/>
      <c r="K4419" s="2"/>
    </row>
    <row r="4420" spans="4:11" x14ac:dyDescent="0.2">
      <c r="D4420" s="2"/>
      <c r="E4420" s="2"/>
      <c r="F4420" s="2"/>
      <c r="G4420" s="2"/>
      <c r="H4420" s="2"/>
      <c r="I4420" s="2"/>
      <c r="J4420" s="2"/>
      <c r="K4420" s="2"/>
    </row>
    <row r="4421" spans="4:11" x14ac:dyDescent="0.2">
      <c r="D4421" s="2"/>
      <c r="E4421" s="2"/>
      <c r="F4421" s="2"/>
      <c r="G4421" s="2"/>
      <c r="H4421" s="2"/>
      <c r="I4421" s="2"/>
      <c r="J4421" s="2"/>
      <c r="K4421" s="2"/>
    </row>
    <row r="4422" spans="4:11" x14ac:dyDescent="0.2">
      <c r="D4422" s="2"/>
      <c r="E4422" s="2"/>
      <c r="F4422" s="2"/>
      <c r="G4422" s="2"/>
      <c r="H4422" s="2"/>
      <c r="I4422" s="2"/>
      <c r="J4422" s="2"/>
      <c r="K4422" s="2"/>
    </row>
    <row r="4423" spans="4:11" x14ac:dyDescent="0.2">
      <c r="D4423" s="2"/>
      <c r="E4423" s="2"/>
      <c r="F4423" s="2"/>
      <c r="G4423" s="2"/>
      <c r="H4423" s="2"/>
      <c r="I4423" s="2"/>
      <c r="J4423" s="2"/>
      <c r="K4423" s="2"/>
    </row>
    <row r="4424" spans="4:11" x14ac:dyDescent="0.2">
      <c r="D4424" s="2"/>
      <c r="E4424" s="2"/>
      <c r="F4424" s="2"/>
      <c r="G4424" s="2"/>
      <c r="H4424" s="2"/>
      <c r="I4424" s="2"/>
      <c r="J4424" s="2"/>
      <c r="K4424" s="2"/>
    </row>
    <row r="4425" spans="4:11" x14ac:dyDescent="0.2">
      <c r="D4425" s="2"/>
      <c r="E4425" s="2"/>
      <c r="F4425" s="2"/>
      <c r="G4425" s="2"/>
      <c r="H4425" s="2"/>
      <c r="I4425" s="2"/>
      <c r="J4425" s="2"/>
      <c r="K4425" s="2"/>
    </row>
    <row r="4426" spans="4:11" x14ac:dyDescent="0.2">
      <c r="D4426" s="2"/>
      <c r="E4426" s="2"/>
      <c r="F4426" s="2"/>
      <c r="G4426" s="2"/>
      <c r="H4426" s="2"/>
      <c r="I4426" s="2"/>
      <c r="J4426" s="2"/>
      <c r="K4426" s="2"/>
    </row>
    <row r="4427" spans="4:11" x14ac:dyDescent="0.2">
      <c r="D4427" s="2"/>
      <c r="E4427" s="2"/>
      <c r="F4427" s="2"/>
      <c r="G4427" s="2"/>
      <c r="H4427" s="2"/>
      <c r="I4427" s="2"/>
      <c r="J4427" s="2"/>
      <c r="K4427" s="2"/>
    </row>
    <row r="4428" spans="4:11" x14ac:dyDescent="0.2">
      <c r="D4428" s="2"/>
      <c r="E4428" s="2"/>
      <c r="F4428" s="2"/>
      <c r="G4428" s="2"/>
      <c r="H4428" s="2"/>
      <c r="I4428" s="2"/>
      <c r="J4428" s="2"/>
      <c r="K4428" s="2"/>
    </row>
    <row r="4429" spans="4:11" x14ac:dyDescent="0.2">
      <c r="D4429" s="2"/>
      <c r="E4429" s="2"/>
      <c r="F4429" s="2"/>
      <c r="G4429" s="2"/>
      <c r="H4429" s="2"/>
      <c r="I4429" s="2"/>
      <c r="J4429" s="2"/>
      <c r="K4429" s="2"/>
    </row>
    <row r="4430" spans="4:11" x14ac:dyDescent="0.2">
      <c r="D4430" s="2"/>
      <c r="E4430" s="2"/>
      <c r="F4430" s="2"/>
      <c r="G4430" s="2"/>
      <c r="H4430" s="2"/>
      <c r="I4430" s="2"/>
      <c r="J4430" s="2"/>
      <c r="K4430" s="2"/>
    </row>
    <row r="4431" spans="4:11" x14ac:dyDescent="0.2">
      <c r="D4431" s="2"/>
      <c r="E4431" s="2"/>
      <c r="F4431" s="2"/>
      <c r="G4431" s="2"/>
      <c r="H4431" s="2"/>
      <c r="I4431" s="2"/>
      <c r="J4431" s="2"/>
      <c r="K4431" s="2"/>
    </row>
    <row r="4432" spans="4:11" x14ac:dyDescent="0.2">
      <c r="D4432" s="2"/>
      <c r="E4432" s="2"/>
      <c r="F4432" s="2"/>
      <c r="G4432" s="2"/>
      <c r="H4432" s="2"/>
      <c r="I4432" s="2"/>
      <c r="J4432" s="2"/>
      <c r="K4432" s="2"/>
    </row>
    <row r="4433" spans="4:11" x14ac:dyDescent="0.2">
      <c r="D4433" s="2"/>
      <c r="E4433" s="2"/>
      <c r="F4433" s="2"/>
      <c r="G4433" s="2"/>
      <c r="H4433" s="2"/>
      <c r="I4433" s="2"/>
      <c r="J4433" s="2"/>
      <c r="K4433" s="2"/>
    </row>
    <row r="4434" spans="4:11" x14ac:dyDescent="0.2">
      <c r="D4434" s="2"/>
      <c r="E4434" s="2"/>
      <c r="F4434" s="2"/>
      <c r="G4434" s="2"/>
      <c r="H4434" s="2"/>
      <c r="I4434" s="2"/>
      <c r="J4434" s="2"/>
      <c r="K4434" s="2"/>
    </row>
    <row r="4435" spans="4:11" x14ac:dyDescent="0.2">
      <c r="D4435" s="2"/>
      <c r="E4435" s="2"/>
      <c r="F4435" s="2"/>
      <c r="G4435" s="2"/>
      <c r="H4435" s="2"/>
      <c r="I4435" s="2"/>
      <c r="J4435" s="2"/>
      <c r="K4435" s="2"/>
    </row>
    <row r="4436" spans="4:11" x14ac:dyDescent="0.2">
      <c r="D4436" s="2"/>
      <c r="E4436" s="2"/>
      <c r="F4436" s="2"/>
      <c r="G4436" s="2"/>
      <c r="H4436" s="2"/>
      <c r="I4436" s="2"/>
      <c r="J4436" s="2"/>
      <c r="K4436" s="2"/>
    </row>
    <row r="4437" spans="4:11" x14ac:dyDescent="0.2">
      <c r="D4437" s="2"/>
      <c r="E4437" s="2"/>
      <c r="F4437" s="2"/>
      <c r="G4437" s="2"/>
      <c r="H4437" s="2"/>
      <c r="I4437" s="2"/>
      <c r="J4437" s="2"/>
      <c r="K4437" s="2"/>
    </row>
    <row r="4438" spans="4:11" x14ac:dyDescent="0.2">
      <c r="D4438" s="2"/>
      <c r="E4438" s="2"/>
      <c r="F4438" s="2"/>
      <c r="G4438" s="2"/>
      <c r="H4438" s="2"/>
      <c r="I4438" s="2"/>
      <c r="J4438" s="2"/>
      <c r="K4438" s="2"/>
    </row>
    <row r="4439" spans="4:11" x14ac:dyDescent="0.2">
      <c r="D4439" s="2"/>
      <c r="E4439" s="2"/>
      <c r="F4439" s="2"/>
      <c r="G4439" s="2"/>
      <c r="H4439" s="2"/>
      <c r="I4439" s="2"/>
      <c r="J4439" s="2"/>
      <c r="K4439" s="2"/>
    </row>
    <row r="4440" spans="4:11" x14ac:dyDescent="0.2">
      <c r="D4440" s="2"/>
      <c r="E4440" s="2"/>
      <c r="F4440" s="2"/>
      <c r="G4440" s="2"/>
      <c r="H4440" s="2"/>
      <c r="I4440" s="2"/>
      <c r="J4440" s="2"/>
      <c r="K4440" s="2"/>
    </row>
    <row r="4441" spans="4:11" x14ac:dyDescent="0.2">
      <c r="D4441" s="2"/>
      <c r="E4441" s="2"/>
      <c r="F4441" s="2"/>
      <c r="G4441" s="2"/>
      <c r="H4441" s="2"/>
      <c r="I4441" s="2"/>
      <c r="J4441" s="2"/>
      <c r="K4441" s="2"/>
    </row>
    <row r="4442" spans="4:11" x14ac:dyDescent="0.2">
      <c r="D4442" s="2"/>
      <c r="E4442" s="2"/>
      <c r="F4442" s="2"/>
      <c r="G4442" s="2"/>
      <c r="H4442" s="2"/>
      <c r="I4442" s="2"/>
      <c r="J4442" s="2"/>
      <c r="K4442" s="2"/>
    </row>
    <row r="4443" spans="4:11" x14ac:dyDescent="0.2">
      <c r="D4443" s="2"/>
      <c r="E4443" s="2"/>
      <c r="F4443" s="2"/>
      <c r="G4443" s="2"/>
      <c r="H4443" s="2"/>
      <c r="I4443" s="2"/>
      <c r="J4443" s="2"/>
      <c r="K4443" s="2"/>
    </row>
    <row r="4444" spans="4:11" x14ac:dyDescent="0.2">
      <c r="D4444" s="2"/>
      <c r="E4444" s="2"/>
      <c r="F4444" s="2"/>
      <c r="G4444" s="2"/>
      <c r="H4444" s="2"/>
      <c r="I4444" s="2"/>
      <c r="J4444" s="2"/>
      <c r="K4444" s="2"/>
    </row>
    <row r="4445" spans="4:11" x14ac:dyDescent="0.2">
      <c r="D4445" s="2"/>
      <c r="E4445" s="2"/>
      <c r="F4445" s="2"/>
      <c r="G4445" s="2"/>
      <c r="H4445" s="2"/>
      <c r="I4445" s="2"/>
      <c r="J4445" s="2"/>
      <c r="K4445" s="2"/>
    </row>
    <row r="4446" spans="4:11" x14ac:dyDescent="0.2">
      <c r="D4446" s="2"/>
      <c r="E4446" s="2"/>
      <c r="F4446" s="2"/>
      <c r="G4446" s="2"/>
      <c r="H4446" s="2"/>
      <c r="I4446" s="2"/>
      <c r="J4446" s="2"/>
      <c r="K4446" s="2"/>
    </row>
    <row r="4447" spans="4:11" x14ac:dyDescent="0.2">
      <c r="D4447" s="2"/>
      <c r="E4447" s="2"/>
      <c r="F4447" s="2"/>
      <c r="G4447" s="2"/>
      <c r="H4447" s="2"/>
      <c r="I4447" s="2"/>
      <c r="J4447" s="2"/>
      <c r="K4447" s="2"/>
    </row>
    <row r="4448" spans="4:11" x14ac:dyDescent="0.2">
      <c r="D4448" s="2"/>
      <c r="E4448" s="2"/>
      <c r="F4448" s="2"/>
      <c r="G4448" s="2"/>
      <c r="H4448" s="2"/>
      <c r="I4448" s="2"/>
      <c r="J4448" s="2"/>
      <c r="K4448" s="2"/>
    </row>
    <row r="4449" spans="4:11" x14ac:dyDescent="0.2">
      <c r="D4449" s="2"/>
      <c r="E4449" s="2"/>
      <c r="F4449" s="2"/>
      <c r="G4449" s="2"/>
      <c r="H4449" s="2"/>
      <c r="I4449" s="2"/>
      <c r="J4449" s="2"/>
      <c r="K4449" s="2"/>
    </row>
    <row r="4450" spans="4:11" x14ac:dyDescent="0.2">
      <c r="D4450" s="2"/>
      <c r="E4450" s="2"/>
      <c r="F4450" s="2"/>
      <c r="G4450" s="2"/>
      <c r="H4450" s="2"/>
      <c r="I4450" s="2"/>
      <c r="J4450" s="2"/>
      <c r="K4450" s="2"/>
    </row>
    <row r="4451" spans="4:11" x14ac:dyDescent="0.2">
      <c r="D4451" s="2"/>
      <c r="E4451" s="2"/>
      <c r="F4451" s="2"/>
      <c r="G4451" s="2"/>
      <c r="H4451" s="2"/>
      <c r="I4451" s="2"/>
      <c r="J4451" s="2"/>
      <c r="K4451" s="2"/>
    </row>
    <row r="4452" spans="4:11" x14ac:dyDescent="0.2">
      <c r="D4452" s="2"/>
      <c r="E4452" s="2"/>
      <c r="F4452" s="2"/>
      <c r="G4452" s="2"/>
      <c r="H4452" s="2"/>
      <c r="I4452" s="2"/>
      <c r="J4452" s="2"/>
      <c r="K4452" s="2"/>
    </row>
    <row r="4453" spans="4:11" x14ac:dyDescent="0.2">
      <c r="D4453" s="2"/>
      <c r="E4453" s="2"/>
      <c r="F4453" s="2"/>
      <c r="G4453" s="2"/>
      <c r="H4453" s="2"/>
      <c r="I4453" s="2"/>
      <c r="J4453" s="2"/>
      <c r="K4453" s="2"/>
    </row>
    <row r="4454" spans="4:11" x14ac:dyDescent="0.2">
      <c r="D4454" s="2"/>
      <c r="E4454" s="2"/>
      <c r="F4454" s="2"/>
      <c r="G4454" s="2"/>
      <c r="H4454" s="2"/>
      <c r="I4454" s="2"/>
      <c r="J4454" s="2"/>
      <c r="K4454" s="2"/>
    </row>
    <row r="4455" spans="4:11" x14ac:dyDescent="0.2">
      <c r="D4455" s="2"/>
      <c r="E4455" s="2"/>
      <c r="F4455" s="2"/>
      <c r="G4455" s="2"/>
      <c r="H4455" s="2"/>
      <c r="I4455" s="2"/>
      <c r="J4455" s="2"/>
      <c r="K4455" s="2"/>
    </row>
    <row r="4456" spans="4:11" x14ac:dyDescent="0.2">
      <c r="D4456" s="2"/>
      <c r="E4456" s="2"/>
      <c r="F4456" s="2"/>
      <c r="G4456" s="2"/>
      <c r="H4456" s="2"/>
      <c r="I4456" s="2"/>
      <c r="J4456" s="2"/>
      <c r="K4456" s="2"/>
    </row>
    <row r="4457" spans="4:11" x14ac:dyDescent="0.2">
      <c r="D4457" s="2"/>
      <c r="E4457" s="2"/>
      <c r="F4457" s="2"/>
      <c r="G4457" s="2"/>
      <c r="H4457" s="2"/>
      <c r="I4457" s="2"/>
      <c r="J4457" s="2"/>
      <c r="K4457" s="2"/>
    </row>
    <row r="4458" spans="4:11" x14ac:dyDescent="0.2">
      <c r="D4458" s="2"/>
      <c r="E4458" s="2"/>
      <c r="F4458" s="2"/>
      <c r="G4458" s="2"/>
      <c r="H4458" s="2"/>
      <c r="I4458" s="2"/>
      <c r="J4458" s="2"/>
      <c r="K4458" s="2"/>
    </row>
    <row r="4459" spans="4:11" x14ac:dyDescent="0.2">
      <c r="D4459" s="2"/>
      <c r="E4459" s="2"/>
      <c r="F4459" s="2"/>
      <c r="G4459" s="2"/>
      <c r="H4459" s="2"/>
      <c r="I4459" s="2"/>
      <c r="J4459" s="2"/>
      <c r="K4459" s="2"/>
    </row>
    <row r="4460" spans="4:11" x14ac:dyDescent="0.2">
      <c r="D4460" s="2"/>
      <c r="E4460" s="2"/>
      <c r="F4460" s="2"/>
      <c r="G4460" s="2"/>
      <c r="H4460" s="2"/>
      <c r="I4460" s="2"/>
      <c r="J4460" s="2"/>
      <c r="K4460" s="2"/>
    </row>
    <row r="4461" spans="4:11" x14ac:dyDescent="0.2">
      <c r="D4461" s="2"/>
      <c r="E4461" s="2"/>
      <c r="F4461" s="2"/>
      <c r="G4461" s="2"/>
      <c r="H4461" s="2"/>
      <c r="I4461" s="2"/>
      <c r="J4461" s="2"/>
      <c r="K4461" s="2"/>
    </row>
    <row r="4462" spans="4:11" x14ac:dyDescent="0.2">
      <c r="D4462" s="2"/>
      <c r="E4462" s="2"/>
      <c r="F4462" s="2"/>
      <c r="G4462" s="2"/>
      <c r="H4462" s="2"/>
      <c r="I4462" s="2"/>
      <c r="J4462" s="2"/>
      <c r="K4462" s="2"/>
    </row>
    <row r="4463" spans="4:11" x14ac:dyDescent="0.2">
      <c r="D4463" s="2"/>
      <c r="E4463" s="2"/>
      <c r="F4463" s="2"/>
      <c r="G4463" s="2"/>
      <c r="H4463" s="2"/>
      <c r="I4463" s="2"/>
      <c r="J4463" s="2"/>
      <c r="K4463" s="2"/>
    </row>
    <row r="4464" spans="4:11" x14ac:dyDescent="0.2">
      <c r="D4464" s="2"/>
      <c r="E4464" s="2"/>
      <c r="F4464" s="2"/>
      <c r="G4464" s="2"/>
      <c r="H4464" s="2"/>
      <c r="I4464" s="2"/>
      <c r="J4464" s="2"/>
      <c r="K4464" s="2"/>
    </row>
    <row r="4465" spans="4:11" x14ac:dyDescent="0.2">
      <c r="D4465" s="2"/>
      <c r="E4465" s="2"/>
      <c r="F4465" s="2"/>
      <c r="G4465" s="2"/>
      <c r="H4465" s="2"/>
      <c r="I4465" s="2"/>
      <c r="J4465" s="2"/>
      <c r="K4465" s="2"/>
    </row>
    <row r="4466" spans="4:11" x14ac:dyDescent="0.2">
      <c r="D4466" s="2"/>
      <c r="E4466" s="2"/>
      <c r="F4466" s="2"/>
      <c r="G4466" s="2"/>
      <c r="H4466" s="2"/>
      <c r="I4466" s="2"/>
      <c r="J4466" s="2"/>
      <c r="K4466" s="2"/>
    </row>
    <row r="4467" spans="4:11" x14ac:dyDescent="0.2">
      <c r="D4467" s="2"/>
      <c r="E4467" s="2"/>
      <c r="F4467" s="2"/>
      <c r="G4467" s="2"/>
      <c r="H4467" s="2"/>
      <c r="I4467" s="2"/>
      <c r="J4467" s="2"/>
      <c r="K4467" s="2"/>
    </row>
    <row r="4468" spans="4:11" x14ac:dyDescent="0.2">
      <c r="D4468" s="2"/>
      <c r="E4468" s="2"/>
      <c r="F4468" s="2"/>
      <c r="G4468" s="2"/>
      <c r="H4468" s="2"/>
      <c r="I4468" s="2"/>
      <c r="J4468" s="2"/>
      <c r="K4468" s="2"/>
    </row>
    <row r="4469" spans="4:11" x14ac:dyDescent="0.2">
      <c r="D4469" s="2"/>
      <c r="E4469" s="2"/>
      <c r="F4469" s="2"/>
      <c r="G4469" s="2"/>
      <c r="H4469" s="2"/>
      <c r="I4469" s="2"/>
      <c r="J4469" s="2"/>
      <c r="K4469" s="2"/>
    </row>
    <row r="4470" spans="4:11" x14ac:dyDescent="0.2">
      <c r="D4470" s="2"/>
      <c r="E4470" s="2"/>
      <c r="F4470" s="2"/>
      <c r="G4470" s="2"/>
      <c r="H4470" s="2"/>
      <c r="I4470" s="2"/>
      <c r="J4470" s="2"/>
      <c r="K4470" s="2"/>
    </row>
    <row r="4471" spans="4:11" x14ac:dyDescent="0.2">
      <c r="D4471" s="2"/>
      <c r="E4471" s="2"/>
      <c r="F4471" s="2"/>
      <c r="G4471" s="2"/>
      <c r="H4471" s="2"/>
      <c r="I4471" s="2"/>
      <c r="J4471" s="2"/>
      <c r="K4471" s="2"/>
    </row>
    <row r="4472" spans="4:11" x14ac:dyDescent="0.2">
      <c r="D4472" s="2"/>
      <c r="E4472" s="2"/>
      <c r="F4472" s="2"/>
      <c r="G4472" s="2"/>
      <c r="H4472" s="2"/>
      <c r="I4472" s="2"/>
      <c r="J4472" s="2"/>
      <c r="K4472" s="2"/>
    </row>
    <row r="4473" spans="4:11" x14ac:dyDescent="0.2">
      <c r="D4473" s="2"/>
      <c r="E4473" s="2"/>
      <c r="F4473" s="2"/>
      <c r="G4473" s="2"/>
      <c r="H4473" s="2"/>
      <c r="I4473" s="2"/>
      <c r="J4473" s="2"/>
      <c r="K4473" s="2"/>
    </row>
    <row r="4474" spans="4:11" x14ac:dyDescent="0.2">
      <c r="D4474" s="2"/>
      <c r="E4474" s="2"/>
      <c r="F4474" s="2"/>
      <c r="G4474" s="2"/>
      <c r="H4474" s="2"/>
      <c r="I4474" s="2"/>
      <c r="J4474" s="2"/>
      <c r="K4474" s="2"/>
    </row>
    <row r="4475" spans="4:11" x14ac:dyDescent="0.2">
      <c r="D4475" s="2"/>
      <c r="E4475" s="2"/>
      <c r="F4475" s="2"/>
      <c r="G4475" s="2"/>
      <c r="H4475" s="2"/>
      <c r="I4475" s="2"/>
      <c r="J4475" s="2"/>
      <c r="K4475" s="2"/>
    </row>
    <row r="4476" spans="4:11" x14ac:dyDescent="0.2">
      <c r="D4476" s="2"/>
      <c r="E4476" s="2"/>
      <c r="F4476" s="2"/>
      <c r="G4476" s="2"/>
      <c r="H4476" s="2"/>
      <c r="I4476" s="2"/>
      <c r="J4476" s="2"/>
      <c r="K4476" s="2"/>
    </row>
    <row r="4477" spans="4:11" x14ac:dyDescent="0.2">
      <c r="D4477" s="2"/>
      <c r="E4477" s="2"/>
      <c r="F4477" s="2"/>
      <c r="G4477" s="2"/>
      <c r="H4477" s="2"/>
      <c r="I4477" s="2"/>
      <c r="J4477" s="2"/>
      <c r="K4477" s="2"/>
    </row>
    <row r="4478" spans="4:11" x14ac:dyDescent="0.2">
      <c r="D4478" s="2"/>
      <c r="E4478" s="2"/>
      <c r="F4478" s="2"/>
      <c r="G4478" s="2"/>
      <c r="H4478" s="2"/>
      <c r="I4478" s="2"/>
      <c r="J4478" s="2"/>
      <c r="K4478" s="2"/>
    </row>
    <row r="4479" spans="4:11" x14ac:dyDescent="0.2">
      <c r="D4479" s="2"/>
      <c r="E4479" s="2"/>
      <c r="F4479" s="2"/>
      <c r="G4479" s="2"/>
      <c r="H4479" s="2"/>
      <c r="I4479" s="2"/>
      <c r="J4479" s="2"/>
      <c r="K4479" s="2"/>
    </row>
    <row r="4480" spans="4:11" x14ac:dyDescent="0.2">
      <c r="D4480" s="2"/>
      <c r="E4480" s="2"/>
      <c r="F4480" s="2"/>
      <c r="G4480" s="2"/>
      <c r="H4480" s="2"/>
      <c r="I4480" s="2"/>
      <c r="J4480" s="2"/>
      <c r="K4480" s="2"/>
    </row>
    <row r="4481" spans="4:11" x14ac:dyDescent="0.2">
      <c r="D4481" s="2"/>
      <c r="E4481" s="2"/>
      <c r="F4481" s="2"/>
      <c r="G4481" s="2"/>
      <c r="H4481" s="2"/>
      <c r="I4481" s="2"/>
      <c r="J4481" s="2"/>
      <c r="K4481" s="2"/>
    </row>
    <row r="4482" spans="4:11" x14ac:dyDescent="0.2">
      <c r="D4482" s="2"/>
      <c r="E4482" s="2"/>
      <c r="F4482" s="2"/>
      <c r="G4482" s="2"/>
      <c r="H4482" s="2"/>
      <c r="I4482" s="2"/>
      <c r="J4482" s="2"/>
      <c r="K4482" s="2"/>
    </row>
    <row r="4483" spans="4:11" x14ac:dyDescent="0.2">
      <c r="D4483" s="2"/>
      <c r="E4483" s="2"/>
      <c r="F4483" s="2"/>
      <c r="G4483" s="2"/>
      <c r="H4483" s="2"/>
      <c r="I4483" s="2"/>
      <c r="J4483" s="2"/>
      <c r="K4483" s="2"/>
    </row>
    <row r="4484" spans="4:11" x14ac:dyDescent="0.2">
      <c r="D4484" s="2"/>
      <c r="E4484" s="2"/>
      <c r="F4484" s="2"/>
      <c r="G4484" s="2"/>
      <c r="H4484" s="2"/>
      <c r="I4484" s="2"/>
      <c r="J4484" s="2"/>
      <c r="K4484" s="2"/>
    </row>
    <row r="4485" spans="4:11" x14ac:dyDescent="0.2">
      <c r="D4485" s="2"/>
      <c r="E4485" s="2"/>
      <c r="F4485" s="2"/>
      <c r="G4485" s="2"/>
      <c r="H4485" s="2"/>
      <c r="I4485" s="2"/>
      <c r="J4485" s="2"/>
      <c r="K4485" s="2"/>
    </row>
    <row r="4486" spans="4:11" x14ac:dyDescent="0.2">
      <c r="D4486" s="2"/>
      <c r="E4486" s="2"/>
      <c r="F4486" s="2"/>
      <c r="G4486" s="2"/>
      <c r="H4486" s="2"/>
      <c r="I4486" s="2"/>
      <c r="J4486" s="2"/>
      <c r="K4486" s="2"/>
    </row>
    <row r="4487" spans="4:11" x14ac:dyDescent="0.2">
      <c r="D4487" s="2"/>
      <c r="E4487" s="2"/>
      <c r="F4487" s="2"/>
      <c r="G4487" s="2"/>
      <c r="H4487" s="2"/>
      <c r="I4487" s="2"/>
      <c r="J4487" s="2"/>
      <c r="K4487" s="2"/>
    </row>
    <row r="4488" spans="4:11" x14ac:dyDescent="0.2">
      <c r="D4488" s="2"/>
      <c r="E4488" s="2"/>
      <c r="F4488" s="2"/>
      <c r="G4488" s="2"/>
      <c r="H4488" s="2"/>
      <c r="I4488" s="2"/>
      <c r="J4488" s="2"/>
      <c r="K4488" s="2"/>
    </row>
    <row r="4489" spans="4:11" x14ac:dyDescent="0.2">
      <c r="D4489" s="2"/>
      <c r="E4489" s="2"/>
      <c r="F4489" s="2"/>
      <c r="G4489" s="2"/>
      <c r="H4489" s="2"/>
      <c r="I4489" s="2"/>
      <c r="J4489" s="2"/>
      <c r="K4489" s="2"/>
    </row>
    <row r="4490" spans="4:11" x14ac:dyDescent="0.2">
      <c r="D4490" s="2"/>
      <c r="E4490" s="2"/>
      <c r="F4490" s="2"/>
      <c r="G4490" s="2"/>
      <c r="H4490" s="2"/>
      <c r="I4490" s="2"/>
      <c r="J4490" s="2"/>
      <c r="K4490" s="2"/>
    </row>
    <row r="4491" spans="4:11" x14ac:dyDescent="0.2">
      <c r="D4491" s="2"/>
      <c r="E4491" s="2"/>
      <c r="F4491" s="2"/>
      <c r="G4491" s="2"/>
      <c r="H4491" s="2"/>
      <c r="I4491" s="2"/>
      <c r="J4491" s="2"/>
      <c r="K4491" s="2"/>
    </row>
    <row r="4492" spans="4:11" x14ac:dyDescent="0.2">
      <c r="D4492" s="2"/>
      <c r="E4492" s="2"/>
      <c r="F4492" s="2"/>
      <c r="G4492" s="2"/>
      <c r="H4492" s="2"/>
      <c r="I4492" s="2"/>
      <c r="J4492" s="2"/>
      <c r="K4492" s="2"/>
    </row>
    <row r="4493" spans="4:11" x14ac:dyDescent="0.2">
      <c r="D4493" s="2"/>
      <c r="E4493" s="2"/>
      <c r="F4493" s="2"/>
      <c r="G4493" s="2"/>
      <c r="H4493" s="2"/>
      <c r="I4493" s="2"/>
      <c r="J4493" s="2"/>
      <c r="K4493" s="2"/>
    </row>
    <row r="4494" spans="4:11" x14ac:dyDescent="0.2">
      <c r="D4494" s="2"/>
      <c r="E4494" s="2"/>
      <c r="F4494" s="2"/>
      <c r="G4494" s="2"/>
      <c r="H4494" s="2"/>
      <c r="I4494" s="2"/>
      <c r="J4494" s="2"/>
      <c r="K4494" s="2"/>
    </row>
    <row r="4495" spans="4:11" x14ac:dyDescent="0.2">
      <c r="D4495" s="2"/>
      <c r="E4495" s="2"/>
      <c r="F4495" s="2"/>
      <c r="G4495" s="2"/>
      <c r="H4495" s="2"/>
      <c r="I4495" s="2"/>
      <c r="J4495" s="2"/>
      <c r="K4495" s="2"/>
    </row>
    <row r="4496" spans="4:11" x14ac:dyDescent="0.2">
      <c r="D4496" s="2"/>
      <c r="E4496" s="2"/>
      <c r="F4496" s="2"/>
      <c r="G4496" s="2"/>
      <c r="H4496" s="2"/>
      <c r="I4496" s="2"/>
      <c r="J4496" s="2"/>
      <c r="K4496" s="2"/>
    </row>
    <row r="4497" spans="4:11" x14ac:dyDescent="0.2">
      <c r="D4497" s="2"/>
      <c r="E4497" s="2"/>
      <c r="F4497" s="2"/>
      <c r="G4497" s="2"/>
      <c r="H4497" s="2"/>
      <c r="I4497" s="2"/>
      <c r="J4497" s="2"/>
      <c r="K4497" s="2"/>
    </row>
    <row r="4498" spans="4:11" x14ac:dyDescent="0.2">
      <c r="D4498" s="2"/>
      <c r="E4498" s="2"/>
      <c r="F4498" s="2"/>
      <c r="G4498" s="2"/>
      <c r="H4498" s="2"/>
      <c r="I4498" s="2"/>
      <c r="J4498" s="2"/>
      <c r="K4498" s="2"/>
    </row>
    <row r="4499" spans="4:11" x14ac:dyDescent="0.2">
      <c r="D4499" s="2"/>
      <c r="E4499" s="2"/>
      <c r="F4499" s="2"/>
      <c r="G4499" s="2"/>
      <c r="H4499" s="2"/>
      <c r="I4499" s="2"/>
      <c r="J4499" s="2"/>
      <c r="K4499" s="2"/>
    </row>
    <row r="4500" spans="4:11" x14ac:dyDescent="0.2">
      <c r="D4500" s="2"/>
      <c r="E4500" s="2"/>
      <c r="F4500" s="2"/>
      <c r="G4500" s="2"/>
      <c r="H4500" s="2"/>
      <c r="I4500" s="2"/>
      <c r="J4500" s="2"/>
      <c r="K4500" s="2"/>
    </row>
    <row r="4501" spans="4:11" x14ac:dyDescent="0.2">
      <c r="D4501" s="2"/>
      <c r="E4501" s="2"/>
      <c r="F4501" s="2"/>
      <c r="G4501" s="2"/>
      <c r="H4501" s="2"/>
      <c r="I4501" s="2"/>
      <c r="J4501" s="2"/>
      <c r="K4501" s="2"/>
    </row>
    <row r="4502" spans="4:11" x14ac:dyDescent="0.2">
      <c r="D4502" s="2"/>
      <c r="E4502" s="2"/>
      <c r="F4502" s="2"/>
      <c r="G4502" s="2"/>
      <c r="H4502" s="2"/>
      <c r="I4502" s="2"/>
      <c r="J4502" s="2"/>
      <c r="K4502" s="2"/>
    </row>
    <row r="4503" spans="4:11" x14ac:dyDescent="0.2">
      <c r="D4503" s="2"/>
      <c r="E4503" s="2"/>
      <c r="F4503" s="2"/>
      <c r="G4503" s="2"/>
      <c r="H4503" s="2"/>
      <c r="I4503" s="2"/>
      <c r="J4503" s="2"/>
      <c r="K4503" s="2"/>
    </row>
    <row r="4504" spans="4:11" x14ac:dyDescent="0.2">
      <c r="D4504" s="2"/>
      <c r="E4504" s="2"/>
      <c r="F4504" s="2"/>
      <c r="G4504" s="2"/>
      <c r="H4504" s="2"/>
      <c r="I4504" s="2"/>
      <c r="J4504" s="2"/>
      <c r="K4504" s="2"/>
    </row>
    <row r="4505" spans="4:11" x14ac:dyDescent="0.2">
      <c r="D4505" s="2"/>
      <c r="E4505" s="2"/>
      <c r="F4505" s="2"/>
      <c r="G4505" s="2"/>
      <c r="H4505" s="2"/>
      <c r="I4505" s="2"/>
      <c r="J4505" s="2"/>
      <c r="K4505" s="2"/>
    </row>
    <row r="4506" spans="4:11" x14ac:dyDescent="0.2">
      <c r="D4506" s="2"/>
      <c r="E4506" s="2"/>
      <c r="F4506" s="2"/>
      <c r="G4506" s="2"/>
      <c r="H4506" s="2"/>
      <c r="I4506" s="2"/>
      <c r="J4506" s="2"/>
      <c r="K4506" s="2"/>
    </row>
    <row r="4507" spans="4:11" x14ac:dyDescent="0.2">
      <c r="D4507" s="2"/>
      <c r="E4507" s="2"/>
      <c r="F4507" s="2"/>
      <c r="G4507" s="2"/>
      <c r="H4507" s="2"/>
      <c r="I4507" s="2"/>
      <c r="J4507" s="2"/>
      <c r="K4507" s="2"/>
    </row>
    <row r="4508" spans="4:11" x14ac:dyDescent="0.2">
      <c r="D4508" s="2"/>
      <c r="E4508" s="2"/>
      <c r="F4508" s="2"/>
      <c r="G4508" s="2"/>
      <c r="H4508" s="2"/>
      <c r="I4508" s="2"/>
      <c r="J4508" s="2"/>
      <c r="K4508" s="2"/>
    </row>
    <row r="4509" spans="4:11" x14ac:dyDescent="0.2">
      <c r="D4509" s="2"/>
      <c r="E4509" s="2"/>
      <c r="F4509" s="2"/>
      <c r="G4509" s="2"/>
      <c r="H4509" s="2"/>
      <c r="I4509" s="2"/>
      <c r="J4509" s="2"/>
      <c r="K4509" s="2"/>
    </row>
    <row r="4510" spans="4:11" x14ac:dyDescent="0.2">
      <c r="D4510" s="2"/>
      <c r="E4510" s="2"/>
      <c r="F4510" s="2"/>
      <c r="G4510" s="2"/>
      <c r="H4510" s="2"/>
      <c r="I4510" s="2"/>
      <c r="J4510" s="2"/>
      <c r="K4510" s="2"/>
    </row>
    <row r="4511" spans="4:11" x14ac:dyDescent="0.2">
      <c r="D4511" s="2"/>
      <c r="E4511" s="2"/>
      <c r="F4511" s="2"/>
      <c r="G4511" s="2"/>
      <c r="H4511" s="2"/>
      <c r="I4511" s="2"/>
      <c r="J4511" s="2"/>
      <c r="K4511" s="2"/>
    </row>
    <row r="4512" spans="4:11" x14ac:dyDescent="0.2">
      <c r="D4512" s="2"/>
      <c r="E4512" s="2"/>
      <c r="F4512" s="2"/>
      <c r="G4512" s="2"/>
      <c r="H4512" s="2"/>
      <c r="I4512" s="2"/>
      <c r="J4512" s="2"/>
      <c r="K4512" s="2"/>
    </row>
    <row r="4513" spans="4:11" x14ac:dyDescent="0.2">
      <c r="D4513" s="2"/>
      <c r="E4513" s="2"/>
      <c r="F4513" s="2"/>
      <c r="G4513" s="2"/>
      <c r="H4513" s="2"/>
      <c r="I4513" s="2"/>
      <c r="J4513" s="2"/>
      <c r="K4513" s="2"/>
    </row>
    <row r="4514" spans="4:11" x14ac:dyDescent="0.2">
      <c r="D4514" s="2"/>
      <c r="E4514" s="2"/>
      <c r="F4514" s="2"/>
      <c r="G4514" s="2"/>
      <c r="H4514" s="2"/>
      <c r="I4514" s="2"/>
      <c r="J4514" s="2"/>
      <c r="K4514" s="2"/>
    </row>
    <row r="4515" spans="4:11" x14ac:dyDescent="0.2">
      <c r="D4515" s="2"/>
      <c r="E4515" s="2"/>
      <c r="F4515" s="2"/>
      <c r="G4515" s="2"/>
      <c r="H4515" s="2"/>
      <c r="I4515" s="2"/>
      <c r="J4515" s="2"/>
      <c r="K4515" s="2"/>
    </row>
    <row r="4516" spans="4:11" x14ac:dyDescent="0.2">
      <c r="D4516" s="2"/>
      <c r="E4516" s="2"/>
      <c r="F4516" s="2"/>
      <c r="G4516" s="2"/>
      <c r="H4516" s="2"/>
      <c r="I4516" s="2"/>
      <c r="J4516" s="2"/>
      <c r="K4516" s="2"/>
    </row>
    <row r="4517" spans="4:11" x14ac:dyDescent="0.2">
      <c r="D4517" s="2"/>
      <c r="E4517" s="2"/>
      <c r="F4517" s="2"/>
      <c r="G4517" s="2"/>
      <c r="H4517" s="2"/>
      <c r="I4517" s="2"/>
      <c r="J4517" s="2"/>
      <c r="K4517" s="2"/>
    </row>
    <row r="4518" spans="4:11" x14ac:dyDescent="0.2">
      <c r="D4518" s="2"/>
      <c r="E4518" s="2"/>
      <c r="F4518" s="2"/>
      <c r="G4518" s="2"/>
      <c r="H4518" s="2"/>
      <c r="I4518" s="2"/>
      <c r="J4518" s="2"/>
      <c r="K4518" s="2"/>
    </row>
    <row r="4519" spans="4:11" x14ac:dyDescent="0.2">
      <c r="D4519" s="2"/>
      <c r="E4519" s="2"/>
      <c r="F4519" s="2"/>
      <c r="G4519" s="2"/>
      <c r="H4519" s="2"/>
      <c r="I4519" s="2"/>
      <c r="J4519" s="2"/>
      <c r="K4519" s="2"/>
    </row>
    <row r="4520" spans="4:11" x14ac:dyDescent="0.2">
      <c r="D4520" s="2"/>
      <c r="E4520" s="2"/>
      <c r="F4520" s="2"/>
      <c r="G4520" s="2"/>
      <c r="H4520" s="2"/>
      <c r="I4520" s="2"/>
      <c r="J4520" s="2"/>
      <c r="K4520" s="2"/>
    </row>
    <row r="4521" spans="4:11" x14ac:dyDescent="0.2">
      <c r="D4521" s="2"/>
      <c r="E4521" s="2"/>
      <c r="F4521" s="2"/>
      <c r="G4521" s="2"/>
      <c r="H4521" s="2"/>
      <c r="I4521" s="2"/>
      <c r="J4521" s="2"/>
      <c r="K4521" s="2"/>
    </row>
    <row r="4522" spans="4:11" x14ac:dyDescent="0.2">
      <c r="D4522" s="2"/>
      <c r="E4522" s="2"/>
      <c r="F4522" s="2"/>
      <c r="G4522" s="2"/>
      <c r="H4522" s="2"/>
      <c r="I4522" s="2"/>
      <c r="J4522" s="2"/>
      <c r="K4522" s="2"/>
    </row>
    <row r="4523" spans="4:11" x14ac:dyDescent="0.2">
      <c r="D4523" s="2"/>
      <c r="E4523" s="2"/>
      <c r="F4523" s="2"/>
      <c r="G4523" s="2"/>
      <c r="H4523" s="2"/>
      <c r="I4523" s="2"/>
      <c r="J4523" s="2"/>
      <c r="K4523" s="2"/>
    </row>
    <row r="4524" spans="4:11" x14ac:dyDescent="0.2">
      <c r="D4524" s="2"/>
      <c r="E4524" s="2"/>
      <c r="F4524" s="2"/>
      <c r="G4524" s="2"/>
      <c r="H4524" s="2"/>
      <c r="I4524" s="2"/>
      <c r="J4524" s="2"/>
      <c r="K4524" s="2"/>
    </row>
    <row r="4525" spans="4:11" x14ac:dyDescent="0.2">
      <c r="D4525" s="2"/>
      <c r="E4525" s="2"/>
      <c r="F4525" s="2"/>
      <c r="G4525" s="2"/>
      <c r="H4525" s="2"/>
      <c r="I4525" s="2"/>
      <c r="J4525" s="2"/>
      <c r="K4525" s="2"/>
    </row>
    <row r="4526" spans="4:11" x14ac:dyDescent="0.2">
      <c r="D4526" s="2"/>
      <c r="E4526" s="2"/>
      <c r="F4526" s="2"/>
      <c r="G4526" s="2"/>
      <c r="H4526" s="2"/>
      <c r="I4526" s="2"/>
      <c r="J4526" s="2"/>
      <c r="K4526" s="2"/>
    </row>
    <row r="4527" spans="4:11" x14ac:dyDescent="0.2">
      <c r="D4527" s="2"/>
      <c r="E4527" s="2"/>
      <c r="F4527" s="2"/>
      <c r="G4527" s="2"/>
      <c r="H4527" s="2"/>
      <c r="I4527" s="2"/>
      <c r="J4527" s="2"/>
      <c r="K4527" s="2"/>
    </row>
    <row r="4528" spans="4:11" x14ac:dyDescent="0.2">
      <c r="D4528" s="2"/>
      <c r="E4528" s="2"/>
      <c r="F4528" s="2"/>
      <c r="G4528" s="2"/>
      <c r="H4528" s="2"/>
      <c r="I4528" s="2"/>
      <c r="J4528" s="2"/>
      <c r="K4528" s="2"/>
    </row>
    <row r="4529" spans="4:11" x14ac:dyDescent="0.2">
      <c r="D4529" s="2"/>
      <c r="E4529" s="2"/>
      <c r="F4529" s="2"/>
      <c r="G4529" s="2"/>
      <c r="H4529" s="2"/>
      <c r="I4529" s="2"/>
      <c r="J4529" s="2"/>
      <c r="K4529" s="2"/>
    </row>
    <row r="4530" spans="4:11" x14ac:dyDescent="0.2">
      <c r="D4530" s="2"/>
      <c r="E4530" s="2"/>
      <c r="F4530" s="2"/>
      <c r="G4530" s="2"/>
      <c r="H4530" s="2"/>
      <c r="I4530" s="2"/>
      <c r="J4530" s="2"/>
      <c r="K4530" s="2"/>
    </row>
    <row r="4531" spans="4:11" x14ac:dyDescent="0.2">
      <c r="D4531" s="2"/>
      <c r="E4531" s="2"/>
      <c r="F4531" s="2"/>
      <c r="G4531" s="2"/>
      <c r="H4531" s="2"/>
      <c r="I4531" s="2"/>
      <c r="J4531" s="2"/>
      <c r="K4531" s="2"/>
    </row>
    <row r="4532" spans="4:11" x14ac:dyDescent="0.2">
      <c r="D4532" s="2"/>
      <c r="E4532" s="2"/>
      <c r="F4532" s="2"/>
      <c r="G4532" s="2"/>
      <c r="H4532" s="2"/>
      <c r="I4532" s="2"/>
      <c r="J4532" s="2"/>
      <c r="K4532" s="2"/>
    </row>
    <row r="4533" spans="4:11" x14ac:dyDescent="0.2">
      <c r="D4533" s="2"/>
      <c r="E4533" s="2"/>
      <c r="F4533" s="2"/>
      <c r="G4533" s="2"/>
      <c r="H4533" s="2"/>
      <c r="I4533" s="2"/>
      <c r="J4533" s="2"/>
      <c r="K4533" s="2"/>
    </row>
    <row r="4534" spans="4:11" x14ac:dyDescent="0.2">
      <c r="D4534" s="2"/>
      <c r="E4534" s="2"/>
      <c r="F4534" s="2"/>
      <c r="G4534" s="2"/>
      <c r="H4534" s="2"/>
      <c r="I4534" s="2"/>
      <c r="J4534" s="2"/>
      <c r="K4534" s="2"/>
    </row>
    <row r="4535" spans="4:11" x14ac:dyDescent="0.2">
      <c r="D4535" s="2"/>
      <c r="E4535" s="2"/>
      <c r="F4535" s="2"/>
      <c r="G4535" s="2"/>
      <c r="H4535" s="2"/>
      <c r="I4535" s="2"/>
      <c r="J4535" s="2"/>
      <c r="K4535" s="2"/>
    </row>
    <row r="4536" spans="4:11" x14ac:dyDescent="0.2">
      <c r="D4536" s="2"/>
      <c r="E4536" s="2"/>
      <c r="F4536" s="2"/>
      <c r="G4536" s="2"/>
      <c r="H4536" s="2"/>
      <c r="I4536" s="2"/>
      <c r="J4536" s="2"/>
      <c r="K4536" s="2"/>
    </row>
    <row r="4537" spans="4:11" x14ac:dyDescent="0.2">
      <c r="D4537" s="2"/>
      <c r="E4537" s="2"/>
      <c r="F4537" s="2"/>
      <c r="G4537" s="2"/>
      <c r="H4537" s="2"/>
      <c r="I4537" s="2"/>
      <c r="J4537" s="2"/>
      <c r="K4537" s="2"/>
    </row>
    <row r="4538" spans="4:11" x14ac:dyDescent="0.2">
      <c r="D4538" s="2"/>
      <c r="E4538" s="2"/>
      <c r="F4538" s="2"/>
      <c r="G4538" s="2"/>
      <c r="H4538" s="2"/>
      <c r="I4538" s="2"/>
      <c r="J4538" s="2"/>
      <c r="K4538" s="2"/>
    </row>
    <row r="4539" spans="4:11" x14ac:dyDescent="0.2">
      <c r="D4539" s="2"/>
      <c r="E4539" s="2"/>
      <c r="F4539" s="2"/>
      <c r="G4539" s="2"/>
      <c r="H4539" s="2"/>
      <c r="I4539" s="2"/>
      <c r="J4539" s="2"/>
      <c r="K4539" s="2"/>
    </row>
    <row r="4540" spans="4:11" x14ac:dyDescent="0.2">
      <c r="D4540" s="2"/>
      <c r="E4540" s="2"/>
      <c r="F4540" s="2"/>
      <c r="G4540" s="2"/>
      <c r="H4540" s="2"/>
      <c r="I4540" s="2"/>
      <c r="J4540" s="2"/>
      <c r="K4540" s="2"/>
    </row>
    <row r="4541" spans="4:11" x14ac:dyDescent="0.2">
      <c r="D4541" s="2"/>
      <c r="E4541" s="2"/>
      <c r="F4541" s="2"/>
      <c r="G4541" s="2"/>
      <c r="H4541" s="2"/>
      <c r="I4541" s="2"/>
      <c r="J4541" s="2"/>
      <c r="K4541" s="2"/>
    </row>
    <row r="4542" spans="4:11" x14ac:dyDescent="0.2">
      <c r="D4542" s="2"/>
      <c r="E4542" s="2"/>
      <c r="F4542" s="2"/>
      <c r="G4542" s="2"/>
      <c r="H4542" s="2"/>
      <c r="I4542" s="2"/>
      <c r="J4542" s="2"/>
      <c r="K4542" s="2"/>
    </row>
    <row r="4543" spans="4:11" x14ac:dyDescent="0.2">
      <c r="D4543" s="2"/>
      <c r="E4543" s="2"/>
      <c r="F4543" s="2"/>
      <c r="G4543" s="2"/>
      <c r="H4543" s="2"/>
      <c r="I4543" s="2"/>
      <c r="J4543" s="2"/>
      <c r="K4543" s="2"/>
    </row>
    <row r="4544" spans="4:11" x14ac:dyDescent="0.2">
      <c r="D4544" s="2"/>
      <c r="E4544" s="2"/>
      <c r="F4544" s="2"/>
      <c r="G4544" s="2"/>
      <c r="H4544" s="2"/>
      <c r="I4544" s="2"/>
      <c r="J4544" s="2"/>
      <c r="K4544" s="2"/>
    </row>
    <row r="4545" spans="4:11" x14ac:dyDescent="0.2">
      <c r="D4545" s="2"/>
      <c r="E4545" s="2"/>
      <c r="F4545" s="2"/>
      <c r="G4545" s="2"/>
      <c r="H4545" s="2"/>
      <c r="I4545" s="2"/>
      <c r="J4545" s="2"/>
      <c r="K4545" s="2"/>
    </row>
    <row r="4546" spans="4:11" x14ac:dyDescent="0.2">
      <c r="D4546" s="2"/>
      <c r="E4546" s="2"/>
      <c r="F4546" s="2"/>
      <c r="G4546" s="2"/>
      <c r="H4546" s="2"/>
      <c r="I4546" s="2"/>
      <c r="J4546" s="2"/>
      <c r="K4546" s="2"/>
    </row>
    <row r="4547" spans="4:11" x14ac:dyDescent="0.2">
      <c r="D4547" s="2"/>
      <c r="E4547" s="2"/>
      <c r="F4547" s="2"/>
      <c r="G4547" s="2"/>
      <c r="H4547" s="2"/>
      <c r="I4547" s="2"/>
      <c r="J4547" s="2"/>
      <c r="K4547" s="2"/>
    </row>
    <row r="4548" spans="4:11" x14ac:dyDescent="0.2">
      <c r="D4548" s="2"/>
      <c r="E4548" s="2"/>
      <c r="F4548" s="2"/>
      <c r="G4548" s="2"/>
      <c r="H4548" s="2"/>
      <c r="I4548" s="2"/>
      <c r="J4548" s="2"/>
      <c r="K4548" s="2"/>
    </row>
    <row r="4549" spans="4:11" x14ac:dyDescent="0.2">
      <c r="D4549" s="2"/>
      <c r="E4549" s="2"/>
      <c r="F4549" s="2"/>
      <c r="G4549" s="2"/>
      <c r="H4549" s="2"/>
      <c r="I4549" s="2"/>
      <c r="J4549" s="2"/>
      <c r="K4549" s="2"/>
    </row>
    <row r="4550" spans="4:11" x14ac:dyDescent="0.2">
      <c r="D4550" s="2"/>
      <c r="E4550" s="2"/>
      <c r="F4550" s="2"/>
      <c r="G4550" s="2"/>
      <c r="H4550" s="2"/>
      <c r="I4550" s="2"/>
      <c r="J4550" s="2"/>
      <c r="K4550" s="2"/>
    </row>
    <row r="4551" spans="4:11" x14ac:dyDescent="0.2">
      <c r="D4551" s="2"/>
      <c r="E4551" s="2"/>
      <c r="F4551" s="2"/>
      <c r="G4551" s="2"/>
      <c r="H4551" s="2"/>
      <c r="I4551" s="2"/>
      <c r="J4551" s="2"/>
      <c r="K4551" s="2"/>
    </row>
    <row r="4552" spans="4:11" x14ac:dyDescent="0.2">
      <c r="D4552" s="2"/>
      <c r="E4552" s="2"/>
      <c r="F4552" s="2"/>
      <c r="G4552" s="2"/>
      <c r="H4552" s="2"/>
      <c r="I4552" s="2"/>
      <c r="J4552" s="2"/>
      <c r="K4552" s="2"/>
    </row>
    <row r="4553" spans="4:11" x14ac:dyDescent="0.2">
      <c r="D4553" s="2"/>
      <c r="E4553" s="2"/>
      <c r="F4553" s="2"/>
      <c r="G4553" s="2"/>
      <c r="H4553" s="2"/>
      <c r="I4553" s="2"/>
      <c r="J4553" s="2"/>
      <c r="K4553" s="2"/>
    </row>
    <row r="4554" spans="4:11" x14ac:dyDescent="0.2">
      <c r="D4554" s="2"/>
      <c r="E4554" s="2"/>
      <c r="F4554" s="2"/>
      <c r="G4554" s="2"/>
      <c r="H4554" s="2"/>
      <c r="I4554" s="2"/>
      <c r="J4554" s="2"/>
      <c r="K4554" s="2"/>
    </row>
    <row r="4555" spans="4:11" x14ac:dyDescent="0.2">
      <c r="D4555" s="2"/>
      <c r="E4555" s="2"/>
      <c r="F4555" s="2"/>
      <c r="G4555" s="2"/>
      <c r="H4555" s="2"/>
      <c r="I4555" s="2"/>
      <c r="J4555" s="2"/>
      <c r="K4555" s="2"/>
    </row>
    <row r="4556" spans="4:11" x14ac:dyDescent="0.2">
      <c r="D4556" s="2"/>
      <c r="E4556" s="2"/>
      <c r="F4556" s="2"/>
      <c r="G4556" s="2"/>
      <c r="H4556" s="2"/>
      <c r="I4556" s="2"/>
      <c r="J4556" s="2"/>
      <c r="K4556" s="2"/>
    </row>
    <row r="4557" spans="4:11" x14ac:dyDescent="0.2">
      <c r="D4557" s="2"/>
      <c r="E4557" s="2"/>
      <c r="F4557" s="2"/>
      <c r="G4557" s="2"/>
      <c r="H4557" s="2"/>
      <c r="I4557" s="2"/>
      <c r="J4557" s="2"/>
      <c r="K4557" s="2"/>
    </row>
    <row r="4558" spans="4:11" x14ac:dyDescent="0.2">
      <c r="D4558" s="2"/>
      <c r="E4558" s="2"/>
      <c r="F4558" s="2"/>
      <c r="G4558" s="2"/>
      <c r="H4558" s="2"/>
      <c r="I4558" s="2"/>
      <c r="J4558" s="2"/>
      <c r="K4558" s="2"/>
    </row>
    <row r="4559" spans="4:11" x14ac:dyDescent="0.2">
      <c r="D4559" s="2"/>
      <c r="E4559" s="2"/>
      <c r="F4559" s="2"/>
      <c r="G4559" s="2"/>
      <c r="H4559" s="2"/>
      <c r="I4559" s="2"/>
      <c r="J4559" s="2"/>
      <c r="K4559" s="2"/>
    </row>
    <row r="4560" spans="4:11" x14ac:dyDescent="0.2">
      <c r="D4560" s="2"/>
      <c r="E4560" s="2"/>
      <c r="F4560" s="2"/>
      <c r="G4560" s="2"/>
      <c r="H4560" s="2"/>
      <c r="I4560" s="2"/>
      <c r="J4560" s="2"/>
      <c r="K4560" s="2"/>
    </row>
    <row r="4561" spans="4:11" x14ac:dyDescent="0.2">
      <c r="D4561" s="2"/>
      <c r="E4561" s="2"/>
      <c r="F4561" s="2"/>
      <c r="G4561" s="2"/>
      <c r="H4561" s="2"/>
      <c r="I4561" s="2"/>
      <c r="J4561" s="2"/>
      <c r="K4561" s="2"/>
    </row>
    <row r="4562" spans="4:11" x14ac:dyDescent="0.2">
      <c r="D4562" s="2"/>
      <c r="E4562" s="2"/>
      <c r="F4562" s="2"/>
      <c r="G4562" s="2"/>
      <c r="H4562" s="2"/>
      <c r="I4562" s="2"/>
      <c r="J4562" s="2"/>
      <c r="K4562" s="2"/>
    </row>
    <row r="4563" spans="4:11" x14ac:dyDescent="0.2">
      <c r="D4563" s="2"/>
      <c r="E4563" s="2"/>
      <c r="F4563" s="2"/>
      <c r="G4563" s="2"/>
      <c r="H4563" s="2"/>
      <c r="I4563" s="2"/>
      <c r="J4563" s="2"/>
      <c r="K4563" s="2"/>
    </row>
    <row r="4564" spans="4:11" x14ac:dyDescent="0.2">
      <c r="D4564" s="2"/>
      <c r="E4564" s="2"/>
      <c r="F4564" s="2"/>
      <c r="G4564" s="2"/>
      <c r="H4564" s="2"/>
      <c r="I4564" s="2"/>
      <c r="J4564" s="2"/>
      <c r="K4564" s="2"/>
    </row>
    <row r="4565" spans="4:11" x14ac:dyDescent="0.2">
      <c r="D4565" s="2"/>
      <c r="E4565" s="2"/>
      <c r="F4565" s="2"/>
      <c r="G4565" s="2"/>
      <c r="H4565" s="2"/>
      <c r="I4565" s="2"/>
      <c r="J4565" s="2"/>
      <c r="K4565" s="2"/>
    </row>
    <row r="4566" spans="4:11" x14ac:dyDescent="0.2">
      <c r="D4566" s="2"/>
      <c r="E4566" s="2"/>
      <c r="F4566" s="2"/>
      <c r="G4566" s="2"/>
      <c r="H4566" s="2"/>
      <c r="I4566" s="2"/>
      <c r="J4566" s="2"/>
      <c r="K4566" s="2"/>
    </row>
    <row r="4567" spans="4:11" x14ac:dyDescent="0.2">
      <c r="D4567" s="2"/>
      <c r="E4567" s="2"/>
      <c r="F4567" s="2"/>
      <c r="G4567" s="2"/>
      <c r="H4567" s="2"/>
      <c r="I4567" s="2"/>
      <c r="J4567" s="2"/>
      <c r="K4567" s="2"/>
    </row>
    <row r="4568" spans="4:11" x14ac:dyDescent="0.2">
      <c r="D4568" s="2"/>
      <c r="E4568" s="2"/>
      <c r="F4568" s="2"/>
      <c r="G4568" s="2"/>
      <c r="H4568" s="2"/>
      <c r="I4568" s="2"/>
      <c r="J4568" s="2"/>
      <c r="K4568" s="2"/>
    </row>
    <row r="4569" spans="4:11" x14ac:dyDescent="0.2">
      <c r="D4569" s="2"/>
      <c r="E4569" s="2"/>
      <c r="F4569" s="2"/>
      <c r="G4569" s="2"/>
      <c r="H4569" s="2"/>
      <c r="I4569" s="2"/>
      <c r="J4569" s="2"/>
      <c r="K4569" s="2"/>
    </row>
    <row r="4570" spans="4:11" x14ac:dyDescent="0.2">
      <c r="D4570" s="2"/>
      <c r="E4570" s="2"/>
      <c r="F4570" s="2"/>
      <c r="G4570" s="2"/>
      <c r="H4570" s="2"/>
      <c r="I4570" s="2"/>
      <c r="J4570" s="2"/>
      <c r="K4570" s="2"/>
    </row>
    <row r="4571" spans="4:11" x14ac:dyDescent="0.2">
      <c r="D4571" s="2"/>
      <c r="E4571" s="2"/>
      <c r="F4571" s="2"/>
      <c r="G4571" s="2"/>
      <c r="H4571" s="2"/>
      <c r="I4571" s="2"/>
      <c r="J4571" s="2"/>
      <c r="K4571" s="2"/>
    </row>
    <row r="4572" spans="4:11" x14ac:dyDescent="0.2">
      <c r="D4572" s="2"/>
      <c r="E4572" s="2"/>
      <c r="F4572" s="2"/>
      <c r="G4572" s="2"/>
      <c r="H4572" s="2"/>
      <c r="I4572" s="2"/>
      <c r="J4572" s="2"/>
      <c r="K4572" s="2"/>
    </row>
    <row r="4573" spans="4:11" x14ac:dyDescent="0.2">
      <c r="D4573" s="2"/>
      <c r="E4573" s="2"/>
      <c r="F4573" s="2"/>
      <c r="G4573" s="2"/>
      <c r="H4573" s="2"/>
      <c r="I4573" s="2"/>
      <c r="J4573" s="2"/>
      <c r="K4573" s="2"/>
    </row>
    <row r="4574" spans="4:11" x14ac:dyDescent="0.2">
      <c r="D4574" s="2"/>
      <c r="E4574" s="2"/>
      <c r="F4574" s="2"/>
      <c r="G4574" s="2"/>
      <c r="H4574" s="2"/>
      <c r="I4574" s="2"/>
      <c r="J4574" s="2"/>
      <c r="K4574" s="2"/>
    </row>
    <row r="4575" spans="4:11" x14ac:dyDescent="0.2">
      <c r="D4575" s="2"/>
      <c r="E4575" s="2"/>
      <c r="F4575" s="2"/>
      <c r="G4575" s="2"/>
      <c r="H4575" s="2"/>
      <c r="I4575" s="2"/>
      <c r="J4575" s="2"/>
      <c r="K4575" s="2"/>
    </row>
    <row r="4576" spans="4:11" x14ac:dyDescent="0.2">
      <c r="D4576" s="2"/>
      <c r="E4576" s="2"/>
      <c r="F4576" s="2"/>
      <c r="G4576" s="2"/>
      <c r="H4576" s="2"/>
      <c r="I4576" s="2"/>
      <c r="J4576" s="2"/>
      <c r="K4576" s="2"/>
    </row>
    <row r="4577" spans="4:11" x14ac:dyDescent="0.2">
      <c r="D4577" s="2"/>
      <c r="E4577" s="2"/>
      <c r="F4577" s="2"/>
      <c r="G4577" s="2"/>
      <c r="H4577" s="2"/>
      <c r="I4577" s="2"/>
      <c r="J4577" s="2"/>
      <c r="K4577" s="2"/>
    </row>
    <row r="4578" spans="4:11" x14ac:dyDescent="0.2">
      <c r="D4578" s="2"/>
      <c r="E4578" s="2"/>
      <c r="F4578" s="2"/>
      <c r="G4578" s="2"/>
      <c r="H4578" s="2"/>
      <c r="I4578" s="2"/>
      <c r="J4578" s="2"/>
      <c r="K4578" s="2"/>
    </row>
    <row r="4579" spans="4:11" x14ac:dyDescent="0.2">
      <c r="D4579" s="2"/>
      <c r="E4579" s="2"/>
      <c r="F4579" s="2"/>
      <c r="G4579" s="2"/>
      <c r="H4579" s="2"/>
      <c r="I4579" s="2"/>
      <c r="J4579" s="2"/>
      <c r="K4579" s="2"/>
    </row>
    <row r="4580" spans="4:11" x14ac:dyDescent="0.2">
      <c r="D4580" s="2"/>
      <c r="E4580" s="2"/>
      <c r="F4580" s="2"/>
      <c r="G4580" s="2"/>
      <c r="H4580" s="2"/>
      <c r="I4580" s="2"/>
      <c r="J4580" s="2"/>
      <c r="K4580" s="2"/>
    </row>
    <row r="4581" spans="4:11" x14ac:dyDescent="0.2">
      <c r="D4581" s="2"/>
      <c r="E4581" s="2"/>
      <c r="F4581" s="2"/>
      <c r="G4581" s="2"/>
      <c r="H4581" s="2"/>
      <c r="I4581" s="2"/>
      <c r="J4581" s="2"/>
      <c r="K4581" s="2"/>
    </row>
    <row r="4582" spans="4:11" x14ac:dyDescent="0.2">
      <c r="D4582" s="2"/>
      <c r="E4582" s="2"/>
      <c r="F4582" s="2"/>
      <c r="G4582" s="2"/>
      <c r="H4582" s="2"/>
      <c r="I4582" s="2"/>
      <c r="J4582" s="2"/>
      <c r="K4582" s="2"/>
    </row>
    <row r="4583" spans="4:11" x14ac:dyDescent="0.2">
      <c r="D4583" s="2"/>
      <c r="E4583" s="2"/>
      <c r="F4583" s="2"/>
      <c r="G4583" s="2"/>
      <c r="H4583" s="2"/>
      <c r="I4583" s="2"/>
      <c r="J4583" s="2"/>
      <c r="K4583" s="2"/>
    </row>
    <row r="4584" spans="4:11" x14ac:dyDescent="0.2">
      <c r="D4584" s="2"/>
      <c r="E4584" s="2"/>
      <c r="F4584" s="2"/>
      <c r="G4584" s="2"/>
      <c r="H4584" s="2"/>
      <c r="I4584" s="2"/>
      <c r="J4584" s="2"/>
      <c r="K4584" s="2"/>
    </row>
    <row r="4585" spans="4:11" x14ac:dyDescent="0.2">
      <c r="D4585" s="2"/>
      <c r="E4585" s="2"/>
      <c r="F4585" s="2"/>
      <c r="G4585" s="2"/>
      <c r="H4585" s="2"/>
      <c r="I4585" s="2"/>
      <c r="J4585" s="2"/>
      <c r="K4585" s="2"/>
    </row>
    <row r="4586" spans="4:11" x14ac:dyDescent="0.2">
      <c r="D4586" s="2"/>
      <c r="E4586" s="2"/>
      <c r="F4586" s="2"/>
      <c r="G4586" s="2"/>
      <c r="H4586" s="2"/>
      <c r="I4586" s="2"/>
      <c r="J4586" s="2"/>
      <c r="K4586" s="2"/>
    </row>
    <row r="4587" spans="4:11" x14ac:dyDescent="0.2">
      <c r="D4587" s="2"/>
      <c r="E4587" s="2"/>
      <c r="F4587" s="2"/>
      <c r="G4587" s="2"/>
      <c r="H4587" s="2"/>
      <c r="I4587" s="2"/>
      <c r="J4587" s="2"/>
      <c r="K4587" s="2"/>
    </row>
    <row r="4588" spans="4:11" x14ac:dyDescent="0.2">
      <c r="D4588" s="2"/>
      <c r="E4588" s="2"/>
      <c r="F4588" s="2"/>
      <c r="G4588" s="2"/>
      <c r="H4588" s="2"/>
      <c r="I4588" s="2"/>
      <c r="J4588" s="2"/>
      <c r="K4588" s="2"/>
    </row>
    <row r="4589" spans="4:11" x14ac:dyDescent="0.2">
      <c r="D4589" s="2"/>
      <c r="E4589" s="2"/>
      <c r="F4589" s="2"/>
      <c r="G4589" s="2"/>
      <c r="H4589" s="2"/>
      <c r="I4589" s="2"/>
      <c r="J4589" s="2"/>
      <c r="K4589" s="2"/>
    </row>
    <row r="4590" spans="4:11" x14ac:dyDescent="0.2">
      <c r="D4590" s="2"/>
      <c r="E4590" s="2"/>
      <c r="F4590" s="2"/>
      <c r="G4590" s="2"/>
      <c r="H4590" s="2"/>
      <c r="I4590" s="2"/>
      <c r="J4590" s="2"/>
      <c r="K4590" s="2"/>
    </row>
    <row r="4591" spans="4:11" x14ac:dyDescent="0.2">
      <c r="D4591" s="2"/>
      <c r="E4591" s="2"/>
      <c r="F4591" s="2"/>
      <c r="G4591" s="2"/>
      <c r="H4591" s="2"/>
      <c r="I4591" s="2"/>
      <c r="J4591" s="2"/>
      <c r="K4591" s="2"/>
    </row>
    <row r="4592" spans="4:11" x14ac:dyDescent="0.2">
      <c r="D4592" s="2"/>
      <c r="E4592" s="2"/>
      <c r="F4592" s="2"/>
      <c r="G4592" s="2"/>
      <c r="H4592" s="2"/>
      <c r="I4592" s="2"/>
      <c r="J4592" s="2"/>
      <c r="K4592" s="2"/>
    </row>
    <row r="4593" spans="4:11" x14ac:dyDescent="0.2">
      <c r="D4593" s="2"/>
      <c r="E4593" s="2"/>
      <c r="F4593" s="2"/>
      <c r="G4593" s="2"/>
      <c r="H4593" s="2"/>
      <c r="I4593" s="2"/>
      <c r="J4593" s="2"/>
      <c r="K4593" s="2"/>
    </row>
    <row r="4594" spans="4:11" x14ac:dyDescent="0.2">
      <c r="D4594" s="2"/>
      <c r="E4594" s="2"/>
      <c r="F4594" s="2"/>
      <c r="G4594" s="2"/>
      <c r="H4594" s="2"/>
      <c r="I4594" s="2"/>
      <c r="J4594" s="2"/>
      <c r="K4594" s="2"/>
    </row>
    <row r="4595" spans="4:11" x14ac:dyDescent="0.2">
      <c r="D4595" s="2"/>
      <c r="E4595" s="2"/>
      <c r="F4595" s="2"/>
      <c r="G4595" s="2"/>
      <c r="H4595" s="2"/>
      <c r="I4595" s="2"/>
      <c r="J4595" s="2"/>
      <c r="K4595" s="2"/>
    </row>
    <row r="4596" spans="4:11" x14ac:dyDescent="0.2">
      <c r="D4596" s="2"/>
      <c r="E4596" s="2"/>
      <c r="F4596" s="2"/>
      <c r="G4596" s="2"/>
      <c r="H4596" s="2"/>
      <c r="I4596" s="2"/>
      <c r="J4596" s="2"/>
      <c r="K4596" s="2"/>
    </row>
    <row r="4597" spans="4:11" x14ac:dyDescent="0.2">
      <c r="D4597" s="2"/>
      <c r="E4597" s="2"/>
      <c r="F4597" s="2"/>
      <c r="G4597" s="2"/>
      <c r="H4597" s="2"/>
      <c r="I4597" s="2"/>
      <c r="J4597" s="2"/>
      <c r="K4597" s="2"/>
    </row>
    <row r="4598" spans="4:11" x14ac:dyDescent="0.2">
      <c r="D4598" s="2"/>
      <c r="E4598" s="2"/>
      <c r="F4598" s="2"/>
      <c r="G4598" s="2"/>
      <c r="H4598" s="2"/>
      <c r="I4598" s="2"/>
      <c r="J4598" s="2"/>
      <c r="K4598" s="2"/>
    </row>
    <row r="4599" spans="4:11" x14ac:dyDescent="0.2">
      <c r="D4599" s="2"/>
      <c r="E4599" s="2"/>
      <c r="F4599" s="2"/>
      <c r="G4599" s="2"/>
      <c r="H4599" s="2"/>
      <c r="I4599" s="2"/>
      <c r="J4599" s="2"/>
      <c r="K4599" s="2"/>
    </row>
    <row r="4600" spans="4:11" x14ac:dyDescent="0.2">
      <c r="D4600" s="2"/>
      <c r="E4600" s="2"/>
      <c r="F4600" s="2"/>
      <c r="G4600" s="2"/>
      <c r="H4600" s="2"/>
      <c r="I4600" s="2"/>
      <c r="J4600" s="2"/>
      <c r="K4600" s="2"/>
    </row>
    <row r="4601" spans="4:11" x14ac:dyDescent="0.2">
      <c r="D4601" s="2"/>
      <c r="E4601" s="2"/>
      <c r="F4601" s="2"/>
      <c r="G4601" s="2"/>
      <c r="H4601" s="2"/>
      <c r="I4601" s="2"/>
      <c r="J4601" s="2"/>
      <c r="K4601" s="2"/>
    </row>
    <row r="4602" spans="4:11" x14ac:dyDescent="0.2">
      <c r="D4602" s="2"/>
      <c r="E4602" s="2"/>
      <c r="F4602" s="2"/>
      <c r="G4602" s="2"/>
      <c r="H4602" s="2"/>
      <c r="I4602" s="2"/>
      <c r="J4602" s="2"/>
      <c r="K4602" s="2"/>
    </row>
    <row r="4603" spans="4:11" x14ac:dyDescent="0.2">
      <c r="D4603" s="2"/>
      <c r="E4603" s="2"/>
      <c r="F4603" s="2"/>
      <c r="G4603" s="2"/>
      <c r="H4603" s="2"/>
      <c r="I4603" s="2"/>
      <c r="J4603" s="2"/>
      <c r="K4603" s="2"/>
    </row>
    <row r="4604" spans="4:11" x14ac:dyDescent="0.2">
      <c r="D4604" s="2"/>
      <c r="E4604" s="2"/>
      <c r="F4604" s="2"/>
      <c r="G4604" s="2"/>
      <c r="H4604" s="2"/>
      <c r="I4604" s="2"/>
      <c r="J4604" s="2"/>
      <c r="K4604" s="2"/>
    </row>
    <row r="4605" spans="4:11" x14ac:dyDescent="0.2">
      <c r="D4605" s="2"/>
      <c r="E4605" s="2"/>
      <c r="F4605" s="2"/>
      <c r="G4605" s="2"/>
      <c r="H4605" s="2"/>
      <c r="I4605" s="2"/>
      <c r="J4605" s="2"/>
      <c r="K4605" s="2"/>
    </row>
    <row r="4606" spans="4:11" x14ac:dyDescent="0.2">
      <c r="D4606" s="2"/>
      <c r="E4606" s="2"/>
      <c r="F4606" s="2"/>
      <c r="G4606" s="2"/>
      <c r="H4606" s="2"/>
      <c r="I4606" s="2"/>
      <c r="J4606" s="2"/>
      <c r="K4606" s="2"/>
    </row>
    <row r="4607" spans="4:11" x14ac:dyDescent="0.2">
      <c r="D4607" s="2"/>
      <c r="E4607" s="2"/>
      <c r="F4607" s="2"/>
      <c r="G4607" s="2"/>
      <c r="H4607" s="2"/>
      <c r="I4607" s="2"/>
      <c r="J4607" s="2"/>
      <c r="K4607" s="2"/>
    </row>
    <row r="4608" spans="4:11" x14ac:dyDescent="0.2">
      <c r="D4608" s="2"/>
      <c r="E4608" s="2"/>
      <c r="F4608" s="2"/>
      <c r="G4608" s="2"/>
      <c r="H4608" s="2"/>
      <c r="I4608" s="2"/>
      <c r="J4608" s="2"/>
      <c r="K4608" s="2"/>
    </row>
    <row r="4609" spans="4:11" x14ac:dyDescent="0.2">
      <c r="D4609" s="2"/>
      <c r="E4609" s="2"/>
      <c r="F4609" s="2"/>
      <c r="G4609" s="2"/>
      <c r="H4609" s="2"/>
      <c r="I4609" s="2"/>
      <c r="J4609" s="2"/>
      <c r="K4609" s="2"/>
    </row>
    <row r="4610" spans="4:11" x14ac:dyDescent="0.2">
      <c r="D4610" s="2"/>
      <c r="E4610" s="2"/>
      <c r="F4610" s="2"/>
      <c r="G4610" s="2"/>
      <c r="H4610" s="2"/>
      <c r="I4610" s="2"/>
      <c r="J4610" s="2"/>
      <c r="K4610" s="2"/>
    </row>
    <row r="4611" spans="4:11" x14ac:dyDescent="0.2">
      <c r="D4611" s="2"/>
      <c r="E4611" s="2"/>
      <c r="F4611" s="2"/>
      <c r="G4611" s="2"/>
      <c r="H4611" s="2"/>
      <c r="I4611" s="2"/>
      <c r="J4611" s="2"/>
      <c r="K4611" s="2"/>
    </row>
    <row r="4612" spans="4:11" x14ac:dyDescent="0.2">
      <c r="D4612" s="2"/>
      <c r="E4612" s="2"/>
      <c r="F4612" s="2"/>
      <c r="G4612" s="2"/>
      <c r="H4612" s="2"/>
      <c r="I4612" s="2"/>
      <c r="J4612" s="2"/>
      <c r="K4612" s="2"/>
    </row>
    <row r="4613" spans="4:11" x14ac:dyDescent="0.2">
      <c r="D4613" s="2"/>
      <c r="E4613" s="2"/>
      <c r="F4613" s="2"/>
      <c r="G4613" s="2"/>
      <c r="H4613" s="2"/>
      <c r="I4613" s="2"/>
      <c r="J4613" s="2"/>
      <c r="K4613" s="2"/>
    </row>
    <row r="4614" spans="4:11" x14ac:dyDescent="0.2">
      <c r="D4614" s="2"/>
      <c r="E4614" s="2"/>
      <c r="F4614" s="2"/>
      <c r="G4614" s="2"/>
      <c r="H4614" s="2"/>
      <c r="I4614" s="2"/>
      <c r="J4614" s="2"/>
      <c r="K4614" s="2"/>
    </row>
    <row r="4615" spans="4:11" x14ac:dyDescent="0.2">
      <c r="D4615" s="2"/>
      <c r="E4615" s="2"/>
      <c r="F4615" s="2"/>
      <c r="G4615" s="2"/>
      <c r="H4615" s="2"/>
      <c r="I4615" s="2"/>
      <c r="J4615" s="2"/>
      <c r="K4615" s="2"/>
    </row>
    <row r="4616" spans="4:11" x14ac:dyDescent="0.2">
      <c r="D4616" s="2"/>
      <c r="E4616" s="2"/>
      <c r="F4616" s="2"/>
      <c r="G4616" s="2"/>
      <c r="H4616" s="2"/>
      <c r="I4616" s="2"/>
      <c r="J4616" s="2"/>
      <c r="K4616" s="2"/>
    </row>
    <row r="4617" spans="4:11" x14ac:dyDescent="0.2">
      <c r="D4617" s="2"/>
      <c r="E4617" s="2"/>
      <c r="F4617" s="2"/>
      <c r="G4617" s="2"/>
      <c r="H4617" s="2"/>
      <c r="I4617" s="2"/>
      <c r="J4617" s="2"/>
      <c r="K4617" s="2"/>
    </row>
    <row r="4618" spans="4:11" x14ac:dyDescent="0.2">
      <c r="D4618" s="2"/>
      <c r="E4618" s="2"/>
      <c r="F4618" s="2"/>
      <c r="G4618" s="2"/>
      <c r="H4618" s="2"/>
      <c r="I4618" s="2"/>
      <c r="J4618" s="2"/>
      <c r="K4618" s="2"/>
    </row>
    <row r="4619" spans="4:11" x14ac:dyDescent="0.2">
      <c r="D4619" s="2"/>
      <c r="E4619" s="2"/>
      <c r="F4619" s="2"/>
      <c r="G4619" s="2"/>
      <c r="H4619" s="2"/>
      <c r="I4619" s="2"/>
      <c r="J4619" s="2"/>
      <c r="K4619" s="2"/>
    </row>
    <row r="4620" spans="4:11" x14ac:dyDescent="0.2">
      <c r="D4620" s="2"/>
      <c r="E4620" s="2"/>
      <c r="F4620" s="2"/>
      <c r="G4620" s="2"/>
      <c r="H4620" s="2"/>
      <c r="I4620" s="2"/>
      <c r="J4620" s="2"/>
      <c r="K4620" s="2"/>
    </row>
    <row r="4621" spans="4:11" x14ac:dyDescent="0.2">
      <c r="D4621" s="2"/>
      <c r="E4621" s="2"/>
      <c r="F4621" s="2"/>
      <c r="G4621" s="2"/>
      <c r="H4621" s="2"/>
      <c r="I4621" s="2"/>
      <c r="J4621" s="2"/>
      <c r="K4621" s="2"/>
    </row>
    <row r="4622" spans="4:11" x14ac:dyDescent="0.2">
      <c r="D4622" s="2"/>
      <c r="E4622" s="2"/>
      <c r="F4622" s="2"/>
      <c r="G4622" s="2"/>
      <c r="H4622" s="2"/>
      <c r="I4622" s="2"/>
      <c r="J4622" s="2"/>
      <c r="K4622" s="2"/>
    </row>
    <row r="4623" spans="4:11" x14ac:dyDescent="0.2">
      <c r="D4623" s="2"/>
      <c r="E4623" s="2"/>
      <c r="F4623" s="2"/>
      <c r="G4623" s="2"/>
      <c r="H4623" s="2"/>
      <c r="I4623" s="2"/>
      <c r="J4623" s="2"/>
      <c r="K4623" s="2"/>
    </row>
    <row r="4624" spans="4:11" x14ac:dyDescent="0.2">
      <c r="D4624" s="2"/>
      <c r="E4624" s="2"/>
      <c r="F4624" s="2"/>
      <c r="G4624" s="2"/>
      <c r="H4624" s="2"/>
      <c r="I4624" s="2"/>
      <c r="J4624" s="2"/>
      <c r="K4624" s="2"/>
    </row>
    <row r="4625" spans="4:11" x14ac:dyDescent="0.2">
      <c r="D4625" s="2"/>
      <c r="E4625" s="2"/>
      <c r="F4625" s="2"/>
      <c r="G4625" s="2"/>
      <c r="H4625" s="2"/>
      <c r="I4625" s="2"/>
      <c r="J4625" s="2"/>
      <c r="K4625" s="2"/>
    </row>
    <row r="4626" spans="4:11" x14ac:dyDescent="0.2">
      <c r="D4626" s="2"/>
      <c r="E4626" s="2"/>
      <c r="F4626" s="2"/>
      <c r="G4626" s="2"/>
      <c r="H4626" s="2"/>
      <c r="I4626" s="2"/>
      <c r="J4626" s="2"/>
      <c r="K4626" s="2"/>
    </row>
    <row r="4627" spans="4:11" x14ac:dyDescent="0.2">
      <c r="D4627" s="2"/>
      <c r="E4627" s="2"/>
      <c r="F4627" s="2"/>
      <c r="G4627" s="2"/>
      <c r="H4627" s="2"/>
      <c r="I4627" s="2"/>
      <c r="J4627" s="2"/>
      <c r="K4627" s="2"/>
    </row>
    <row r="4628" spans="4:11" x14ac:dyDescent="0.2">
      <c r="D4628" s="2"/>
      <c r="E4628" s="2"/>
      <c r="F4628" s="2"/>
      <c r="G4628" s="2"/>
      <c r="H4628" s="2"/>
      <c r="I4628" s="2"/>
      <c r="J4628" s="2"/>
      <c r="K4628" s="2"/>
    </row>
    <row r="4629" spans="4:11" x14ac:dyDescent="0.2">
      <c r="D4629" s="2"/>
      <c r="E4629" s="2"/>
      <c r="F4629" s="2"/>
      <c r="G4629" s="2"/>
      <c r="H4629" s="2"/>
      <c r="I4629" s="2"/>
      <c r="J4629" s="2"/>
      <c r="K4629" s="2"/>
    </row>
    <row r="4630" spans="4:11" x14ac:dyDescent="0.2">
      <c r="D4630" s="2"/>
      <c r="E4630" s="2"/>
      <c r="F4630" s="2"/>
      <c r="G4630" s="2"/>
      <c r="H4630" s="2"/>
      <c r="I4630" s="2"/>
      <c r="J4630" s="2"/>
      <c r="K4630" s="2"/>
    </row>
    <row r="4631" spans="4:11" x14ac:dyDescent="0.2">
      <c r="D4631" s="2"/>
      <c r="E4631" s="2"/>
      <c r="F4631" s="2"/>
      <c r="G4631" s="2"/>
      <c r="H4631" s="2"/>
      <c r="I4631" s="2"/>
      <c r="J4631" s="2"/>
      <c r="K4631" s="2"/>
    </row>
    <row r="4632" spans="4:11" x14ac:dyDescent="0.2">
      <c r="D4632" s="2"/>
      <c r="E4632" s="2"/>
      <c r="F4632" s="2"/>
      <c r="G4632" s="2"/>
      <c r="H4632" s="2"/>
      <c r="I4632" s="2"/>
      <c r="J4632" s="2"/>
      <c r="K4632" s="2"/>
    </row>
    <row r="4633" spans="4:11" x14ac:dyDescent="0.2">
      <c r="D4633" s="2"/>
      <c r="E4633" s="2"/>
      <c r="F4633" s="2"/>
      <c r="G4633" s="2"/>
      <c r="H4633" s="2"/>
      <c r="I4633" s="2"/>
      <c r="J4633" s="2"/>
      <c r="K4633" s="2"/>
    </row>
    <row r="4634" spans="4:11" x14ac:dyDescent="0.2">
      <c r="D4634" s="2"/>
      <c r="E4634" s="2"/>
      <c r="F4634" s="2"/>
      <c r="G4634" s="2"/>
      <c r="H4634" s="2"/>
      <c r="I4634" s="2"/>
      <c r="J4634" s="2"/>
      <c r="K4634" s="2"/>
    </row>
    <row r="4635" spans="4:11" x14ac:dyDescent="0.2">
      <c r="D4635" s="2"/>
      <c r="E4635" s="2"/>
      <c r="F4635" s="2"/>
      <c r="G4635" s="2"/>
      <c r="H4635" s="2"/>
      <c r="I4635" s="2"/>
      <c r="J4635" s="2"/>
      <c r="K4635" s="2"/>
    </row>
    <row r="4636" spans="4:11" x14ac:dyDescent="0.2">
      <c r="D4636" s="2"/>
      <c r="E4636" s="2"/>
      <c r="F4636" s="2"/>
      <c r="G4636" s="2"/>
      <c r="H4636" s="2"/>
      <c r="I4636" s="2"/>
      <c r="J4636" s="2"/>
      <c r="K4636" s="2"/>
    </row>
    <row r="4637" spans="4:11" x14ac:dyDescent="0.2">
      <c r="D4637" s="2"/>
      <c r="E4637" s="2"/>
      <c r="F4637" s="2"/>
      <c r="G4637" s="2"/>
      <c r="H4637" s="2"/>
      <c r="I4637" s="2"/>
      <c r="J4637" s="2"/>
      <c r="K4637" s="2"/>
    </row>
    <row r="4638" spans="4:11" x14ac:dyDescent="0.2">
      <c r="D4638" s="2"/>
      <c r="E4638" s="2"/>
      <c r="F4638" s="2"/>
      <c r="G4638" s="2"/>
      <c r="H4638" s="2"/>
      <c r="I4638" s="2"/>
      <c r="J4638" s="2"/>
      <c r="K4638" s="2"/>
    </row>
    <row r="4639" spans="4:11" x14ac:dyDescent="0.2">
      <c r="D4639" s="2"/>
      <c r="E4639" s="2"/>
      <c r="F4639" s="2"/>
      <c r="G4639" s="2"/>
      <c r="H4639" s="2"/>
      <c r="I4639" s="2"/>
      <c r="J4639" s="2"/>
      <c r="K4639" s="2"/>
    </row>
    <row r="4640" spans="4:11" x14ac:dyDescent="0.2">
      <c r="D4640" s="2"/>
      <c r="E4640" s="2"/>
      <c r="F4640" s="2"/>
      <c r="G4640" s="2"/>
      <c r="H4640" s="2"/>
      <c r="I4640" s="2"/>
      <c r="J4640" s="2"/>
      <c r="K4640" s="2"/>
    </row>
    <row r="4641" spans="4:11" x14ac:dyDescent="0.2">
      <c r="D4641" s="2"/>
      <c r="E4641" s="2"/>
      <c r="F4641" s="2"/>
      <c r="G4641" s="2"/>
      <c r="H4641" s="2"/>
      <c r="I4641" s="2"/>
      <c r="J4641" s="2"/>
      <c r="K4641" s="2"/>
    </row>
    <row r="4642" spans="4:11" x14ac:dyDescent="0.2">
      <c r="D4642" s="2"/>
      <c r="E4642" s="2"/>
      <c r="F4642" s="2"/>
      <c r="G4642" s="2"/>
      <c r="H4642" s="2"/>
      <c r="I4642" s="2"/>
      <c r="J4642" s="2"/>
      <c r="K4642" s="2"/>
    </row>
    <row r="4643" spans="4:11" x14ac:dyDescent="0.2">
      <c r="D4643" s="2"/>
      <c r="E4643" s="2"/>
      <c r="F4643" s="2"/>
      <c r="G4643" s="2"/>
      <c r="H4643" s="2"/>
      <c r="I4643" s="2"/>
      <c r="J4643" s="2"/>
      <c r="K4643" s="2"/>
    </row>
    <row r="4644" spans="4:11" x14ac:dyDescent="0.2">
      <c r="D4644" s="2"/>
      <c r="E4644" s="2"/>
      <c r="F4644" s="2"/>
      <c r="G4644" s="2"/>
      <c r="H4644" s="2"/>
      <c r="I4644" s="2"/>
      <c r="J4644" s="2"/>
      <c r="K4644" s="2"/>
    </row>
    <row r="4645" spans="4:11" x14ac:dyDescent="0.2">
      <c r="D4645" s="2"/>
      <c r="E4645" s="2"/>
      <c r="F4645" s="2"/>
      <c r="G4645" s="2"/>
      <c r="H4645" s="2"/>
      <c r="I4645" s="2"/>
      <c r="J4645" s="2"/>
      <c r="K4645" s="2"/>
    </row>
    <row r="4646" spans="4:11" x14ac:dyDescent="0.2">
      <c r="D4646" s="2"/>
      <c r="E4646" s="2"/>
      <c r="F4646" s="2"/>
      <c r="G4646" s="2"/>
      <c r="H4646" s="2"/>
      <c r="I4646" s="2"/>
      <c r="J4646" s="2"/>
      <c r="K4646" s="2"/>
    </row>
    <row r="4647" spans="4:11" x14ac:dyDescent="0.2">
      <c r="D4647" s="2"/>
      <c r="E4647" s="2"/>
      <c r="F4647" s="2"/>
      <c r="G4647" s="2"/>
      <c r="H4647" s="2"/>
      <c r="I4647" s="2"/>
      <c r="J4647" s="2"/>
      <c r="K4647" s="2"/>
    </row>
    <row r="4648" spans="4:11" x14ac:dyDescent="0.2">
      <c r="D4648" s="2"/>
      <c r="E4648" s="2"/>
      <c r="F4648" s="2"/>
      <c r="G4648" s="2"/>
      <c r="H4648" s="2"/>
      <c r="I4648" s="2"/>
      <c r="J4648" s="2"/>
      <c r="K4648" s="2"/>
    </row>
    <row r="4649" spans="4:11" x14ac:dyDescent="0.2">
      <c r="D4649" s="2"/>
      <c r="E4649" s="2"/>
      <c r="F4649" s="2"/>
      <c r="G4649" s="2"/>
      <c r="H4649" s="2"/>
      <c r="I4649" s="2"/>
      <c r="J4649" s="2"/>
      <c r="K4649" s="2"/>
    </row>
    <row r="4650" spans="4:11" x14ac:dyDescent="0.2">
      <c r="D4650" s="2"/>
      <c r="E4650" s="2"/>
      <c r="F4650" s="2"/>
      <c r="G4650" s="2"/>
      <c r="H4650" s="2"/>
      <c r="I4650" s="2"/>
      <c r="J4650" s="2"/>
      <c r="K4650" s="2"/>
    </row>
    <row r="4651" spans="4:11" x14ac:dyDescent="0.2">
      <c r="D4651" s="2"/>
      <c r="E4651" s="2"/>
      <c r="F4651" s="2"/>
      <c r="G4651" s="2"/>
      <c r="H4651" s="2"/>
      <c r="I4651" s="2"/>
      <c r="J4651" s="2"/>
      <c r="K4651" s="2"/>
    </row>
    <row r="4652" spans="4:11" x14ac:dyDescent="0.2">
      <c r="D4652" s="2"/>
      <c r="E4652" s="2"/>
      <c r="F4652" s="2"/>
      <c r="G4652" s="2"/>
      <c r="H4652" s="2"/>
      <c r="I4652" s="2"/>
      <c r="J4652" s="2"/>
      <c r="K4652" s="2"/>
    </row>
    <row r="4653" spans="4:11" x14ac:dyDescent="0.2">
      <c r="D4653" s="2"/>
      <c r="E4653" s="2"/>
      <c r="F4653" s="2"/>
      <c r="G4653" s="2"/>
      <c r="H4653" s="2"/>
      <c r="I4653" s="2"/>
      <c r="J4653" s="2"/>
      <c r="K4653" s="2"/>
    </row>
    <row r="4654" spans="4:11" x14ac:dyDescent="0.2">
      <c r="D4654" s="2"/>
      <c r="E4654" s="2"/>
      <c r="F4654" s="2"/>
      <c r="G4654" s="2"/>
      <c r="H4654" s="2"/>
      <c r="I4654" s="2"/>
      <c r="J4654" s="2"/>
      <c r="K4654" s="2"/>
    </row>
    <row r="4655" spans="4:11" x14ac:dyDescent="0.2">
      <c r="D4655" s="2"/>
      <c r="E4655" s="2"/>
      <c r="F4655" s="2"/>
      <c r="G4655" s="2"/>
      <c r="H4655" s="2"/>
      <c r="I4655" s="2"/>
      <c r="J4655" s="2"/>
      <c r="K4655" s="2"/>
    </row>
    <row r="4656" spans="4:11" x14ac:dyDescent="0.2">
      <c r="D4656" s="2"/>
      <c r="E4656" s="2"/>
      <c r="F4656" s="2"/>
      <c r="G4656" s="2"/>
      <c r="H4656" s="2"/>
      <c r="I4656" s="2"/>
      <c r="J4656" s="2"/>
      <c r="K4656" s="2"/>
    </row>
    <row r="4657" spans="4:11" x14ac:dyDescent="0.2">
      <c r="D4657" s="2"/>
      <c r="E4657" s="2"/>
      <c r="F4657" s="2"/>
      <c r="G4657" s="2"/>
      <c r="H4657" s="2"/>
      <c r="I4657" s="2"/>
      <c r="J4657" s="2"/>
      <c r="K4657" s="2"/>
    </row>
    <row r="4658" spans="4:11" x14ac:dyDescent="0.2">
      <c r="D4658" s="2"/>
      <c r="E4658" s="2"/>
      <c r="F4658" s="2"/>
      <c r="G4658" s="2"/>
      <c r="H4658" s="2"/>
      <c r="I4658" s="2"/>
      <c r="J4658" s="2"/>
      <c r="K4658" s="2"/>
    </row>
    <row r="4659" spans="4:11" x14ac:dyDescent="0.2">
      <c r="D4659" s="2"/>
      <c r="E4659" s="2"/>
      <c r="F4659" s="2"/>
      <c r="G4659" s="2"/>
      <c r="H4659" s="2"/>
      <c r="I4659" s="2"/>
      <c r="J4659" s="2"/>
      <c r="K4659" s="2"/>
    </row>
    <row r="4660" spans="4:11" x14ac:dyDescent="0.2">
      <c r="D4660" s="2"/>
      <c r="E4660" s="2"/>
      <c r="F4660" s="2"/>
      <c r="G4660" s="2"/>
      <c r="H4660" s="2"/>
      <c r="I4660" s="2"/>
      <c r="J4660" s="2"/>
      <c r="K4660" s="2"/>
    </row>
    <row r="4661" spans="4:11" x14ac:dyDescent="0.2">
      <c r="D4661" s="2"/>
      <c r="E4661" s="2"/>
      <c r="F4661" s="2"/>
      <c r="G4661" s="2"/>
      <c r="H4661" s="2"/>
      <c r="I4661" s="2"/>
      <c r="J4661" s="2"/>
      <c r="K4661" s="2"/>
    </row>
    <row r="4662" spans="4:11" x14ac:dyDescent="0.2">
      <c r="D4662" s="2"/>
      <c r="E4662" s="2"/>
      <c r="F4662" s="2"/>
      <c r="G4662" s="2"/>
      <c r="H4662" s="2"/>
      <c r="I4662" s="2"/>
      <c r="J4662" s="2"/>
      <c r="K4662" s="2"/>
    </row>
    <row r="4663" spans="4:11" x14ac:dyDescent="0.2">
      <c r="D4663" s="2"/>
      <c r="E4663" s="2"/>
      <c r="F4663" s="2"/>
      <c r="G4663" s="2"/>
      <c r="H4663" s="2"/>
      <c r="I4663" s="2"/>
      <c r="J4663" s="2"/>
      <c r="K4663" s="2"/>
    </row>
    <row r="4664" spans="4:11" x14ac:dyDescent="0.2">
      <c r="D4664" s="2"/>
      <c r="E4664" s="2"/>
      <c r="F4664" s="2"/>
      <c r="G4664" s="2"/>
      <c r="H4664" s="2"/>
      <c r="I4664" s="2"/>
      <c r="J4664" s="2"/>
      <c r="K4664" s="2"/>
    </row>
    <row r="4665" spans="4:11" x14ac:dyDescent="0.2">
      <c r="D4665" s="2"/>
      <c r="E4665" s="2"/>
      <c r="F4665" s="2"/>
      <c r="G4665" s="2"/>
      <c r="H4665" s="2"/>
      <c r="I4665" s="2"/>
      <c r="J4665" s="2"/>
      <c r="K4665" s="2"/>
    </row>
    <row r="4666" spans="4:11" x14ac:dyDescent="0.2">
      <c r="D4666" s="2"/>
      <c r="E4666" s="2"/>
      <c r="F4666" s="2"/>
      <c r="G4666" s="2"/>
      <c r="H4666" s="2"/>
      <c r="I4666" s="2"/>
      <c r="J4666" s="2"/>
      <c r="K4666" s="2"/>
    </row>
    <row r="4667" spans="4:11" x14ac:dyDescent="0.2">
      <c r="D4667" s="2"/>
      <c r="E4667" s="2"/>
      <c r="F4667" s="2"/>
      <c r="G4667" s="2"/>
      <c r="H4667" s="2"/>
      <c r="I4667" s="2"/>
      <c r="J4667" s="2"/>
      <c r="K4667" s="2"/>
    </row>
    <row r="4668" spans="4:11" x14ac:dyDescent="0.2">
      <c r="D4668" s="2"/>
      <c r="E4668" s="2"/>
      <c r="F4668" s="2"/>
      <c r="G4668" s="2"/>
      <c r="H4668" s="2"/>
      <c r="I4668" s="2"/>
      <c r="J4668" s="2"/>
      <c r="K4668" s="2"/>
    </row>
    <row r="4669" spans="4:11" x14ac:dyDescent="0.2">
      <c r="D4669" s="2"/>
      <c r="E4669" s="2"/>
      <c r="F4669" s="2"/>
      <c r="G4669" s="2"/>
      <c r="H4669" s="2"/>
      <c r="I4669" s="2"/>
      <c r="J4669" s="2"/>
      <c r="K4669" s="2"/>
    </row>
    <row r="4670" spans="4:11" x14ac:dyDescent="0.2">
      <c r="D4670" s="2"/>
      <c r="E4670" s="2"/>
      <c r="F4670" s="2"/>
      <c r="G4670" s="2"/>
      <c r="H4670" s="2"/>
      <c r="I4670" s="2"/>
      <c r="J4670" s="2"/>
      <c r="K4670" s="2"/>
    </row>
    <row r="4671" spans="4:11" x14ac:dyDescent="0.2">
      <c r="D4671" s="2"/>
      <c r="E4671" s="2"/>
      <c r="F4671" s="2"/>
      <c r="G4671" s="2"/>
      <c r="H4671" s="2"/>
      <c r="I4671" s="2"/>
      <c r="J4671" s="2"/>
      <c r="K4671" s="2"/>
    </row>
    <row r="4672" spans="4:11" x14ac:dyDescent="0.2">
      <c r="D4672" s="2"/>
      <c r="E4672" s="2"/>
      <c r="F4672" s="2"/>
      <c r="G4672" s="2"/>
      <c r="H4672" s="2"/>
      <c r="I4672" s="2"/>
      <c r="J4672" s="2"/>
      <c r="K4672" s="2"/>
    </row>
    <row r="4673" spans="4:11" x14ac:dyDescent="0.2">
      <c r="D4673" s="2"/>
      <c r="E4673" s="2"/>
      <c r="F4673" s="2"/>
      <c r="G4673" s="2"/>
      <c r="H4673" s="2"/>
      <c r="I4673" s="2"/>
      <c r="J4673" s="2"/>
      <c r="K4673" s="2"/>
    </row>
    <row r="4674" spans="4:11" x14ac:dyDescent="0.2">
      <c r="D4674" s="2"/>
      <c r="E4674" s="2"/>
      <c r="F4674" s="2"/>
      <c r="G4674" s="2"/>
      <c r="H4674" s="2"/>
      <c r="I4674" s="2"/>
      <c r="J4674" s="2"/>
      <c r="K4674" s="2"/>
    </row>
    <row r="4675" spans="4:11" x14ac:dyDescent="0.2">
      <c r="D4675" s="2"/>
      <c r="E4675" s="2"/>
      <c r="F4675" s="2"/>
      <c r="G4675" s="2"/>
      <c r="H4675" s="2"/>
      <c r="I4675" s="2"/>
      <c r="J4675" s="2"/>
      <c r="K4675" s="2"/>
    </row>
    <row r="4676" spans="4:11" x14ac:dyDescent="0.2">
      <c r="D4676" s="2"/>
      <c r="E4676" s="2"/>
      <c r="F4676" s="2"/>
      <c r="G4676" s="2"/>
      <c r="H4676" s="2"/>
      <c r="I4676" s="2"/>
      <c r="J4676" s="2"/>
      <c r="K4676" s="2"/>
    </row>
    <row r="4677" spans="4:11" x14ac:dyDescent="0.2">
      <c r="D4677" s="2"/>
      <c r="E4677" s="2"/>
      <c r="F4677" s="2"/>
      <c r="G4677" s="2"/>
      <c r="H4677" s="2"/>
      <c r="I4677" s="2"/>
      <c r="J4677" s="2"/>
      <c r="K4677" s="2"/>
    </row>
    <row r="4678" spans="4:11" x14ac:dyDescent="0.2">
      <c r="D4678" s="2"/>
      <c r="E4678" s="2"/>
      <c r="F4678" s="2"/>
      <c r="G4678" s="2"/>
      <c r="H4678" s="2"/>
      <c r="I4678" s="2"/>
      <c r="J4678" s="2"/>
      <c r="K4678" s="2"/>
    </row>
    <row r="4679" spans="4:11" x14ac:dyDescent="0.2">
      <c r="D4679" s="2"/>
      <c r="E4679" s="2"/>
      <c r="F4679" s="2"/>
      <c r="G4679" s="2"/>
      <c r="H4679" s="2"/>
      <c r="I4679" s="2"/>
      <c r="J4679" s="2"/>
      <c r="K4679" s="2"/>
    </row>
    <row r="4680" spans="4:11" x14ac:dyDescent="0.2">
      <c r="D4680" s="2"/>
      <c r="E4680" s="2"/>
      <c r="F4680" s="2"/>
      <c r="G4680" s="2"/>
      <c r="H4680" s="2"/>
      <c r="I4680" s="2"/>
      <c r="J4680" s="2"/>
      <c r="K4680" s="2"/>
    </row>
    <row r="4681" spans="4:11" x14ac:dyDescent="0.2">
      <c r="D4681" s="2"/>
      <c r="E4681" s="2"/>
      <c r="F4681" s="2"/>
      <c r="G4681" s="2"/>
      <c r="H4681" s="2"/>
      <c r="I4681" s="2"/>
      <c r="J4681" s="2"/>
      <c r="K4681" s="2"/>
    </row>
    <row r="4682" spans="4:11" x14ac:dyDescent="0.2">
      <c r="D4682" s="2"/>
      <c r="E4682" s="2"/>
      <c r="F4682" s="2"/>
      <c r="G4682" s="2"/>
      <c r="H4682" s="2"/>
      <c r="I4682" s="2"/>
      <c r="J4682" s="2"/>
      <c r="K4682" s="2"/>
    </row>
    <row r="4683" spans="4:11" x14ac:dyDescent="0.2">
      <c r="D4683" s="2"/>
      <c r="E4683" s="2"/>
      <c r="F4683" s="2"/>
      <c r="G4683" s="2"/>
      <c r="H4683" s="2"/>
      <c r="I4683" s="2"/>
      <c r="J4683" s="2"/>
      <c r="K4683" s="2"/>
    </row>
    <row r="4684" spans="4:11" x14ac:dyDescent="0.2">
      <c r="D4684" s="2"/>
      <c r="E4684" s="2"/>
      <c r="F4684" s="2"/>
      <c r="G4684" s="2"/>
      <c r="H4684" s="2"/>
      <c r="I4684" s="2"/>
      <c r="J4684" s="2"/>
      <c r="K4684" s="2"/>
    </row>
    <row r="4685" spans="4:11" x14ac:dyDescent="0.2">
      <c r="D4685" s="2"/>
      <c r="E4685" s="2"/>
      <c r="F4685" s="2"/>
      <c r="G4685" s="2"/>
      <c r="H4685" s="2"/>
      <c r="I4685" s="2"/>
      <c r="J4685" s="2"/>
      <c r="K4685" s="2"/>
    </row>
    <row r="4686" spans="4:11" x14ac:dyDescent="0.2">
      <c r="D4686" s="2"/>
      <c r="E4686" s="2"/>
      <c r="F4686" s="2"/>
      <c r="G4686" s="2"/>
      <c r="H4686" s="2"/>
      <c r="I4686" s="2"/>
      <c r="J4686" s="2"/>
      <c r="K4686" s="2"/>
    </row>
    <row r="4687" spans="4:11" x14ac:dyDescent="0.2">
      <c r="D4687" s="2"/>
      <c r="E4687" s="2"/>
      <c r="F4687" s="2"/>
      <c r="G4687" s="2"/>
      <c r="H4687" s="2"/>
      <c r="I4687" s="2"/>
      <c r="J4687" s="2"/>
      <c r="K4687" s="2"/>
    </row>
    <row r="4688" spans="4:11" x14ac:dyDescent="0.2">
      <c r="D4688" s="2"/>
      <c r="E4688" s="2"/>
      <c r="F4688" s="2"/>
      <c r="G4688" s="2"/>
      <c r="H4688" s="2"/>
      <c r="I4688" s="2"/>
      <c r="J4688" s="2"/>
      <c r="K4688" s="2"/>
    </row>
    <row r="4689" spans="4:11" x14ac:dyDescent="0.2">
      <c r="D4689" s="2"/>
      <c r="E4689" s="2"/>
      <c r="F4689" s="2"/>
      <c r="G4689" s="2"/>
      <c r="H4689" s="2"/>
      <c r="I4689" s="2"/>
      <c r="J4689" s="2"/>
      <c r="K4689" s="2"/>
    </row>
    <row r="4690" spans="4:11" x14ac:dyDescent="0.2">
      <c r="D4690" s="2"/>
      <c r="E4690" s="2"/>
      <c r="F4690" s="2"/>
      <c r="G4690" s="2"/>
      <c r="H4690" s="2"/>
      <c r="I4690" s="2"/>
      <c r="J4690" s="2"/>
      <c r="K4690" s="2"/>
    </row>
    <row r="4691" spans="4:11" x14ac:dyDescent="0.2">
      <c r="D4691" s="2"/>
      <c r="E4691" s="2"/>
      <c r="F4691" s="2"/>
      <c r="G4691" s="2"/>
      <c r="H4691" s="2"/>
      <c r="I4691" s="2"/>
      <c r="J4691" s="2"/>
      <c r="K4691" s="2"/>
    </row>
    <row r="4692" spans="4:11" x14ac:dyDescent="0.2">
      <c r="D4692" s="2"/>
      <c r="E4692" s="2"/>
      <c r="F4692" s="2"/>
      <c r="G4692" s="2"/>
      <c r="H4692" s="2"/>
      <c r="I4692" s="2"/>
      <c r="J4692" s="2"/>
      <c r="K4692" s="2"/>
    </row>
    <row r="4693" spans="4:11" x14ac:dyDescent="0.2">
      <c r="D4693" s="2"/>
      <c r="E4693" s="2"/>
      <c r="F4693" s="2"/>
      <c r="G4693" s="2"/>
      <c r="H4693" s="2"/>
      <c r="I4693" s="2"/>
      <c r="J4693" s="2"/>
      <c r="K4693" s="2"/>
    </row>
    <row r="4694" spans="4:11" x14ac:dyDescent="0.2">
      <c r="D4694" s="2"/>
      <c r="E4694" s="2"/>
      <c r="F4694" s="2"/>
      <c r="G4694" s="2"/>
      <c r="H4694" s="2"/>
      <c r="I4694" s="2"/>
      <c r="J4694" s="2"/>
      <c r="K4694" s="2"/>
    </row>
    <row r="4695" spans="4:11" x14ac:dyDescent="0.2">
      <c r="D4695" s="2"/>
      <c r="E4695" s="2"/>
      <c r="F4695" s="2"/>
      <c r="G4695" s="2"/>
      <c r="H4695" s="2"/>
      <c r="I4695" s="2"/>
      <c r="J4695" s="2"/>
      <c r="K4695" s="2"/>
    </row>
    <row r="4696" spans="4:11" x14ac:dyDescent="0.2">
      <c r="D4696" s="2"/>
      <c r="E4696" s="2"/>
      <c r="F4696" s="2"/>
      <c r="G4696" s="2"/>
      <c r="H4696" s="2"/>
      <c r="I4696" s="2"/>
      <c r="J4696" s="2"/>
      <c r="K4696" s="2"/>
    </row>
    <row r="4697" spans="4:11" x14ac:dyDescent="0.2">
      <c r="D4697" s="2"/>
      <c r="E4697" s="2"/>
      <c r="F4697" s="2"/>
      <c r="G4697" s="2"/>
      <c r="H4697" s="2"/>
      <c r="I4697" s="2"/>
      <c r="J4697" s="2"/>
      <c r="K4697" s="2"/>
    </row>
    <row r="4698" spans="4:11" x14ac:dyDescent="0.2">
      <c r="D4698" s="2"/>
      <c r="E4698" s="2"/>
      <c r="F4698" s="2"/>
      <c r="G4698" s="2"/>
      <c r="H4698" s="2"/>
      <c r="I4698" s="2"/>
      <c r="J4698" s="2"/>
      <c r="K4698" s="2"/>
    </row>
    <row r="4699" spans="4:11" x14ac:dyDescent="0.2">
      <c r="D4699" s="2"/>
      <c r="E4699" s="2"/>
      <c r="F4699" s="2"/>
      <c r="G4699" s="2"/>
      <c r="H4699" s="2"/>
      <c r="I4699" s="2"/>
      <c r="J4699" s="2"/>
      <c r="K4699" s="2"/>
    </row>
    <row r="4700" spans="4:11" x14ac:dyDescent="0.2">
      <c r="D4700" s="2"/>
      <c r="E4700" s="2"/>
      <c r="F4700" s="2"/>
      <c r="G4700" s="2"/>
      <c r="H4700" s="2"/>
      <c r="I4700" s="2"/>
      <c r="J4700" s="2"/>
      <c r="K4700" s="2"/>
    </row>
    <row r="4701" spans="4:11" x14ac:dyDescent="0.2">
      <c r="D4701" s="2"/>
      <c r="E4701" s="2"/>
      <c r="F4701" s="2"/>
      <c r="G4701" s="2"/>
      <c r="H4701" s="2"/>
      <c r="I4701" s="2"/>
      <c r="J4701" s="2"/>
      <c r="K4701" s="2"/>
    </row>
    <row r="4702" spans="4:11" x14ac:dyDescent="0.2">
      <c r="D4702" s="2"/>
      <c r="E4702" s="2"/>
      <c r="F4702" s="2"/>
      <c r="G4702" s="2"/>
      <c r="H4702" s="2"/>
      <c r="I4702" s="2"/>
      <c r="J4702" s="2"/>
      <c r="K4702" s="2"/>
    </row>
    <row r="4703" spans="4:11" x14ac:dyDescent="0.2">
      <c r="D4703" s="2"/>
      <c r="E4703" s="2"/>
      <c r="F4703" s="2"/>
      <c r="G4703" s="2"/>
      <c r="H4703" s="2"/>
      <c r="I4703" s="2"/>
      <c r="J4703" s="2"/>
      <c r="K4703" s="2"/>
    </row>
    <row r="4704" spans="4:11" x14ac:dyDescent="0.2">
      <c r="D4704" s="2"/>
      <c r="E4704" s="2"/>
      <c r="F4704" s="2"/>
      <c r="G4704" s="2"/>
      <c r="H4704" s="2"/>
      <c r="I4704" s="2"/>
      <c r="J4704" s="2"/>
      <c r="K4704" s="2"/>
    </row>
    <row r="4705" spans="4:11" x14ac:dyDescent="0.2">
      <c r="D4705" s="2"/>
      <c r="E4705" s="2"/>
      <c r="F4705" s="2"/>
      <c r="G4705" s="2"/>
      <c r="H4705" s="2"/>
      <c r="I4705" s="2"/>
      <c r="J4705" s="2"/>
      <c r="K4705" s="2"/>
    </row>
    <row r="4706" spans="4:11" x14ac:dyDescent="0.2">
      <c r="D4706" s="2"/>
      <c r="E4706" s="2"/>
      <c r="F4706" s="2"/>
      <c r="G4706" s="2"/>
      <c r="H4706" s="2"/>
      <c r="I4706" s="2"/>
      <c r="J4706" s="2"/>
      <c r="K4706" s="2"/>
    </row>
    <row r="4707" spans="4:11" x14ac:dyDescent="0.2">
      <c r="D4707" s="2"/>
      <c r="E4707" s="2"/>
      <c r="F4707" s="2"/>
      <c r="G4707" s="2"/>
      <c r="H4707" s="2"/>
      <c r="I4707" s="2"/>
      <c r="J4707" s="2"/>
      <c r="K4707" s="2"/>
    </row>
    <row r="4708" spans="4:11" x14ac:dyDescent="0.2">
      <c r="D4708" s="2"/>
      <c r="E4708" s="2"/>
      <c r="F4708" s="2"/>
      <c r="G4708" s="2"/>
      <c r="H4708" s="2"/>
      <c r="I4708" s="2"/>
      <c r="J4708" s="2"/>
      <c r="K4708" s="2"/>
    </row>
    <row r="4709" spans="4:11" x14ac:dyDescent="0.2">
      <c r="D4709" s="2"/>
      <c r="E4709" s="2"/>
      <c r="F4709" s="2"/>
      <c r="G4709" s="2"/>
      <c r="H4709" s="2"/>
      <c r="I4709" s="2"/>
      <c r="J4709" s="2"/>
      <c r="K4709" s="2"/>
    </row>
    <row r="4710" spans="4:11" x14ac:dyDescent="0.2">
      <c r="D4710" s="2"/>
      <c r="E4710" s="2"/>
      <c r="F4710" s="2"/>
      <c r="G4710" s="2"/>
      <c r="H4710" s="2"/>
      <c r="I4710" s="2"/>
      <c r="J4710" s="2"/>
      <c r="K4710" s="2"/>
    </row>
    <row r="4711" spans="4:11" x14ac:dyDescent="0.2">
      <c r="D4711" s="2"/>
      <c r="E4711" s="2"/>
      <c r="F4711" s="2"/>
      <c r="G4711" s="2"/>
      <c r="H4711" s="2"/>
      <c r="I4711" s="2"/>
      <c r="J4711" s="2"/>
      <c r="K4711" s="2"/>
    </row>
    <row r="4712" spans="4:11" x14ac:dyDescent="0.2">
      <c r="D4712" s="2"/>
      <c r="E4712" s="2"/>
      <c r="F4712" s="2"/>
      <c r="G4712" s="2"/>
      <c r="H4712" s="2"/>
      <c r="I4712" s="2"/>
      <c r="J4712" s="2"/>
      <c r="K4712" s="2"/>
    </row>
    <row r="4713" spans="4:11" x14ac:dyDescent="0.2">
      <c r="D4713" s="2"/>
      <c r="E4713" s="2"/>
      <c r="F4713" s="2"/>
      <c r="G4713" s="2"/>
      <c r="H4713" s="2"/>
      <c r="I4713" s="2"/>
      <c r="J4713" s="2"/>
      <c r="K4713" s="2"/>
    </row>
    <row r="4714" spans="4:11" x14ac:dyDescent="0.2">
      <c r="D4714" s="2"/>
      <c r="E4714" s="2"/>
      <c r="F4714" s="2"/>
      <c r="G4714" s="2"/>
      <c r="H4714" s="2"/>
      <c r="I4714" s="2"/>
      <c r="J4714" s="2"/>
      <c r="K4714" s="2"/>
    </row>
    <row r="4715" spans="4:11" x14ac:dyDescent="0.2">
      <c r="D4715" s="2"/>
      <c r="E4715" s="2"/>
      <c r="F4715" s="2"/>
      <c r="G4715" s="2"/>
      <c r="H4715" s="2"/>
      <c r="I4715" s="2"/>
      <c r="J4715" s="2"/>
      <c r="K4715" s="2"/>
    </row>
    <row r="4716" spans="4:11" x14ac:dyDescent="0.2">
      <c r="D4716" s="2"/>
      <c r="E4716" s="2"/>
      <c r="F4716" s="2"/>
      <c r="G4716" s="2"/>
      <c r="H4716" s="2"/>
      <c r="I4716" s="2"/>
      <c r="J4716" s="2"/>
      <c r="K4716" s="2"/>
    </row>
    <row r="4717" spans="4:11" x14ac:dyDescent="0.2">
      <c r="D4717" s="2"/>
      <c r="E4717" s="2"/>
      <c r="F4717" s="2"/>
      <c r="G4717" s="2"/>
      <c r="H4717" s="2"/>
      <c r="I4717" s="2"/>
      <c r="J4717" s="2"/>
      <c r="K4717" s="2"/>
    </row>
    <row r="4718" spans="4:11" x14ac:dyDescent="0.2">
      <c r="D4718" s="2"/>
      <c r="E4718" s="2"/>
      <c r="F4718" s="2"/>
      <c r="G4718" s="2"/>
      <c r="H4718" s="2"/>
      <c r="I4718" s="2"/>
      <c r="J4718" s="2"/>
      <c r="K4718" s="2"/>
    </row>
    <row r="4719" spans="4:11" x14ac:dyDescent="0.2">
      <c r="D4719" s="2"/>
      <c r="E4719" s="2"/>
      <c r="F4719" s="2"/>
      <c r="G4719" s="2"/>
      <c r="H4719" s="2"/>
      <c r="I4719" s="2"/>
      <c r="J4719" s="2"/>
      <c r="K4719" s="2"/>
    </row>
    <row r="4720" spans="4:11" x14ac:dyDescent="0.2">
      <c r="D4720" s="2"/>
      <c r="E4720" s="2"/>
      <c r="F4720" s="2"/>
      <c r="G4720" s="2"/>
      <c r="H4720" s="2"/>
      <c r="I4720" s="2"/>
      <c r="J4720" s="2"/>
      <c r="K4720" s="2"/>
    </row>
    <row r="4721" spans="4:11" x14ac:dyDescent="0.2">
      <c r="D4721" s="2"/>
      <c r="E4721" s="2"/>
      <c r="F4721" s="2"/>
      <c r="G4721" s="2"/>
      <c r="H4721" s="2"/>
      <c r="I4721" s="2"/>
      <c r="J4721" s="2"/>
      <c r="K4721" s="2"/>
    </row>
    <row r="4722" spans="4:11" x14ac:dyDescent="0.2">
      <c r="D4722" s="2"/>
      <c r="E4722" s="2"/>
      <c r="F4722" s="2"/>
      <c r="G4722" s="2"/>
      <c r="H4722" s="2"/>
      <c r="I4722" s="2"/>
      <c r="J4722" s="2"/>
      <c r="K4722" s="2"/>
    </row>
    <row r="4723" spans="4:11" x14ac:dyDescent="0.2">
      <c r="D4723" s="2"/>
      <c r="E4723" s="2"/>
      <c r="F4723" s="2"/>
      <c r="G4723" s="2"/>
      <c r="H4723" s="2"/>
      <c r="I4723" s="2"/>
      <c r="J4723" s="2"/>
      <c r="K4723" s="2"/>
    </row>
    <row r="4724" spans="4:11" x14ac:dyDescent="0.2">
      <c r="D4724" s="2"/>
      <c r="E4724" s="2"/>
      <c r="F4724" s="2"/>
      <c r="G4724" s="2"/>
      <c r="H4724" s="2"/>
      <c r="I4724" s="2"/>
      <c r="J4724" s="2"/>
      <c r="K4724" s="2"/>
    </row>
    <row r="4725" spans="4:11" x14ac:dyDescent="0.2">
      <c r="D4725" s="2"/>
      <c r="E4725" s="2"/>
      <c r="F4725" s="2"/>
      <c r="G4725" s="2"/>
      <c r="H4725" s="2"/>
      <c r="I4725" s="2"/>
      <c r="J4725" s="2"/>
      <c r="K4725" s="2"/>
    </row>
    <row r="4726" spans="4:11" x14ac:dyDescent="0.2">
      <c r="D4726" s="2"/>
      <c r="E4726" s="2"/>
      <c r="F4726" s="2"/>
      <c r="G4726" s="2"/>
      <c r="H4726" s="2"/>
      <c r="I4726" s="2"/>
      <c r="J4726" s="2"/>
      <c r="K4726" s="2"/>
    </row>
    <row r="4727" spans="4:11" x14ac:dyDescent="0.2">
      <c r="D4727" s="2"/>
      <c r="E4727" s="2"/>
      <c r="F4727" s="2"/>
      <c r="G4727" s="2"/>
      <c r="H4727" s="2"/>
      <c r="I4727" s="2"/>
      <c r="J4727" s="2"/>
      <c r="K4727" s="2"/>
    </row>
    <row r="4728" spans="4:11" x14ac:dyDescent="0.2">
      <c r="D4728" s="2"/>
      <c r="E4728" s="2"/>
      <c r="F4728" s="2"/>
      <c r="G4728" s="2"/>
      <c r="H4728" s="2"/>
      <c r="I4728" s="2"/>
      <c r="J4728" s="2"/>
      <c r="K4728" s="2"/>
    </row>
    <row r="4729" spans="4:11" x14ac:dyDescent="0.2">
      <c r="D4729" s="2"/>
      <c r="E4729" s="2"/>
      <c r="F4729" s="2"/>
      <c r="G4729" s="2"/>
      <c r="H4729" s="2"/>
      <c r="I4729" s="2"/>
      <c r="J4729" s="2"/>
      <c r="K4729" s="2"/>
    </row>
    <row r="4730" spans="4:11" x14ac:dyDescent="0.2">
      <c r="D4730" s="2"/>
      <c r="E4730" s="2"/>
      <c r="F4730" s="2"/>
      <c r="G4730" s="2"/>
      <c r="H4730" s="2"/>
      <c r="I4730" s="2"/>
      <c r="J4730" s="2"/>
      <c r="K4730" s="2"/>
    </row>
    <row r="4731" spans="4:11" x14ac:dyDescent="0.2">
      <c r="D4731" s="2"/>
      <c r="E4731" s="2"/>
      <c r="F4731" s="2"/>
      <c r="G4731" s="2"/>
      <c r="H4731" s="2"/>
      <c r="I4731" s="2"/>
      <c r="J4731" s="2"/>
      <c r="K4731" s="2"/>
    </row>
    <row r="4732" spans="4:11" x14ac:dyDescent="0.2">
      <c r="D4732" s="2"/>
      <c r="E4732" s="2"/>
      <c r="F4732" s="2"/>
      <c r="G4732" s="2"/>
      <c r="H4732" s="2"/>
      <c r="I4732" s="2"/>
      <c r="J4732" s="2"/>
      <c r="K4732" s="2"/>
    </row>
    <row r="4733" spans="4:11" x14ac:dyDescent="0.2">
      <c r="D4733" s="2"/>
      <c r="E4733" s="2"/>
      <c r="F4733" s="2"/>
      <c r="G4733" s="2"/>
      <c r="H4733" s="2"/>
      <c r="I4733" s="2"/>
      <c r="J4733" s="2"/>
      <c r="K4733" s="2"/>
    </row>
    <row r="4734" spans="4:11" x14ac:dyDescent="0.2">
      <c r="D4734" s="2"/>
      <c r="E4734" s="2"/>
      <c r="F4734" s="2"/>
      <c r="G4734" s="2"/>
      <c r="H4734" s="2"/>
      <c r="I4734" s="2"/>
      <c r="J4734" s="2"/>
      <c r="K4734" s="2"/>
    </row>
    <row r="4735" spans="4:11" x14ac:dyDescent="0.2">
      <c r="D4735" s="2"/>
      <c r="E4735" s="2"/>
      <c r="F4735" s="2"/>
      <c r="G4735" s="2"/>
      <c r="H4735" s="2"/>
      <c r="I4735" s="2"/>
      <c r="J4735" s="2"/>
      <c r="K4735" s="2"/>
    </row>
    <row r="4736" spans="4:11" x14ac:dyDescent="0.2">
      <c r="D4736" s="2"/>
      <c r="E4736" s="2"/>
      <c r="F4736" s="2"/>
      <c r="G4736" s="2"/>
      <c r="H4736" s="2"/>
      <c r="I4736" s="2"/>
      <c r="J4736" s="2"/>
      <c r="K4736" s="2"/>
    </row>
    <row r="4737" spans="4:11" x14ac:dyDescent="0.2">
      <c r="D4737" s="2"/>
      <c r="E4737" s="2"/>
      <c r="F4737" s="2"/>
      <c r="G4737" s="2"/>
      <c r="H4737" s="2"/>
      <c r="I4737" s="2"/>
      <c r="J4737" s="2"/>
      <c r="K4737" s="2"/>
    </row>
    <row r="4738" spans="4:11" x14ac:dyDescent="0.2">
      <c r="D4738" s="2"/>
      <c r="E4738" s="2"/>
      <c r="F4738" s="2"/>
      <c r="G4738" s="2"/>
      <c r="H4738" s="2"/>
      <c r="I4738" s="2"/>
      <c r="J4738" s="2"/>
      <c r="K4738" s="2"/>
    </row>
    <row r="4739" spans="4:11" x14ac:dyDescent="0.2">
      <c r="D4739" s="2"/>
      <c r="E4739" s="2"/>
      <c r="F4739" s="2"/>
      <c r="G4739" s="2"/>
      <c r="H4739" s="2"/>
      <c r="I4739" s="2"/>
      <c r="J4739" s="2"/>
      <c r="K4739" s="2"/>
    </row>
    <row r="4740" spans="4:11" x14ac:dyDescent="0.2">
      <c r="D4740" s="2"/>
      <c r="E4740" s="2"/>
      <c r="F4740" s="2"/>
      <c r="G4740" s="2"/>
      <c r="H4740" s="2"/>
      <c r="I4740" s="2"/>
      <c r="J4740" s="2"/>
      <c r="K4740" s="2"/>
    </row>
    <row r="4741" spans="4:11" x14ac:dyDescent="0.2">
      <c r="D4741" s="2"/>
      <c r="E4741" s="2"/>
      <c r="F4741" s="2"/>
      <c r="G4741" s="2"/>
      <c r="H4741" s="2"/>
      <c r="I4741" s="2"/>
      <c r="J4741" s="2"/>
      <c r="K4741" s="2"/>
    </row>
    <row r="4742" spans="4:11" x14ac:dyDescent="0.2">
      <c r="D4742" s="2"/>
      <c r="E4742" s="2"/>
      <c r="F4742" s="2"/>
      <c r="G4742" s="2"/>
      <c r="H4742" s="2"/>
      <c r="I4742" s="2"/>
      <c r="J4742" s="2"/>
      <c r="K4742" s="2"/>
    </row>
    <row r="4743" spans="4:11" x14ac:dyDescent="0.2">
      <c r="D4743" s="2"/>
      <c r="E4743" s="2"/>
      <c r="F4743" s="2"/>
      <c r="G4743" s="2"/>
      <c r="H4743" s="2"/>
      <c r="I4743" s="2"/>
      <c r="J4743" s="2"/>
      <c r="K4743" s="2"/>
    </row>
    <row r="4744" spans="4:11" x14ac:dyDescent="0.2">
      <c r="D4744" s="2"/>
      <c r="E4744" s="2"/>
      <c r="F4744" s="2"/>
      <c r="G4744" s="2"/>
      <c r="H4744" s="2"/>
      <c r="I4744" s="2"/>
      <c r="J4744" s="2"/>
      <c r="K4744" s="2"/>
    </row>
    <row r="4745" spans="4:11" x14ac:dyDescent="0.2">
      <c r="D4745" s="2"/>
      <c r="E4745" s="2"/>
      <c r="F4745" s="2"/>
      <c r="G4745" s="2"/>
      <c r="H4745" s="2"/>
      <c r="I4745" s="2"/>
      <c r="J4745" s="2"/>
      <c r="K4745" s="2"/>
    </row>
    <row r="4746" spans="4:11" x14ac:dyDescent="0.2">
      <c r="D4746" s="2"/>
      <c r="E4746" s="2"/>
      <c r="F4746" s="2"/>
      <c r="G4746" s="2"/>
      <c r="H4746" s="2"/>
      <c r="I4746" s="2"/>
      <c r="J4746" s="2"/>
      <c r="K4746" s="2"/>
    </row>
    <row r="4747" spans="4:11" x14ac:dyDescent="0.2">
      <c r="D4747" s="2"/>
      <c r="E4747" s="2"/>
      <c r="F4747" s="2"/>
      <c r="G4747" s="2"/>
      <c r="H4747" s="2"/>
      <c r="I4747" s="2"/>
      <c r="J4747" s="2"/>
      <c r="K4747" s="2"/>
    </row>
    <row r="4748" spans="4:11" x14ac:dyDescent="0.2">
      <c r="D4748" s="2"/>
      <c r="E4748" s="2"/>
      <c r="F4748" s="2"/>
      <c r="G4748" s="2"/>
      <c r="H4748" s="2"/>
      <c r="I4748" s="2"/>
      <c r="J4748" s="2"/>
      <c r="K4748" s="2"/>
    </row>
    <row r="4749" spans="4:11" x14ac:dyDescent="0.2">
      <c r="D4749" s="2"/>
      <c r="E4749" s="2"/>
      <c r="F4749" s="2"/>
      <c r="G4749" s="2"/>
      <c r="H4749" s="2"/>
      <c r="I4749" s="2"/>
      <c r="J4749" s="2"/>
      <c r="K4749" s="2"/>
    </row>
    <row r="4750" spans="4:11" x14ac:dyDescent="0.2">
      <c r="D4750" s="2"/>
      <c r="E4750" s="2"/>
      <c r="F4750" s="2"/>
      <c r="G4750" s="2"/>
      <c r="H4750" s="2"/>
      <c r="I4750" s="2"/>
      <c r="J4750" s="2"/>
      <c r="K4750" s="2"/>
    </row>
    <row r="4751" spans="4:11" x14ac:dyDescent="0.2">
      <c r="D4751" s="2"/>
      <c r="E4751" s="2"/>
      <c r="F4751" s="2"/>
      <c r="G4751" s="2"/>
      <c r="H4751" s="2"/>
      <c r="I4751" s="2"/>
      <c r="J4751" s="2"/>
      <c r="K4751" s="2"/>
    </row>
    <row r="4752" spans="4:11" x14ac:dyDescent="0.2">
      <c r="D4752" s="2"/>
      <c r="E4752" s="2"/>
      <c r="F4752" s="2"/>
      <c r="G4752" s="2"/>
      <c r="H4752" s="2"/>
      <c r="I4752" s="2"/>
      <c r="J4752" s="2"/>
      <c r="K4752" s="2"/>
    </row>
    <row r="4753" spans="4:11" x14ac:dyDescent="0.2">
      <c r="D4753" s="2"/>
      <c r="E4753" s="2"/>
      <c r="F4753" s="2"/>
      <c r="G4753" s="2"/>
      <c r="H4753" s="2"/>
      <c r="I4753" s="2"/>
      <c r="J4753" s="2"/>
      <c r="K4753" s="2"/>
    </row>
    <row r="4754" spans="4:11" x14ac:dyDescent="0.2">
      <c r="D4754" s="2"/>
      <c r="E4754" s="2"/>
      <c r="F4754" s="2"/>
      <c r="G4754" s="2"/>
      <c r="H4754" s="2"/>
      <c r="I4754" s="2"/>
      <c r="J4754" s="2"/>
      <c r="K4754" s="2"/>
    </row>
    <row r="4755" spans="4:11" x14ac:dyDescent="0.2">
      <c r="D4755" s="2"/>
      <c r="E4755" s="2"/>
      <c r="F4755" s="2"/>
      <c r="G4755" s="2"/>
      <c r="H4755" s="2"/>
      <c r="I4755" s="2"/>
      <c r="J4755" s="2"/>
      <c r="K4755" s="2"/>
    </row>
    <row r="4756" spans="4:11" x14ac:dyDescent="0.2">
      <c r="D4756" s="2"/>
      <c r="E4756" s="2"/>
      <c r="F4756" s="2"/>
      <c r="G4756" s="2"/>
      <c r="H4756" s="2"/>
      <c r="I4756" s="2"/>
      <c r="J4756" s="2"/>
      <c r="K4756" s="2"/>
    </row>
    <row r="4757" spans="4:11" x14ac:dyDescent="0.2">
      <c r="D4757" s="2"/>
      <c r="E4757" s="2"/>
      <c r="F4757" s="2"/>
      <c r="G4757" s="2"/>
      <c r="H4757" s="2"/>
      <c r="I4757" s="2"/>
      <c r="J4757" s="2"/>
      <c r="K4757" s="2"/>
    </row>
    <row r="4758" spans="4:11" x14ac:dyDescent="0.2">
      <c r="D4758" s="2"/>
      <c r="E4758" s="2"/>
      <c r="F4758" s="2"/>
      <c r="G4758" s="2"/>
      <c r="H4758" s="2"/>
      <c r="I4758" s="2"/>
      <c r="J4758" s="2"/>
      <c r="K4758" s="2"/>
    </row>
    <row r="4759" spans="4:11" x14ac:dyDescent="0.2">
      <c r="D4759" s="2"/>
      <c r="E4759" s="2"/>
      <c r="F4759" s="2"/>
      <c r="G4759" s="2"/>
      <c r="H4759" s="2"/>
      <c r="I4759" s="2"/>
      <c r="J4759" s="2"/>
      <c r="K4759" s="2"/>
    </row>
    <row r="4760" spans="4:11" x14ac:dyDescent="0.2">
      <c r="D4760" s="2"/>
      <c r="E4760" s="2"/>
      <c r="F4760" s="2"/>
      <c r="G4760" s="2"/>
      <c r="H4760" s="2"/>
      <c r="I4760" s="2"/>
      <c r="J4760" s="2"/>
      <c r="K4760" s="2"/>
    </row>
    <row r="4761" spans="4:11" x14ac:dyDescent="0.2">
      <c r="D4761" s="2"/>
      <c r="E4761" s="2"/>
      <c r="F4761" s="2"/>
      <c r="G4761" s="2"/>
      <c r="H4761" s="2"/>
      <c r="I4761" s="2"/>
      <c r="J4761" s="2"/>
      <c r="K4761" s="2"/>
    </row>
    <row r="4762" spans="4:11" x14ac:dyDescent="0.2">
      <c r="D4762" s="2"/>
      <c r="E4762" s="2"/>
      <c r="F4762" s="2"/>
      <c r="G4762" s="2"/>
      <c r="H4762" s="2"/>
      <c r="I4762" s="2"/>
      <c r="J4762" s="2"/>
      <c r="K4762" s="2"/>
    </row>
    <row r="4763" spans="4:11" x14ac:dyDescent="0.2">
      <c r="D4763" s="2"/>
      <c r="E4763" s="2"/>
      <c r="F4763" s="2"/>
      <c r="G4763" s="2"/>
      <c r="H4763" s="2"/>
      <c r="I4763" s="2"/>
      <c r="J4763" s="2"/>
      <c r="K4763" s="2"/>
    </row>
    <row r="4764" spans="4:11" x14ac:dyDescent="0.2">
      <c r="D4764" s="2"/>
      <c r="E4764" s="2"/>
      <c r="F4764" s="2"/>
      <c r="G4764" s="2"/>
      <c r="H4764" s="2"/>
      <c r="I4764" s="2"/>
      <c r="J4764" s="2"/>
      <c r="K4764" s="2"/>
    </row>
    <row r="4765" spans="4:11" x14ac:dyDescent="0.2">
      <c r="D4765" s="2"/>
      <c r="E4765" s="2"/>
      <c r="F4765" s="2"/>
      <c r="G4765" s="2"/>
      <c r="H4765" s="2"/>
      <c r="I4765" s="2"/>
      <c r="J4765" s="2"/>
      <c r="K4765" s="2"/>
    </row>
    <row r="4766" spans="4:11" x14ac:dyDescent="0.2">
      <c r="D4766" s="2"/>
      <c r="E4766" s="2"/>
      <c r="F4766" s="2"/>
      <c r="G4766" s="2"/>
      <c r="H4766" s="2"/>
      <c r="I4766" s="2"/>
      <c r="J4766" s="2"/>
      <c r="K4766" s="2"/>
    </row>
    <row r="4767" spans="4:11" x14ac:dyDescent="0.2">
      <c r="D4767" s="2"/>
      <c r="E4767" s="2"/>
      <c r="F4767" s="2"/>
      <c r="G4767" s="2"/>
      <c r="H4767" s="2"/>
      <c r="I4767" s="2"/>
      <c r="J4767" s="2"/>
      <c r="K4767" s="2"/>
    </row>
    <row r="4768" spans="4:11" x14ac:dyDescent="0.2">
      <c r="D4768" s="2"/>
      <c r="E4768" s="2"/>
      <c r="F4768" s="2"/>
      <c r="G4768" s="2"/>
      <c r="H4768" s="2"/>
      <c r="I4768" s="2"/>
      <c r="J4768" s="2"/>
      <c r="K4768" s="2"/>
    </row>
    <row r="4769" spans="4:11" x14ac:dyDescent="0.2">
      <c r="D4769" s="2"/>
      <c r="E4769" s="2"/>
      <c r="F4769" s="2"/>
      <c r="G4769" s="2"/>
      <c r="H4769" s="2"/>
      <c r="I4769" s="2"/>
      <c r="J4769" s="2"/>
      <c r="K4769" s="2"/>
    </row>
    <row r="4770" spans="4:11" x14ac:dyDescent="0.2">
      <c r="D4770" s="2"/>
      <c r="E4770" s="2"/>
      <c r="F4770" s="2"/>
      <c r="G4770" s="2"/>
      <c r="H4770" s="2"/>
      <c r="I4770" s="2"/>
      <c r="J4770" s="2"/>
      <c r="K4770" s="2"/>
    </row>
    <row r="4771" spans="4:11" x14ac:dyDescent="0.2">
      <c r="D4771" s="2"/>
      <c r="E4771" s="2"/>
      <c r="F4771" s="2"/>
      <c r="G4771" s="2"/>
      <c r="H4771" s="2"/>
      <c r="I4771" s="2"/>
      <c r="J4771" s="2"/>
      <c r="K4771" s="2"/>
    </row>
    <row r="4772" spans="4:11" x14ac:dyDescent="0.2">
      <c r="D4772" s="2"/>
      <c r="E4772" s="2"/>
      <c r="F4772" s="2"/>
      <c r="G4772" s="2"/>
      <c r="H4772" s="2"/>
      <c r="I4772" s="2"/>
      <c r="J4772" s="2"/>
      <c r="K4772" s="2"/>
    </row>
    <row r="4773" spans="4:11" x14ac:dyDescent="0.2">
      <c r="D4773" s="2"/>
      <c r="E4773" s="2"/>
      <c r="F4773" s="2"/>
      <c r="G4773" s="2"/>
      <c r="H4773" s="2"/>
      <c r="I4773" s="2"/>
      <c r="J4773" s="2"/>
      <c r="K4773" s="2"/>
    </row>
    <row r="4774" spans="4:11" x14ac:dyDescent="0.2">
      <c r="D4774" s="2"/>
      <c r="E4774" s="2"/>
      <c r="F4774" s="2"/>
      <c r="G4774" s="2"/>
      <c r="H4774" s="2"/>
      <c r="I4774" s="2"/>
      <c r="J4774" s="2"/>
      <c r="K4774" s="2"/>
    </row>
    <row r="4775" spans="4:11" x14ac:dyDescent="0.2">
      <c r="D4775" s="2"/>
      <c r="E4775" s="2"/>
      <c r="F4775" s="2"/>
      <c r="G4775" s="2"/>
      <c r="H4775" s="2"/>
      <c r="I4775" s="2"/>
      <c r="J4775" s="2"/>
      <c r="K4775" s="2"/>
    </row>
    <row r="4776" spans="4:11" x14ac:dyDescent="0.2">
      <c r="D4776" s="2"/>
      <c r="E4776" s="2"/>
      <c r="F4776" s="2"/>
      <c r="G4776" s="2"/>
      <c r="H4776" s="2"/>
      <c r="I4776" s="2"/>
      <c r="J4776" s="2"/>
      <c r="K4776" s="2"/>
    </row>
    <row r="4777" spans="4:11" x14ac:dyDescent="0.2">
      <c r="D4777" s="2"/>
      <c r="E4777" s="2"/>
      <c r="F4777" s="2"/>
      <c r="G4777" s="2"/>
      <c r="H4777" s="2"/>
      <c r="I4777" s="2"/>
      <c r="J4777" s="2"/>
      <c r="K4777" s="2"/>
    </row>
    <row r="4778" spans="4:11" x14ac:dyDescent="0.2">
      <c r="D4778" s="2"/>
      <c r="E4778" s="2"/>
      <c r="F4778" s="2"/>
      <c r="G4778" s="2"/>
      <c r="H4778" s="2"/>
      <c r="I4778" s="2"/>
      <c r="J4778" s="2"/>
      <c r="K4778" s="2"/>
    </row>
    <row r="4779" spans="4:11" x14ac:dyDescent="0.2">
      <c r="D4779" s="2"/>
      <c r="E4779" s="2"/>
      <c r="F4779" s="2"/>
      <c r="G4779" s="2"/>
      <c r="H4779" s="2"/>
      <c r="I4779" s="2"/>
      <c r="J4779" s="2"/>
      <c r="K4779" s="2"/>
    </row>
    <row r="4780" spans="4:11" x14ac:dyDescent="0.2">
      <c r="D4780" s="2"/>
      <c r="E4780" s="2"/>
      <c r="F4780" s="2"/>
      <c r="G4780" s="2"/>
      <c r="H4780" s="2"/>
      <c r="I4780" s="2"/>
      <c r="J4780" s="2"/>
      <c r="K4780" s="2"/>
    </row>
    <row r="4781" spans="4:11" x14ac:dyDescent="0.2">
      <c r="D4781" s="2"/>
      <c r="E4781" s="2"/>
      <c r="F4781" s="2"/>
      <c r="G4781" s="2"/>
      <c r="H4781" s="2"/>
      <c r="I4781" s="2"/>
      <c r="J4781" s="2"/>
      <c r="K4781" s="2"/>
    </row>
    <row r="4782" spans="4:11" x14ac:dyDescent="0.2">
      <c r="D4782" s="2"/>
      <c r="E4782" s="2"/>
      <c r="F4782" s="2"/>
      <c r="G4782" s="2"/>
      <c r="H4782" s="2"/>
      <c r="I4782" s="2"/>
      <c r="J4782" s="2"/>
      <c r="K4782" s="2"/>
    </row>
    <row r="4783" spans="4:11" x14ac:dyDescent="0.2">
      <c r="D4783" s="2"/>
      <c r="E4783" s="2"/>
      <c r="F4783" s="2"/>
      <c r="G4783" s="2"/>
      <c r="H4783" s="2"/>
      <c r="I4783" s="2"/>
      <c r="J4783" s="2"/>
      <c r="K4783" s="2"/>
    </row>
    <row r="4784" spans="4:11" x14ac:dyDescent="0.2">
      <c r="D4784" s="2"/>
      <c r="E4784" s="2"/>
      <c r="F4784" s="2"/>
      <c r="G4784" s="2"/>
      <c r="H4784" s="2"/>
      <c r="I4784" s="2"/>
      <c r="J4784" s="2"/>
      <c r="K4784" s="2"/>
    </row>
    <row r="4785" spans="4:11" x14ac:dyDescent="0.2">
      <c r="D4785" s="2"/>
      <c r="E4785" s="2"/>
      <c r="F4785" s="2"/>
      <c r="G4785" s="2"/>
      <c r="H4785" s="2"/>
      <c r="I4785" s="2"/>
      <c r="J4785" s="2"/>
      <c r="K4785" s="2"/>
    </row>
    <row r="4786" spans="4:11" x14ac:dyDescent="0.2">
      <c r="D4786" s="2"/>
      <c r="E4786" s="2"/>
      <c r="F4786" s="2"/>
      <c r="G4786" s="2"/>
      <c r="H4786" s="2"/>
      <c r="I4786" s="2"/>
      <c r="J4786" s="2"/>
      <c r="K4786" s="2"/>
    </row>
    <row r="4787" spans="4:11" x14ac:dyDescent="0.2">
      <c r="D4787" s="2"/>
      <c r="E4787" s="2"/>
      <c r="F4787" s="2"/>
      <c r="G4787" s="2"/>
      <c r="H4787" s="2"/>
      <c r="I4787" s="2"/>
      <c r="J4787" s="2"/>
      <c r="K4787" s="2"/>
    </row>
    <row r="4788" spans="4:11" x14ac:dyDescent="0.2">
      <c r="D4788" s="2"/>
      <c r="E4788" s="2"/>
      <c r="F4788" s="2"/>
      <c r="G4788" s="2"/>
      <c r="H4788" s="2"/>
      <c r="I4788" s="2"/>
      <c r="J4788" s="2"/>
      <c r="K4788" s="2"/>
    </row>
    <row r="4789" spans="4:11" x14ac:dyDescent="0.2">
      <c r="D4789" s="2"/>
      <c r="E4789" s="2"/>
      <c r="F4789" s="2"/>
      <c r="G4789" s="2"/>
      <c r="H4789" s="2"/>
      <c r="I4789" s="2"/>
      <c r="J4789" s="2"/>
      <c r="K4789" s="2"/>
    </row>
    <row r="4790" spans="4:11" x14ac:dyDescent="0.2">
      <c r="D4790" s="2"/>
      <c r="E4790" s="2"/>
      <c r="F4790" s="2"/>
      <c r="G4790" s="2"/>
      <c r="H4790" s="2"/>
      <c r="I4790" s="2"/>
      <c r="J4790" s="2"/>
      <c r="K4790" s="2"/>
    </row>
    <row r="4791" spans="4:11" x14ac:dyDescent="0.2">
      <c r="D4791" s="2"/>
      <c r="E4791" s="2"/>
      <c r="F4791" s="2"/>
      <c r="G4791" s="2"/>
      <c r="H4791" s="2"/>
      <c r="I4791" s="2"/>
      <c r="J4791" s="2"/>
      <c r="K4791" s="2"/>
    </row>
    <row r="4792" spans="4:11" x14ac:dyDescent="0.2">
      <c r="D4792" s="2"/>
      <c r="E4792" s="2"/>
      <c r="F4792" s="2"/>
      <c r="G4792" s="2"/>
      <c r="H4792" s="2"/>
      <c r="I4792" s="2"/>
      <c r="J4792" s="2"/>
      <c r="K4792" s="2"/>
    </row>
    <row r="4793" spans="4:11" x14ac:dyDescent="0.2">
      <c r="D4793" s="2"/>
      <c r="E4793" s="2"/>
      <c r="F4793" s="2"/>
      <c r="G4793" s="2"/>
      <c r="H4793" s="2"/>
      <c r="I4793" s="2"/>
      <c r="J4793" s="2"/>
      <c r="K4793" s="2"/>
    </row>
    <row r="4794" spans="4:11" x14ac:dyDescent="0.2">
      <c r="D4794" s="2"/>
      <c r="E4794" s="2"/>
      <c r="F4794" s="2"/>
      <c r="G4794" s="2"/>
      <c r="H4794" s="2"/>
      <c r="I4794" s="2"/>
      <c r="J4794" s="2"/>
      <c r="K4794" s="2"/>
    </row>
    <row r="4795" spans="4:11" x14ac:dyDescent="0.2">
      <c r="D4795" s="2"/>
      <c r="E4795" s="2"/>
      <c r="F4795" s="2"/>
      <c r="G4795" s="2"/>
      <c r="H4795" s="2"/>
      <c r="I4795" s="2"/>
      <c r="J4795" s="2"/>
      <c r="K4795" s="2"/>
    </row>
    <row r="4796" spans="4:11" x14ac:dyDescent="0.2">
      <c r="D4796" s="2"/>
      <c r="E4796" s="2"/>
      <c r="F4796" s="2"/>
      <c r="G4796" s="2"/>
      <c r="H4796" s="2"/>
      <c r="I4796" s="2"/>
      <c r="J4796" s="2"/>
      <c r="K4796" s="2"/>
    </row>
    <row r="4797" spans="4:11" x14ac:dyDescent="0.2">
      <c r="D4797" s="2"/>
      <c r="E4797" s="2"/>
      <c r="F4797" s="2"/>
      <c r="G4797" s="2"/>
      <c r="H4797" s="2"/>
      <c r="I4797" s="2"/>
      <c r="J4797" s="2"/>
      <c r="K4797" s="2"/>
    </row>
    <row r="4798" spans="4:11" x14ac:dyDescent="0.2">
      <c r="D4798" s="2"/>
      <c r="E4798" s="2"/>
      <c r="F4798" s="2"/>
      <c r="G4798" s="2"/>
      <c r="H4798" s="2"/>
      <c r="I4798" s="2"/>
      <c r="J4798" s="2"/>
      <c r="K4798" s="2"/>
    </row>
    <row r="4799" spans="4:11" x14ac:dyDescent="0.2">
      <c r="D4799" s="2"/>
      <c r="E4799" s="2"/>
      <c r="F4799" s="2"/>
      <c r="G4799" s="2"/>
      <c r="H4799" s="2"/>
      <c r="I4799" s="2"/>
      <c r="J4799" s="2"/>
      <c r="K4799" s="2"/>
    </row>
    <row r="4800" spans="4:11" x14ac:dyDescent="0.2">
      <c r="D4800" s="2"/>
      <c r="E4800" s="2"/>
      <c r="F4800" s="2"/>
      <c r="G4800" s="2"/>
      <c r="H4800" s="2"/>
      <c r="I4800" s="2"/>
      <c r="J4800" s="2"/>
      <c r="K4800" s="2"/>
    </row>
    <row r="4801" spans="4:11" x14ac:dyDescent="0.2">
      <c r="D4801" s="2"/>
      <c r="E4801" s="2"/>
      <c r="F4801" s="2"/>
      <c r="G4801" s="2"/>
      <c r="H4801" s="2"/>
      <c r="I4801" s="2"/>
      <c r="J4801" s="2"/>
      <c r="K4801" s="2"/>
    </row>
    <row r="4802" spans="4:11" x14ac:dyDescent="0.2">
      <c r="D4802" s="2"/>
      <c r="E4802" s="2"/>
      <c r="F4802" s="2"/>
      <c r="G4802" s="2"/>
      <c r="H4802" s="2"/>
      <c r="I4802" s="2"/>
      <c r="J4802" s="2"/>
      <c r="K4802" s="2"/>
    </row>
    <row r="4803" spans="4:11" x14ac:dyDescent="0.2">
      <c r="D4803" s="2"/>
      <c r="E4803" s="2"/>
      <c r="F4803" s="2"/>
      <c r="G4803" s="2"/>
      <c r="H4803" s="2"/>
      <c r="I4803" s="2"/>
      <c r="J4803" s="2"/>
      <c r="K4803" s="2"/>
    </row>
    <row r="4804" spans="4:11" x14ac:dyDescent="0.2">
      <c r="D4804" s="2"/>
      <c r="E4804" s="2"/>
      <c r="F4804" s="2"/>
      <c r="G4804" s="2"/>
      <c r="H4804" s="2"/>
      <c r="I4804" s="2"/>
      <c r="J4804" s="2"/>
      <c r="K4804" s="2"/>
    </row>
    <row r="4805" spans="4:11" x14ac:dyDescent="0.2">
      <c r="D4805" s="2"/>
      <c r="E4805" s="2"/>
      <c r="F4805" s="2"/>
      <c r="G4805" s="2"/>
      <c r="H4805" s="2"/>
      <c r="I4805" s="2"/>
      <c r="J4805" s="2"/>
      <c r="K4805" s="2"/>
    </row>
    <row r="4806" spans="4:11" x14ac:dyDescent="0.2">
      <c r="D4806" s="2"/>
      <c r="E4806" s="2"/>
      <c r="F4806" s="2"/>
      <c r="G4806" s="2"/>
      <c r="H4806" s="2"/>
      <c r="I4806" s="2"/>
      <c r="J4806" s="2"/>
      <c r="K4806" s="2"/>
    </row>
    <row r="4807" spans="4:11" x14ac:dyDescent="0.2">
      <c r="D4807" s="2"/>
      <c r="E4807" s="2"/>
      <c r="F4807" s="2"/>
      <c r="G4807" s="2"/>
      <c r="H4807" s="2"/>
      <c r="I4807" s="2"/>
      <c r="J4807" s="2"/>
      <c r="K4807" s="2"/>
    </row>
    <row r="4808" spans="4:11" x14ac:dyDescent="0.2">
      <c r="D4808" s="2"/>
      <c r="E4808" s="2"/>
      <c r="F4808" s="2"/>
      <c r="G4808" s="2"/>
      <c r="H4808" s="2"/>
      <c r="I4808" s="2"/>
      <c r="J4808" s="2"/>
      <c r="K4808" s="2"/>
    </row>
    <row r="4809" spans="4:11" x14ac:dyDescent="0.2">
      <c r="D4809" s="2"/>
      <c r="E4809" s="2"/>
      <c r="F4809" s="2"/>
      <c r="G4809" s="2"/>
      <c r="H4809" s="2"/>
      <c r="I4809" s="2"/>
      <c r="J4809" s="2"/>
      <c r="K4809" s="2"/>
    </row>
    <row r="4810" spans="4:11" x14ac:dyDescent="0.2">
      <c r="D4810" s="2"/>
      <c r="E4810" s="2"/>
      <c r="F4810" s="2"/>
      <c r="G4810" s="2"/>
      <c r="H4810" s="2"/>
      <c r="I4810" s="2"/>
      <c r="J4810" s="2"/>
      <c r="K4810" s="2"/>
    </row>
    <row r="4811" spans="4:11" x14ac:dyDescent="0.2">
      <c r="D4811" s="2"/>
      <c r="E4811" s="2"/>
      <c r="F4811" s="2"/>
      <c r="G4811" s="2"/>
      <c r="H4811" s="2"/>
      <c r="I4811" s="2"/>
      <c r="J4811" s="2"/>
      <c r="K4811" s="2"/>
    </row>
    <row r="4812" spans="4:11" x14ac:dyDescent="0.2">
      <c r="D4812" s="2"/>
      <c r="E4812" s="2"/>
      <c r="F4812" s="2"/>
      <c r="G4812" s="2"/>
      <c r="H4812" s="2"/>
      <c r="I4812" s="2"/>
      <c r="J4812" s="2"/>
      <c r="K4812" s="2"/>
    </row>
    <row r="4813" spans="4:11" x14ac:dyDescent="0.2">
      <c r="D4813" s="2"/>
      <c r="E4813" s="2"/>
      <c r="F4813" s="2"/>
      <c r="G4813" s="2"/>
      <c r="H4813" s="2"/>
      <c r="I4813" s="2"/>
      <c r="J4813" s="2"/>
      <c r="K4813" s="2"/>
    </row>
    <row r="4814" spans="4:11" x14ac:dyDescent="0.2">
      <c r="D4814" s="2"/>
      <c r="E4814" s="2"/>
      <c r="F4814" s="2"/>
      <c r="G4814" s="2"/>
      <c r="H4814" s="2"/>
      <c r="I4814" s="2"/>
      <c r="J4814" s="2"/>
      <c r="K4814" s="2"/>
    </row>
    <row r="4815" spans="4:11" x14ac:dyDescent="0.2">
      <c r="D4815" s="2"/>
      <c r="E4815" s="2"/>
      <c r="F4815" s="2"/>
      <c r="G4815" s="2"/>
      <c r="H4815" s="2"/>
      <c r="I4815" s="2"/>
      <c r="J4815" s="2"/>
      <c r="K4815" s="2"/>
    </row>
    <row r="4816" spans="4:11" x14ac:dyDescent="0.2">
      <c r="D4816" s="2"/>
      <c r="E4816" s="2"/>
      <c r="F4816" s="2"/>
      <c r="G4816" s="2"/>
      <c r="H4816" s="2"/>
      <c r="I4816" s="2"/>
      <c r="J4816" s="2"/>
      <c r="K4816" s="2"/>
    </row>
    <row r="4817" spans="4:11" x14ac:dyDescent="0.2">
      <c r="D4817" s="2"/>
      <c r="E4817" s="2"/>
      <c r="F4817" s="2"/>
      <c r="G4817" s="2"/>
      <c r="H4817" s="2"/>
      <c r="I4817" s="2"/>
      <c r="J4817" s="2"/>
      <c r="K4817" s="2"/>
    </row>
    <row r="4818" spans="4:11" x14ac:dyDescent="0.2">
      <c r="D4818" s="2"/>
      <c r="E4818" s="2"/>
      <c r="F4818" s="2"/>
      <c r="G4818" s="2"/>
      <c r="H4818" s="2"/>
      <c r="I4818" s="2"/>
      <c r="J4818" s="2"/>
      <c r="K4818" s="2"/>
    </row>
    <row r="4819" spans="4:11" x14ac:dyDescent="0.2">
      <c r="D4819" s="2"/>
      <c r="E4819" s="2"/>
      <c r="F4819" s="2"/>
      <c r="G4819" s="2"/>
      <c r="H4819" s="2"/>
      <c r="I4819" s="2"/>
      <c r="J4819" s="2"/>
      <c r="K4819" s="2"/>
    </row>
    <row r="4820" spans="4:11" x14ac:dyDescent="0.2">
      <c r="D4820" s="2"/>
      <c r="E4820" s="2"/>
      <c r="F4820" s="2"/>
      <c r="G4820" s="2"/>
      <c r="H4820" s="2"/>
      <c r="I4820" s="2"/>
      <c r="J4820" s="2"/>
      <c r="K4820" s="2"/>
    </row>
    <row r="4821" spans="4:11" x14ac:dyDescent="0.2">
      <c r="D4821" s="2"/>
      <c r="E4821" s="2"/>
      <c r="F4821" s="2"/>
      <c r="G4821" s="2"/>
      <c r="H4821" s="2"/>
      <c r="I4821" s="2"/>
      <c r="J4821" s="2"/>
      <c r="K4821" s="2"/>
    </row>
    <row r="4822" spans="4:11" x14ac:dyDescent="0.2">
      <c r="D4822" s="2"/>
      <c r="E4822" s="2"/>
      <c r="F4822" s="2"/>
      <c r="G4822" s="2"/>
      <c r="H4822" s="2"/>
      <c r="I4822" s="2"/>
      <c r="J4822" s="2"/>
      <c r="K4822" s="2"/>
    </row>
    <row r="4823" spans="4:11" x14ac:dyDescent="0.2">
      <c r="D4823" s="2"/>
      <c r="E4823" s="2"/>
      <c r="F4823" s="2"/>
      <c r="G4823" s="2"/>
      <c r="H4823" s="2"/>
      <c r="I4823" s="2"/>
      <c r="J4823" s="2"/>
      <c r="K4823" s="2"/>
    </row>
    <row r="4824" spans="4:11" x14ac:dyDescent="0.2">
      <c r="D4824" s="2"/>
      <c r="E4824" s="2"/>
      <c r="F4824" s="2"/>
      <c r="G4824" s="2"/>
      <c r="H4824" s="2"/>
      <c r="I4824" s="2"/>
      <c r="J4824" s="2"/>
      <c r="K4824" s="2"/>
    </row>
    <row r="4825" spans="4:11" x14ac:dyDescent="0.2">
      <c r="D4825" s="2"/>
      <c r="E4825" s="2"/>
      <c r="F4825" s="2"/>
      <c r="G4825" s="2"/>
      <c r="H4825" s="2"/>
      <c r="I4825" s="2"/>
      <c r="J4825" s="2"/>
      <c r="K4825" s="2"/>
    </row>
    <row r="4826" spans="4:11" x14ac:dyDescent="0.2">
      <c r="D4826" s="2"/>
      <c r="E4826" s="2"/>
      <c r="F4826" s="2"/>
      <c r="G4826" s="2"/>
      <c r="H4826" s="2"/>
      <c r="I4826" s="2"/>
      <c r="J4826" s="2"/>
      <c r="K4826" s="2"/>
    </row>
    <row r="4827" spans="4:11" x14ac:dyDescent="0.2">
      <c r="D4827" s="2"/>
      <c r="E4827" s="2"/>
      <c r="F4827" s="2"/>
      <c r="G4827" s="2"/>
      <c r="H4827" s="2"/>
      <c r="I4827" s="2"/>
      <c r="J4827" s="2"/>
      <c r="K4827" s="2"/>
    </row>
    <row r="4828" spans="4:11" x14ac:dyDescent="0.2">
      <c r="D4828" s="2"/>
      <c r="E4828" s="2"/>
      <c r="F4828" s="2"/>
      <c r="G4828" s="2"/>
      <c r="H4828" s="2"/>
      <c r="I4828" s="2"/>
      <c r="J4828" s="2"/>
      <c r="K4828" s="2"/>
    </row>
    <row r="4829" spans="4:11" x14ac:dyDescent="0.2">
      <c r="D4829" s="2"/>
      <c r="E4829" s="2"/>
      <c r="F4829" s="2"/>
      <c r="G4829" s="2"/>
      <c r="H4829" s="2"/>
      <c r="I4829" s="2"/>
      <c r="J4829" s="2"/>
      <c r="K4829" s="2"/>
    </row>
    <row r="4830" spans="4:11" x14ac:dyDescent="0.2">
      <c r="D4830" s="2"/>
      <c r="E4830" s="2"/>
      <c r="F4830" s="2"/>
      <c r="G4830" s="2"/>
      <c r="H4830" s="2"/>
      <c r="I4830" s="2"/>
      <c r="J4830" s="2"/>
      <c r="K4830" s="2"/>
    </row>
    <row r="4831" spans="4:11" x14ac:dyDescent="0.2">
      <c r="D4831" s="2"/>
      <c r="E4831" s="2"/>
      <c r="F4831" s="2"/>
      <c r="G4831" s="2"/>
      <c r="H4831" s="2"/>
      <c r="I4831" s="2"/>
      <c r="J4831" s="2"/>
      <c r="K4831" s="2"/>
    </row>
    <row r="4832" spans="4:11" x14ac:dyDescent="0.2">
      <c r="D4832" s="2"/>
      <c r="E4832" s="2"/>
      <c r="F4832" s="2"/>
      <c r="G4832" s="2"/>
      <c r="H4832" s="2"/>
      <c r="I4832" s="2"/>
      <c r="J4832" s="2"/>
      <c r="K4832" s="2"/>
    </row>
    <row r="4833" spans="4:11" x14ac:dyDescent="0.2">
      <c r="D4833" s="2"/>
      <c r="E4833" s="2"/>
      <c r="F4833" s="2"/>
      <c r="G4833" s="2"/>
      <c r="H4833" s="2"/>
      <c r="I4833" s="2"/>
      <c r="J4833" s="2"/>
      <c r="K4833" s="2"/>
    </row>
    <row r="4834" spans="4:11" x14ac:dyDescent="0.2">
      <c r="D4834" s="2"/>
      <c r="E4834" s="2"/>
      <c r="F4834" s="2"/>
      <c r="G4834" s="2"/>
      <c r="H4834" s="2"/>
      <c r="I4834" s="2"/>
      <c r="J4834" s="2"/>
      <c r="K4834" s="2"/>
    </row>
    <row r="4835" spans="4:11" x14ac:dyDescent="0.2">
      <c r="D4835" s="2"/>
      <c r="E4835" s="2"/>
      <c r="F4835" s="2"/>
      <c r="G4835" s="2"/>
      <c r="H4835" s="2"/>
      <c r="I4835" s="2"/>
      <c r="J4835" s="2"/>
      <c r="K4835" s="2"/>
    </row>
    <row r="4836" spans="4:11" x14ac:dyDescent="0.2">
      <c r="D4836" s="2"/>
      <c r="E4836" s="2"/>
      <c r="F4836" s="2"/>
      <c r="G4836" s="2"/>
      <c r="H4836" s="2"/>
      <c r="I4836" s="2"/>
      <c r="J4836" s="2"/>
      <c r="K4836" s="2"/>
    </row>
    <row r="4837" spans="4:11" x14ac:dyDescent="0.2">
      <c r="D4837" s="2"/>
      <c r="E4837" s="2"/>
      <c r="F4837" s="2"/>
      <c r="G4837" s="2"/>
      <c r="H4837" s="2"/>
      <c r="I4837" s="2"/>
      <c r="J4837" s="2"/>
      <c r="K4837" s="2"/>
    </row>
    <row r="4838" spans="4:11" x14ac:dyDescent="0.2">
      <c r="D4838" s="2"/>
      <c r="E4838" s="2"/>
      <c r="F4838" s="2"/>
      <c r="G4838" s="2"/>
      <c r="H4838" s="2"/>
      <c r="I4838" s="2"/>
      <c r="J4838" s="2"/>
      <c r="K4838" s="2"/>
    </row>
    <row r="4839" spans="4:11" x14ac:dyDescent="0.2">
      <c r="D4839" s="2"/>
      <c r="E4839" s="2"/>
      <c r="F4839" s="2"/>
      <c r="G4839" s="2"/>
      <c r="H4839" s="2"/>
      <c r="I4839" s="2"/>
      <c r="J4839" s="2"/>
      <c r="K4839" s="2"/>
    </row>
    <row r="4840" spans="4:11" x14ac:dyDescent="0.2">
      <c r="D4840" s="2"/>
      <c r="E4840" s="2"/>
      <c r="F4840" s="2"/>
      <c r="G4840" s="2"/>
      <c r="H4840" s="2"/>
      <c r="I4840" s="2"/>
      <c r="J4840" s="2"/>
      <c r="K4840" s="2"/>
    </row>
    <row r="4841" spans="4:11" x14ac:dyDescent="0.2">
      <c r="D4841" s="2"/>
      <c r="E4841" s="2"/>
      <c r="F4841" s="2"/>
      <c r="G4841" s="2"/>
      <c r="H4841" s="2"/>
      <c r="I4841" s="2"/>
      <c r="J4841" s="2"/>
      <c r="K4841" s="2"/>
    </row>
    <row r="4842" spans="4:11" x14ac:dyDescent="0.2">
      <c r="D4842" s="2"/>
      <c r="E4842" s="2"/>
      <c r="F4842" s="2"/>
      <c r="G4842" s="2"/>
      <c r="H4842" s="2"/>
      <c r="I4842" s="2"/>
      <c r="J4842" s="2"/>
      <c r="K4842" s="2"/>
    </row>
    <row r="4843" spans="4:11" x14ac:dyDescent="0.2">
      <c r="D4843" s="2"/>
      <c r="E4843" s="2"/>
      <c r="F4843" s="2"/>
      <c r="G4843" s="2"/>
      <c r="H4843" s="2"/>
      <c r="I4843" s="2"/>
      <c r="J4843" s="2"/>
      <c r="K4843" s="2"/>
    </row>
    <row r="4844" spans="4:11" x14ac:dyDescent="0.2">
      <c r="D4844" s="2"/>
      <c r="E4844" s="2"/>
      <c r="F4844" s="2"/>
      <c r="G4844" s="2"/>
      <c r="H4844" s="2"/>
      <c r="I4844" s="2"/>
      <c r="J4844" s="2"/>
      <c r="K4844" s="2"/>
    </row>
    <row r="4845" spans="4:11" x14ac:dyDescent="0.2">
      <c r="D4845" s="2"/>
      <c r="E4845" s="2"/>
      <c r="F4845" s="2"/>
      <c r="G4845" s="2"/>
      <c r="H4845" s="2"/>
      <c r="I4845" s="2"/>
      <c r="J4845" s="2"/>
      <c r="K4845" s="2"/>
    </row>
    <row r="4846" spans="4:11" x14ac:dyDescent="0.2">
      <c r="D4846" s="2"/>
      <c r="E4846" s="2"/>
      <c r="F4846" s="2"/>
      <c r="G4846" s="2"/>
      <c r="H4846" s="2"/>
      <c r="I4846" s="2"/>
      <c r="J4846" s="2"/>
      <c r="K4846" s="2"/>
    </row>
    <row r="4847" spans="4:11" x14ac:dyDescent="0.2">
      <c r="D4847" s="2"/>
      <c r="E4847" s="2"/>
      <c r="F4847" s="2"/>
      <c r="G4847" s="2"/>
      <c r="H4847" s="2"/>
      <c r="I4847" s="2"/>
      <c r="J4847" s="2"/>
      <c r="K4847" s="2"/>
    </row>
    <row r="4848" spans="4:11" x14ac:dyDescent="0.2">
      <c r="D4848" s="2"/>
      <c r="E4848" s="2"/>
      <c r="F4848" s="2"/>
      <c r="G4848" s="2"/>
      <c r="H4848" s="2"/>
      <c r="I4848" s="2"/>
      <c r="J4848" s="2"/>
      <c r="K4848" s="2"/>
    </row>
    <row r="4849" spans="4:11" x14ac:dyDescent="0.2">
      <c r="D4849" s="2"/>
      <c r="E4849" s="2"/>
      <c r="F4849" s="2"/>
      <c r="G4849" s="2"/>
      <c r="H4849" s="2"/>
      <c r="I4849" s="2"/>
      <c r="J4849" s="2"/>
      <c r="K4849" s="2"/>
    </row>
    <row r="4850" spans="4:11" x14ac:dyDescent="0.2">
      <c r="D4850" s="2"/>
      <c r="E4850" s="2"/>
      <c r="F4850" s="2"/>
      <c r="G4850" s="2"/>
      <c r="H4850" s="2"/>
      <c r="I4850" s="2"/>
      <c r="J4850" s="2"/>
      <c r="K4850" s="2"/>
    </row>
    <row r="4851" spans="4:11" x14ac:dyDescent="0.2">
      <c r="D4851" s="2"/>
      <c r="E4851" s="2"/>
      <c r="F4851" s="2"/>
      <c r="G4851" s="2"/>
      <c r="H4851" s="2"/>
      <c r="I4851" s="2"/>
      <c r="J4851" s="2"/>
      <c r="K4851" s="2"/>
    </row>
    <row r="4852" spans="4:11" x14ac:dyDescent="0.2">
      <c r="D4852" s="2"/>
      <c r="E4852" s="2"/>
      <c r="F4852" s="2"/>
      <c r="G4852" s="2"/>
      <c r="H4852" s="2"/>
      <c r="I4852" s="2"/>
      <c r="J4852" s="2"/>
      <c r="K4852" s="2"/>
    </row>
    <row r="4853" spans="4:11" x14ac:dyDescent="0.2">
      <c r="D4853" s="2"/>
      <c r="E4853" s="2"/>
      <c r="F4853" s="2"/>
      <c r="G4853" s="2"/>
      <c r="H4853" s="2"/>
      <c r="I4853" s="2"/>
      <c r="J4853" s="2"/>
      <c r="K4853" s="2"/>
    </row>
    <row r="4854" spans="4:11" x14ac:dyDescent="0.2">
      <c r="D4854" s="2"/>
      <c r="E4854" s="2"/>
      <c r="F4854" s="2"/>
      <c r="G4854" s="2"/>
      <c r="H4854" s="2"/>
      <c r="I4854" s="2"/>
      <c r="J4854" s="2"/>
      <c r="K4854" s="2"/>
    </row>
    <row r="4855" spans="4:11" x14ac:dyDescent="0.2">
      <c r="D4855" s="2"/>
      <c r="E4855" s="2"/>
      <c r="F4855" s="2"/>
      <c r="G4855" s="2"/>
      <c r="H4855" s="2"/>
      <c r="I4855" s="2"/>
      <c r="J4855" s="2"/>
      <c r="K4855" s="2"/>
    </row>
    <row r="4856" spans="4:11" x14ac:dyDescent="0.2">
      <c r="D4856" s="2"/>
      <c r="E4856" s="2"/>
      <c r="F4856" s="2"/>
      <c r="G4856" s="2"/>
      <c r="H4856" s="2"/>
      <c r="I4856" s="2"/>
      <c r="J4856" s="2"/>
      <c r="K4856" s="2"/>
    </row>
    <row r="4857" spans="4:11" x14ac:dyDescent="0.2">
      <c r="D4857" s="2"/>
      <c r="E4857" s="2"/>
      <c r="F4857" s="2"/>
      <c r="G4857" s="2"/>
      <c r="H4857" s="2"/>
      <c r="I4857" s="2"/>
      <c r="J4857" s="2"/>
      <c r="K4857" s="2"/>
    </row>
    <row r="4858" spans="4:11" x14ac:dyDescent="0.2">
      <c r="D4858" s="2"/>
      <c r="E4858" s="2"/>
      <c r="F4858" s="2"/>
      <c r="G4858" s="2"/>
      <c r="H4858" s="2"/>
      <c r="I4858" s="2"/>
      <c r="J4858" s="2"/>
      <c r="K4858" s="2"/>
    </row>
    <row r="4859" spans="4:11" x14ac:dyDescent="0.2">
      <c r="D4859" s="2"/>
      <c r="E4859" s="2"/>
      <c r="F4859" s="2"/>
      <c r="G4859" s="2"/>
      <c r="H4859" s="2"/>
      <c r="I4859" s="2"/>
      <c r="J4859" s="2"/>
      <c r="K4859" s="2"/>
    </row>
    <row r="4860" spans="4:11" x14ac:dyDescent="0.2">
      <c r="D4860" s="2"/>
      <c r="E4860" s="2"/>
      <c r="F4860" s="2"/>
      <c r="G4860" s="2"/>
      <c r="H4860" s="2"/>
      <c r="I4860" s="2"/>
      <c r="J4860" s="2"/>
      <c r="K4860" s="2"/>
    </row>
    <row r="4861" spans="4:11" x14ac:dyDescent="0.2">
      <c r="D4861" s="2"/>
      <c r="E4861" s="2"/>
      <c r="F4861" s="2"/>
      <c r="G4861" s="2"/>
      <c r="H4861" s="2"/>
      <c r="I4861" s="2"/>
      <c r="J4861" s="2"/>
      <c r="K4861" s="2"/>
    </row>
    <row r="4862" spans="4:11" x14ac:dyDescent="0.2">
      <c r="D4862" s="2"/>
      <c r="E4862" s="2"/>
      <c r="F4862" s="2"/>
      <c r="G4862" s="2"/>
      <c r="H4862" s="2"/>
      <c r="I4862" s="2"/>
      <c r="J4862" s="2"/>
      <c r="K4862" s="2"/>
    </row>
    <row r="4863" spans="4:11" x14ac:dyDescent="0.2">
      <c r="D4863" s="2"/>
      <c r="E4863" s="2"/>
      <c r="F4863" s="2"/>
      <c r="G4863" s="2"/>
      <c r="H4863" s="2"/>
      <c r="I4863" s="2"/>
      <c r="J4863" s="2"/>
      <c r="K4863" s="2"/>
    </row>
    <row r="4864" spans="4:11" x14ac:dyDescent="0.2">
      <c r="D4864" s="2"/>
      <c r="E4864" s="2"/>
      <c r="F4864" s="2"/>
      <c r="G4864" s="2"/>
      <c r="H4864" s="2"/>
      <c r="I4864" s="2"/>
      <c r="J4864" s="2"/>
      <c r="K4864" s="2"/>
    </row>
    <row r="4865" spans="4:11" x14ac:dyDescent="0.2">
      <c r="D4865" s="2"/>
      <c r="E4865" s="2"/>
      <c r="F4865" s="2"/>
      <c r="G4865" s="2"/>
      <c r="H4865" s="2"/>
      <c r="I4865" s="2"/>
      <c r="J4865" s="2"/>
      <c r="K4865" s="2"/>
    </row>
    <row r="4866" spans="4:11" x14ac:dyDescent="0.2">
      <c r="D4866" s="2"/>
      <c r="E4866" s="2"/>
      <c r="F4866" s="2"/>
      <c r="G4866" s="2"/>
      <c r="H4866" s="2"/>
      <c r="I4866" s="2"/>
      <c r="J4866" s="2"/>
      <c r="K4866" s="2"/>
    </row>
    <row r="4867" spans="4:11" x14ac:dyDescent="0.2">
      <c r="D4867" s="2"/>
      <c r="E4867" s="2"/>
      <c r="F4867" s="2"/>
      <c r="G4867" s="2"/>
      <c r="H4867" s="2"/>
      <c r="I4867" s="2"/>
      <c r="J4867" s="2"/>
      <c r="K4867" s="2"/>
    </row>
    <row r="4868" spans="4:11" x14ac:dyDescent="0.2">
      <c r="D4868" s="2"/>
      <c r="E4868" s="2"/>
      <c r="F4868" s="2"/>
      <c r="G4868" s="2"/>
      <c r="H4868" s="2"/>
      <c r="I4868" s="2"/>
      <c r="J4868" s="2"/>
      <c r="K4868" s="2"/>
    </row>
    <row r="4869" spans="4:11" x14ac:dyDescent="0.2">
      <c r="D4869" s="2"/>
      <c r="E4869" s="2"/>
      <c r="F4869" s="2"/>
      <c r="G4869" s="2"/>
      <c r="H4869" s="2"/>
      <c r="I4869" s="2"/>
      <c r="J4869" s="2"/>
      <c r="K4869" s="2"/>
    </row>
    <row r="4870" spans="4:11" x14ac:dyDescent="0.2">
      <c r="D4870" s="2"/>
      <c r="E4870" s="2"/>
      <c r="F4870" s="2"/>
      <c r="G4870" s="2"/>
      <c r="H4870" s="2"/>
      <c r="I4870" s="2"/>
      <c r="J4870" s="2"/>
      <c r="K4870" s="2"/>
    </row>
    <row r="4871" spans="4:11" x14ac:dyDescent="0.2">
      <c r="D4871" s="2"/>
      <c r="E4871" s="2"/>
      <c r="F4871" s="2"/>
      <c r="G4871" s="2"/>
      <c r="H4871" s="2"/>
      <c r="I4871" s="2"/>
      <c r="J4871" s="2"/>
      <c r="K4871" s="2"/>
    </row>
    <row r="4872" spans="4:11" x14ac:dyDescent="0.2">
      <c r="D4872" s="2"/>
      <c r="E4872" s="2"/>
      <c r="F4872" s="2"/>
      <c r="G4872" s="2"/>
      <c r="H4872" s="2"/>
      <c r="I4872" s="2"/>
      <c r="J4872" s="2"/>
      <c r="K4872" s="2"/>
    </row>
    <row r="4873" spans="4:11" x14ac:dyDescent="0.2">
      <c r="D4873" s="2"/>
      <c r="E4873" s="2"/>
      <c r="F4873" s="2"/>
      <c r="G4873" s="2"/>
      <c r="H4873" s="2"/>
      <c r="I4873" s="2"/>
      <c r="J4873" s="2"/>
      <c r="K4873" s="2"/>
    </row>
    <row r="4874" spans="4:11" x14ac:dyDescent="0.2">
      <c r="D4874" s="2"/>
      <c r="E4874" s="2"/>
      <c r="F4874" s="2"/>
      <c r="G4874" s="2"/>
      <c r="H4874" s="2"/>
      <c r="I4874" s="2"/>
      <c r="J4874" s="2"/>
      <c r="K4874" s="2"/>
    </row>
    <row r="4875" spans="4:11" x14ac:dyDescent="0.2">
      <c r="D4875" s="2"/>
      <c r="E4875" s="2"/>
      <c r="F4875" s="2"/>
      <c r="G4875" s="2"/>
      <c r="H4875" s="2"/>
      <c r="I4875" s="2"/>
      <c r="J4875" s="2"/>
      <c r="K4875" s="2"/>
    </row>
    <row r="4876" spans="4:11" x14ac:dyDescent="0.2">
      <c r="D4876" s="2"/>
      <c r="E4876" s="2"/>
      <c r="F4876" s="2"/>
      <c r="G4876" s="2"/>
      <c r="H4876" s="2"/>
      <c r="I4876" s="2"/>
      <c r="J4876" s="2"/>
      <c r="K4876" s="2"/>
    </row>
    <row r="4877" spans="4:11" x14ac:dyDescent="0.2">
      <c r="D4877" s="2"/>
      <c r="E4877" s="2"/>
      <c r="F4877" s="2"/>
      <c r="G4877" s="2"/>
      <c r="H4877" s="2"/>
      <c r="I4877" s="2"/>
      <c r="J4877" s="2"/>
      <c r="K4877" s="2"/>
    </row>
    <row r="4878" spans="4:11" x14ac:dyDescent="0.2">
      <c r="D4878" s="2"/>
      <c r="E4878" s="2"/>
      <c r="F4878" s="2"/>
      <c r="G4878" s="2"/>
      <c r="H4878" s="2"/>
      <c r="I4878" s="2"/>
      <c r="J4878" s="2"/>
      <c r="K4878" s="2"/>
    </row>
    <row r="4879" spans="4:11" x14ac:dyDescent="0.2">
      <c r="D4879" s="2"/>
      <c r="E4879" s="2"/>
      <c r="F4879" s="2"/>
      <c r="G4879" s="2"/>
      <c r="H4879" s="2"/>
      <c r="I4879" s="2"/>
      <c r="J4879" s="2"/>
      <c r="K4879" s="2"/>
    </row>
    <row r="4880" spans="4:11" x14ac:dyDescent="0.2">
      <c r="D4880" s="2"/>
      <c r="E4880" s="2"/>
      <c r="F4880" s="2"/>
      <c r="G4880" s="2"/>
      <c r="H4880" s="2"/>
      <c r="I4880" s="2"/>
      <c r="J4880" s="2"/>
      <c r="K4880" s="2"/>
    </row>
    <row r="4881" spans="4:11" x14ac:dyDescent="0.2">
      <c r="D4881" s="2"/>
      <c r="E4881" s="2"/>
      <c r="F4881" s="2"/>
      <c r="G4881" s="2"/>
      <c r="H4881" s="2"/>
      <c r="I4881" s="2"/>
      <c r="J4881" s="2"/>
      <c r="K4881" s="2"/>
    </row>
    <row r="4882" spans="4:11" x14ac:dyDescent="0.2">
      <c r="D4882" s="2"/>
      <c r="E4882" s="2"/>
      <c r="F4882" s="2"/>
      <c r="G4882" s="2"/>
      <c r="H4882" s="2"/>
      <c r="I4882" s="2"/>
      <c r="J4882" s="2"/>
      <c r="K4882" s="2"/>
    </row>
    <row r="4883" spans="4:11" x14ac:dyDescent="0.2">
      <c r="D4883" s="2"/>
      <c r="E4883" s="2"/>
      <c r="F4883" s="2"/>
      <c r="G4883" s="2"/>
      <c r="H4883" s="2"/>
      <c r="I4883" s="2"/>
      <c r="J4883" s="2"/>
      <c r="K4883" s="2"/>
    </row>
    <row r="4884" spans="4:11" x14ac:dyDescent="0.2">
      <c r="D4884" s="2"/>
      <c r="E4884" s="2"/>
      <c r="F4884" s="2"/>
      <c r="G4884" s="2"/>
      <c r="H4884" s="2"/>
      <c r="I4884" s="2"/>
      <c r="J4884" s="2"/>
      <c r="K4884" s="2"/>
    </row>
    <row r="4885" spans="4:11" x14ac:dyDescent="0.2">
      <c r="D4885" s="2"/>
      <c r="E4885" s="2"/>
      <c r="F4885" s="2"/>
      <c r="G4885" s="2"/>
      <c r="H4885" s="2"/>
      <c r="I4885" s="2"/>
      <c r="J4885" s="2"/>
      <c r="K4885" s="2"/>
    </row>
    <row r="4886" spans="4:11" x14ac:dyDescent="0.2">
      <c r="D4886" s="2"/>
      <c r="E4886" s="2"/>
      <c r="F4886" s="2"/>
      <c r="G4886" s="2"/>
      <c r="H4886" s="2"/>
      <c r="I4886" s="2"/>
      <c r="J4886" s="2"/>
      <c r="K4886" s="2"/>
    </row>
    <row r="4887" spans="4:11" x14ac:dyDescent="0.2">
      <c r="D4887" s="2"/>
      <c r="E4887" s="2"/>
      <c r="F4887" s="2"/>
      <c r="G4887" s="2"/>
      <c r="H4887" s="2"/>
      <c r="I4887" s="2"/>
      <c r="J4887" s="2"/>
      <c r="K4887" s="2"/>
    </row>
    <row r="4888" spans="4:11" x14ac:dyDescent="0.2">
      <c r="D4888" s="2"/>
      <c r="E4888" s="2"/>
      <c r="F4888" s="2"/>
      <c r="G4888" s="2"/>
      <c r="H4888" s="2"/>
      <c r="I4888" s="2"/>
      <c r="J4888" s="2"/>
      <c r="K4888" s="2"/>
    </row>
    <row r="4889" spans="4:11" x14ac:dyDescent="0.2">
      <c r="D4889" s="2"/>
      <c r="E4889" s="2"/>
      <c r="F4889" s="2"/>
      <c r="G4889" s="2"/>
      <c r="H4889" s="2"/>
      <c r="I4889" s="2"/>
      <c r="J4889" s="2"/>
      <c r="K4889" s="2"/>
    </row>
    <row r="4890" spans="4:11" x14ac:dyDescent="0.2">
      <c r="D4890" s="2"/>
      <c r="E4890" s="2"/>
      <c r="F4890" s="2"/>
      <c r="G4890" s="2"/>
      <c r="H4890" s="2"/>
      <c r="I4890" s="2"/>
      <c r="J4890" s="2"/>
      <c r="K4890" s="2"/>
    </row>
    <row r="4891" spans="4:11" x14ac:dyDescent="0.2">
      <c r="D4891" s="2"/>
      <c r="E4891" s="2"/>
      <c r="F4891" s="2"/>
      <c r="G4891" s="2"/>
      <c r="H4891" s="2"/>
      <c r="I4891" s="2"/>
      <c r="J4891" s="2"/>
      <c r="K4891" s="2"/>
    </row>
    <row r="4892" spans="4:11" x14ac:dyDescent="0.2">
      <c r="D4892" s="2"/>
      <c r="E4892" s="2"/>
      <c r="F4892" s="2"/>
      <c r="G4892" s="2"/>
      <c r="H4892" s="2"/>
      <c r="I4892" s="2"/>
      <c r="J4892" s="2"/>
      <c r="K4892" s="2"/>
    </row>
    <row r="4893" spans="4:11" x14ac:dyDescent="0.2">
      <c r="D4893" s="2"/>
      <c r="E4893" s="2"/>
      <c r="F4893" s="2"/>
      <c r="G4893" s="2"/>
      <c r="H4893" s="2"/>
      <c r="I4893" s="2"/>
      <c r="J4893" s="2"/>
      <c r="K4893" s="2"/>
    </row>
    <row r="4894" spans="4:11" x14ac:dyDescent="0.2">
      <c r="D4894" s="2"/>
      <c r="E4894" s="2"/>
      <c r="F4894" s="2"/>
      <c r="G4894" s="2"/>
      <c r="H4894" s="2"/>
      <c r="I4894" s="2"/>
      <c r="J4894" s="2"/>
      <c r="K4894" s="2"/>
    </row>
    <row r="4895" spans="4:11" x14ac:dyDescent="0.2">
      <c r="D4895" s="2"/>
      <c r="E4895" s="2"/>
      <c r="F4895" s="2"/>
      <c r="G4895" s="2"/>
      <c r="H4895" s="2"/>
      <c r="I4895" s="2"/>
      <c r="J4895" s="2"/>
      <c r="K4895" s="2"/>
    </row>
    <row r="4896" spans="4:11" x14ac:dyDescent="0.2">
      <c r="D4896" s="2"/>
      <c r="E4896" s="2"/>
      <c r="F4896" s="2"/>
      <c r="G4896" s="2"/>
      <c r="H4896" s="2"/>
      <c r="I4896" s="2"/>
      <c r="J4896" s="2"/>
      <c r="K4896" s="2"/>
    </row>
    <row r="4897" spans="4:11" x14ac:dyDescent="0.2">
      <c r="D4897" s="2"/>
      <c r="E4897" s="2"/>
      <c r="F4897" s="2"/>
      <c r="G4897" s="2"/>
      <c r="H4897" s="2"/>
      <c r="I4897" s="2"/>
      <c r="J4897" s="2"/>
      <c r="K4897" s="2"/>
    </row>
    <row r="4898" spans="4:11" x14ac:dyDescent="0.2">
      <c r="D4898" s="2"/>
      <c r="E4898" s="2"/>
      <c r="F4898" s="2"/>
      <c r="G4898" s="2"/>
      <c r="H4898" s="2"/>
      <c r="I4898" s="2"/>
      <c r="J4898" s="2"/>
      <c r="K4898" s="2"/>
    </row>
    <row r="4899" spans="4:11" x14ac:dyDescent="0.2">
      <c r="D4899" s="2"/>
      <c r="E4899" s="2"/>
      <c r="F4899" s="2"/>
      <c r="G4899" s="2"/>
      <c r="H4899" s="2"/>
      <c r="I4899" s="2"/>
      <c r="J4899" s="2"/>
      <c r="K4899" s="2"/>
    </row>
    <row r="4900" spans="4:11" x14ac:dyDescent="0.2">
      <c r="D4900" s="2"/>
      <c r="E4900" s="2"/>
      <c r="F4900" s="2"/>
      <c r="G4900" s="2"/>
      <c r="H4900" s="2"/>
      <c r="I4900" s="2"/>
      <c r="J4900" s="2"/>
      <c r="K4900" s="2"/>
    </row>
    <row r="4901" spans="4:11" x14ac:dyDescent="0.2">
      <c r="D4901" s="2"/>
      <c r="E4901" s="2"/>
      <c r="F4901" s="2"/>
      <c r="G4901" s="2"/>
      <c r="H4901" s="2"/>
      <c r="I4901" s="2"/>
      <c r="J4901" s="2"/>
      <c r="K4901" s="2"/>
    </row>
    <row r="4902" spans="4:11" x14ac:dyDescent="0.2">
      <c r="D4902" s="2"/>
      <c r="E4902" s="2"/>
      <c r="F4902" s="2"/>
      <c r="G4902" s="2"/>
      <c r="H4902" s="2"/>
      <c r="I4902" s="2"/>
      <c r="J4902" s="2"/>
      <c r="K4902" s="2"/>
    </row>
    <row r="4903" spans="4:11" x14ac:dyDescent="0.2">
      <c r="D4903" s="2"/>
      <c r="E4903" s="2"/>
      <c r="F4903" s="2"/>
      <c r="G4903" s="2"/>
      <c r="H4903" s="2"/>
      <c r="I4903" s="2"/>
      <c r="J4903" s="2"/>
      <c r="K4903" s="2"/>
    </row>
    <row r="4904" spans="4:11" x14ac:dyDescent="0.2">
      <c r="D4904" s="2"/>
      <c r="E4904" s="2"/>
      <c r="F4904" s="2"/>
      <c r="G4904" s="2"/>
      <c r="H4904" s="2"/>
      <c r="I4904" s="2"/>
      <c r="J4904" s="2"/>
      <c r="K4904" s="2"/>
    </row>
    <row r="4905" spans="4:11" x14ac:dyDescent="0.2">
      <c r="D4905" s="2"/>
      <c r="E4905" s="2"/>
      <c r="F4905" s="2"/>
      <c r="G4905" s="2"/>
      <c r="H4905" s="2"/>
      <c r="I4905" s="2"/>
      <c r="J4905" s="2"/>
      <c r="K4905" s="2"/>
    </row>
    <row r="4906" spans="4:11" x14ac:dyDescent="0.2">
      <c r="D4906" s="2"/>
      <c r="E4906" s="2"/>
      <c r="F4906" s="2"/>
      <c r="G4906" s="2"/>
      <c r="H4906" s="2"/>
      <c r="I4906" s="2"/>
      <c r="J4906" s="2"/>
      <c r="K4906" s="2"/>
    </row>
    <row r="4907" spans="4:11" x14ac:dyDescent="0.2">
      <c r="D4907" s="2"/>
      <c r="E4907" s="2"/>
      <c r="F4907" s="2"/>
      <c r="G4907" s="2"/>
      <c r="H4907" s="2"/>
      <c r="I4907" s="2"/>
      <c r="J4907" s="2"/>
      <c r="K4907" s="2"/>
    </row>
    <row r="4908" spans="4:11" x14ac:dyDescent="0.2">
      <c r="D4908" s="2"/>
      <c r="E4908" s="2"/>
      <c r="F4908" s="2"/>
      <c r="G4908" s="2"/>
      <c r="H4908" s="2"/>
      <c r="I4908" s="2"/>
      <c r="J4908" s="2"/>
      <c r="K4908" s="2"/>
    </row>
    <row r="4909" spans="4:11" x14ac:dyDescent="0.2">
      <c r="D4909" s="2"/>
      <c r="E4909" s="2"/>
      <c r="F4909" s="2"/>
      <c r="G4909" s="2"/>
      <c r="H4909" s="2"/>
      <c r="I4909" s="2"/>
      <c r="J4909" s="2"/>
      <c r="K4909" s="2"/>
    </row>
    <row r="4910" spans="4:11" x14ac:dyDescent="0.2">
      <c r="D4910" s="2"/>
      <c r="E4910" s="2"/>
      <c r="F4910" s="2"/>
      <c r="G4910" s="2"/>
      <c r="H4910" s="2"/>
      <c r="I4910" s="2"/>
      <c r="J4910" s="2"/>
      <c r="K4910" s="2"/>
    </row>
    <row r="4911" spans="4:11" x14ac:dyDescent="0.2">
      <c r="D4911" s="2"/>
      <c r="E4911" s="2"/>
      <c r="F4911" s="2"/>
      <c r="G4911" s="2"/>
      <c r="H4911" s="2"/>
      <c r="I4911" s="2"/>
      <c r="J4911" s="2"/>
      <c r="K4911" s="2"/>
    </row>
    <row r="4912" spans="4:11" x14ac:dyDescent="0.2">
      <c r="D4912" s="2"/>
      <c r="E4912" s="2"/>
      <c r="F4912" s="2"/>
      <c r="G4912" s="2"/>
      <c r="H4912" s="2"/>
      <c r="I4912" s="2"/>
      <c r="J4912" s="2"/>
      <c r="K4912" s="2"/>
    </row>
    <row r="4913" spans="4:11" x14ac:dyDescent="0.2">
      <c r="D4913" s="2"/>
      <c r="E4913" s="2"/>
      <c r="F4913" s="2"/>
      <c r="G4913" s="2"/>
      <c r="H4913" s="2"/>
      <c r="I4913" s="2"/>
      <c r="J4913" s="2"/>
      <c r="K4913" s="2"/>
    </row>
    <row r="4914" spans="4:11" x14ac:dyDescent="0.2">
      <c r="D4914" s="2"/>
      <c r="E4914" s="2"/>
      <c r="F4914" s="2"/>
      <c r="G4914" s="2"/>
      <c r="H4914" s="2"/>
      <c r="I4914" s="2"/>
      <c r="J4914" s="2"/>
      <c r="K4914" s="2"/>
    </row>
    <row r="4915" spans="4:11" x14ac:dyDescent="0.2">
      <c r="D4915" s="2"/>
      <c r="E4915" s="2"/>
      <c r="F4915" s="2"/>
      <c r="G4915" s="2"/>
      <c r="H4915" s="2"/>
      <c r="I4915" s="2"/>
      <c r="J4915" s="2"/>
      <c r="K4915" s="2"/>
    </row>
    <row r="4916" spans="4:11" x14ac:dyDescent="0.2">
      <c r="D4916" s="2"/>
      <c r="E4916" s="2"/>
      <c r="F4916" s="2"/>
      <c r="G4916" s="2"/>
      <c r="H4916" s="2"/>
      <c r="I4916" s="2"/>
      <c r="J4916" s="2"/>
      <c r="K4916" s="2"/>
    </row>
    <row r="4917" spans="4:11" x14ac:dyDescent="0.2">
      <c r="D4917" s="2"/>
      <c r="E4917" s="2"/>
      <c r="F4917" s="2"/>
      <c r="G4917" s="2"/>
      <c r="H4917" s="2"/>
      <c r="I4917" s="2"/>
      <c r="J4917" s="2"/>
      <c r="K4917" s="2"/>
    </row>
    <row r="4918" spans="4:11" x14ac:dyDescent="0.2">
      <c r="D4918" s="2"/>
      <c r="E4918" s="2"/>
      <c r="F4918" s="2"/>
      <c r="G4918" s="2"/>
      <c r="H4918" s="2"/>
      <c r="I4918" s="2"/>
      <c r="J4918" s="2"/>
      <c r="K4918" s="2"/>
    </row>
    <row r="4919" spans="4:11" x14ac:dyDescent="0.2">
      <c r="D4919" s="2"/>
      <c r="E4919" s="2"/>
      <c r="F4919" s="2"/>
      <c r="G4919" s="2"/>
      <c r="H4919" s="2"/>
      <c r="I4919" s="2"/>
      <c r="J4919" s="2"/>
      <c r="K4919" s="2"/>
    </row>
    <row r="4920" spans="4:11" x14ac:dyDescent="0.2">
      <c r="D4920" s="2"/>
      <c r="E4920" s="2"/>
      <c r="F4920" s="2"/>
      <c r="G4920" s="2"/>
      <c r="H4920" s="2"/>
      <c r="I4920" s="2"/>
      <c r="J4920" s="2"/>
      <c r="K4920" s="2"/>
    </row>
    <row r="4921" spans="4:11" x14ac:dyDescent="0.2">
      <c r="D4921" s="2"/>
      <c r="E4921" s="2"/>
      <c r="F4921" s="2"/>
      <c r="G4921" s="2"/>
      <c r="H4921" s="2"/>
      <c r="I4921" s="2"/>
      <c r="J4921" s="2"/>
      <c r="K4921" s="2"/>
    </row>
    <row r="4922" spans="4:11" x14ac:dyDescent="0.2">
      <c r="D4922" s="2"/>
      <c r="E4922" s="2"/>
      <c r="F4922" s="2"/>
      <c r="G4922" s="2"/>
      <c r="H4922" s="2"/>
      <c r="I4922" s="2"/>
      <c r="J4922" s="2"/>
      <c r="K4922" s="2"/>
    </row>
    <row r="4923" spans="4:11" x14ac:dyDescent="0.2">
      <c r="D4923" s="2"/>
      <c r="E4923" s="2"/>
      <c r="F4923" s="2"/>
      <c r="G4923" s="2"/>
      <c r="H4923" s="2"/>
      <c r="I4923" s="2"/>
      <c r="J4923" s="2"/>
      <c r="K4923" s="2"/>
    </row>
    <row r="4924" spans="4:11" x14ac:dyDescent="0.2">
      <c r="D4924" s="2"/>
      <c r="E4924" s="2"/>
      <c r="F4924" s="2"/>
      <c r="G4924" s="2"/>
      <c r="H4924" s="2"/>
      <c r="I4924" s="2"/>
      <c r="J4924" s="2"/>
      <c r="K4924" s="2"/>
    </row>
    <row r="4925" spans="4:11" x14ac:dyDescent="0.2">
      <c r="D4925" s="2"/>
      <c r="E4925" s="2"/>
      <c r="F4925" s="2"/>
      <c r="G4925" s="2"/>
      <c r="H4925" s="2"/>
      <c r="I4925" s="2"/>
      <c r="J4925" s="2"/>
      <c r="K4925" s="2"/>
    </row>
    <row r="4926" spans="4:11" x14ac:dyDescent="0.2">
      <c r="D4926" s="2"/>
      <c r="E4926" s="2"/>
      <c r="F4926" s="2"/>
      <c r="G4926" s="2"/>
      <c r="H4926" s="2"/>
      <c r="I4926" s="2"/>
      <c r="J4926" s="2"/>
      <c r="K4926" s="2"/>
    </row>
    <row r="4927" spans="4:11" x14ac:dyDescent="0.2">
      <c r="D4927" s="2"/>
      <c r="E4927" s="2"/>
      <c r="F4927" s="2"/>
      <c r="G4927" s="2"/>
      <c r="H4927" s="2"/>
      <c r="I4927" s="2"/>
      <c r="J4927" s="2"/>
      <c r="K4927" s="2"/>
    </row>
    <row r="4928" spans="4:11" x14ac:dyDescent="0.2">
      <c r="D4928" s="2"/>
      <c r="E4928" s="2"/>
      <c r="F4928" s="2"/>
      <c r="G4928" s="2"/>
      <c r="H4928" s="2"/>
      <c r="I4928" s="2"/>
      <c r="J4928" s="2"/>
      <c r="K4928" s="2"/>
    </row>
    <row r="4929" spans="4:11" x14ac:dyDescent="0.2">
      <c r="D4929" s="2"/>
      <c r="E4929" s="2"/>
      <c r="F4929" s="2"/>
      <c r="G4929" s="2"/>
      <c r="H4929" s="2"/>
      <c r="I4929" s="2"/>
      <c r="J4929" s="2"/>
      <c r="K4929" s="2"/>
    </row>
    <row r="4930" spans="4:11" x14ac:dyDescent="0.2">
      <c r="D4930" s="2"/>
      <c r="E4930" s="2"/>
      <c r="F4930" s="2"/>
      <c r="G4930" s="2"/>
      <c r="H4930" s="2"/>
      <c r="I4930" s="2"/>
      <c r="J4930" s="2"/>
      <c r="K4930" s="2"/>
    </row>
    <row r="4931" spans="4:11" x14ac:dyDescent="0.2">
      <c r="D4931" s="2"/>
      <c r="E4931" s="2"/>
      <c r="F4931" s="2"/>
      <c r="G4931" s="2"/>
      <c r="H4931" s="2"/>
      <c r="I4931" s="2"/>
      <c r="J4931" s="2"/>
      <c r="K4931" s="2"/>
    </row>
    <row r="4932" spans="4:11" x14ac:dyDescent="0.2">
      <c r="D4932" s="2"/>
      <c r="E4932" s="2"/>
      <c r="F4932" s="2"/>
      <c r="G4932" s="2"/>
      <c r="H4932" s="2"/>
      <c r="I4932" s="2"/>
      <c r="J4932" s="2"/>
      <c r="K4932" s="2"/>
    </row>
    <row r="4933" spans="4:11" x14ac:dyDescent="0.2">
      <c r="D4933" s="2"/>
      <c r="E4933" s="2"/>
      <c r="F4933" s="2"/>
      <c r="G4933" s="2"/>
      <c r="H4933" s="2"/>
      <c r="I4933" s="2"/>
      <c r="J4933" s="2"/>
      <c r="K4933" s="2"/>
    </row>
    <row r="4934" spans="4:11" x14ac:dyDescent="0.2">
      <c r="D4934" s="2"/>
      <c r="E4934" s="2"/>
      <c r="F4934" s="2"/>
      <c r="G4934" s="2"/>
      <c r="H4934" s="2"/>
      <c r="I4934" s="2"/>
      <c r="J4934" s="2"/>
      <c r="K4934" s="2"/>
    </row>
    <row r="4935" spans="4:11" x14ac:dyDescent="0.2">
      <c r="D4935" s="2"/>
      <c r="E4935" s="2"/>
      <c r="F4935" s="2"/>
      <c r="G4935" s="2"/>
      <c r="H4935" s="2"/>
      <c r="I4935" s="2"/>
      <c r="J4935" s="2"/>
      <c r="K4935" s="2"/>
    </row>
    <row r="4936" spans="4:11" x14ac:dyDescent="0.2">
      <c r="D4936" s="2"/>
      <c r="E4936" s="2"/>
      <c r="F4936" s="2"/>
      <c r="G4936" s="2"/>
      <c r="H4936" s="2"/>
      <c r="I4936" s="2"/>
      <c r="J4936" s="2"/>
      <c r="K4936" s="2"/>
    </row>
    <row r="4937" spans="4:11" x14ac:dyDescent="0.2">
      <c r="D4937" s="2"/>
      <c r="E4937" s="2"/>
      <c r="F4937" s="2"/>
      <c r="G4937" s="2"/>
      <c r="H4937" s="2"/>
      <c r="I4937" s="2"/>
      <c r="J4937" s="2"/>
      <c r="K4937" s="2"/>
    </row>
    <row r="4938" spans="4:11" x14ac:dyDescent="0.2">
      <c r="D4938" s="2"/>
      <c r="E4938" s="2"/>
      <c r="F4938" s="2"/>
      <c r="G4938" s="2"/>
      <c r="H4938" s="2"/>
      <c r="I4938" s="2"/>
      <c r="J4938" s="2"/>
      <c r="K4938" s="2"/>
    </row>
    <row r="4939" spans="4:11" x14ac:dyDescent="0.2">
      <c r="D4939" s="2"/>
      <c r="E4939" s="2"/>
      <c r="F4939" s="2"/>
      <c r="G4939" s="2"/>
      <c r="H4939" s="2"/>
      <c r="I4939" s="2"/>
      <c r="J4939" s="2"/>
      <c r="K4939" s="2"/>
    </row>
    <row r="4940" spans="4:11" x14ac:dyDescent="0.2">
      <c r="D4940" s="2"/>
      <c r="E4940" s="2"/>
      <c r="F4940" s="2"/>
      <c r="G4940" s="2"/>
      <c r="H4940" s="2"/>
      <c r="I4940" s="2"/>
      <c r="J4940" s="2"/>
      <c r="K4940" s="2"/>
    </row>
    <row r="4941" spans="4:11" x14ac:dyDescent="0.2">
      <c r="D4941" s="2"/>
      <c r="E4941" s="2"/>
      <c r="F4941" s="2"/>
      <c r="G4941" s="2"/>
      <c r="H4941" s="2"/>
      <c r="I4941" s="2"/>
      <c r="J4941" s="2"/>
      <c r="K4941" s="2"/>
    </row>
    <row r="4942" spans="4:11" x14ac:dyDescent="0.2">
      <c r="D4942" s="2"/>
      <c r="E4942" s="2"/>
      <c r="F4942" s="2"/>
      <c r="G4942" s="2"/>
      <c r="H4942" s="2"/>
      <c r="I4942" s="2"/>
      <c r="J4942" s="2"/>
      <c r="K4942" s="2"/>
    </row>
    <row r="4943" spans="4:11" x14ac:dyDescent="0.2">
      <c r="D4943" s="2"/>
      <c r="E4943" s="2"/>
      <c r="F4943" s="2"/>
      <c r="G4943" s="2"/>
      <c r="H4943" s="2"/>
      <c r="I4943" s="2"/>
      <c r="J4943" s="2"/>
      <c r="K4943" s="2"/>
    </row>
    <row r="4944" spans="4:11" x14ac:dyDescent="0.2">
      <c r="D4944" s="2"/>
      <c r="E4944" s="2"/>
      <c r="F4944" s="2"/>
      <c r="G4944" s="2"/>
      <c r="H4944" s="2"/>
      <c r="I4944" s="2"/>
      <c r="J4944" s="2"/>
      <c r="K4944" s="2"/>
    </row>
    <row r="4945" spans="4:11" x14ac:dyDescent="0.2">
      <c r="D4945" s="2"/>
      <c r="E4945" s="2"/>
      <c r="F4945" s="2"/>
      <c r="G4945" s="2"/>
      <c r="H4945" s="2"/>
      <c r="I4945" s="2"/>
      <c r="J4945" s="2"/>
      <c r="K4945" s="2"/>
    </row>
    <row r="4946" spans="4:11" x14ac:dyDescent="0.2">
      <c r="D4946" s="2"/>
      <c r="E4946" s="2"/>
      <c r="F4946" s="2"/>
      <c r="G4946" s="2"/>
      <c r="H4946" s="2"/>
      <c r="I4946" s="2"/>
      <c r="J4946" s="2"/>
      <c r="K4946" s="2"/>
    </row>
    <row r="4947" spans="4:11" x14ac:dyDescent="0.2">
      <c r="D4947" s="2"/>
      <c r="E4947" s="2"/>
      <c r="F4947" s="2"/>
      <c r="G4947" s="2"/>
      <c r="H4947" s="2"/>
      <c r="I4947" s="2"/>
      <c r="J4947" s="2"/>
      <c r="K4947" s="2"/>
    </row>
    <row r="4948" spans="4:11" x14ac:dyDescent="0.2">
      <c r="D4948" s="2"/>
      <c r="E4948" s="2"/>
      <c r="F4948" s="2"/>
      <c r="G4948" s="2"/>
      <c r="H4948" s="2"/>
      <c r="I4948" s="2"/>
      <c r="J4948" s="2"/>
      <c r="K4948" s="2"/>
    </row>
    <row r="4949" spans="4:11" x14ac:dyDescent="0.2">
      <c r="D4949" s="2"/>
      <c r="E4949" s="2"/>
      <c r="F4949" s="2"/>
      <c r="G4949" s="2"/>
      <c r="H4949" s="2"/>
      <c r="I4949" s="2"/>
      <c r="J4949" s="2"/>
      <c r="K4949" s="2"/>
    </row>
    <row r="4950" spans="4:11" x14ac:dyDescent="0.2">
      <c r="D4950" s="2"/>
      <c r="E4950" s="2"/>
      <c r="F4950" s="2"/>
      <c r="G4950" s="2"/>
      <c r="H4950" s="2"/>
      <c r="I4950" s="2"/>
      <c r="J4950" s="2"/>
      <c r="K4950" s="2"/>
    </row>
    <row r="4951" spans="4:11" x14ac:dyDescent="0.2">
      <c r="D4951" s="2"/>
      <c r="E4951" s="2"/>
      <c r="F4951" s="2"/>
      <c r="G4951" s="2"/>
      <c r="H4951" s="2"/>
      <c r="I4951" s="2"/>
      <c r="J4951" s="2"/>
      <c r="K4951" s="2"/>
    </row>
    <row r="4952" spans="4:11" x14ac:dyDescent="0.2">
      <c r="D4952" s="2"/>
      <c r="E4952" s="2"/>
      <c r="F4952" s="2"/>
      <c r="G4952" s="2"/>
      <c r="H4952" s="2"/>
      <c r="I4952" s="2"/>
      <c r="J4952" s="2"/>
      <c r="K4952" s="2"/>
    </row>
    <row r="4953" spans="4:11" x14ac:dyDescent="0.2">
      <c r="D4953" s="2"/>
      <c r="E4953" s="2"/>
      <c r="F4953" s="2"/>
      <c r="G4953" s="2"/>
      <c r="H4953" s="2"/>
      <c r="I4953" s="2"/>
      <c r="J4953" s="2"/>
      <c r="K4953" s="2"/>
    </row>
    <row r="4954" spans="4:11" x14ac:dyDescent="0.2">
      <c r="D4954" s="2"/>
      <c r="E4954" s="2"/>
      <c r="F4954" s="2"/>
      <c r="G4954" s="2"/>
      <c r="H4954" s="2"/>
      <c r="I4954" s="2"/>
      <c r="J4954" s="2"/>
      <c r="K4954" s="2"/>
    </row>
    <row r="4955" spans="4:11" x14ac:dyDescent="0.2">
      <c r="D4955" s="2"/>
      <c r="E4955" s="2"/>
      <c r="F4955" s="2"/>
      <c r="G4955" s="2"/>
      <c r="H4955" s="2"/>
      <c r="I4955" s="2"/>
      <c r="J4955" s="2"/>
      <c r="K4955" s="2"/>
    </row>
    <row r="4956" spans="4:11" x14ac:dyDescent="0.2">
      <c r="D4956" s="2"/>
      <c r="E4956" s="2"/>
      <c r="F4956" s="2"/>
      <c r="G4956" s="2"/>
      <c r="H4956" s="2"/>
      <c r="I4956" s="2"/>
      <c r="J4956" s="2"/>
      <c r="K4956" s="2"/>
    </row>
    <row r="4957" spans="4:11" x14ac:dyDescent="0.2">
      <c r="D4957" s="2"/>
      <c r="E4957" s="2"/>
      <c r="F4957" s="2"/>
      <c r="G4957" s="2"/>
      <c r="H4957" s="2"/>
      <c r="I4957" s="2"/>
      <c r="J4957" s="2"/>
      <c r="K4957" s="2"/>
    </row>
    <row r="4958" spans="4:11" x14ac:dyDescent="0.2">
      <c r="D4958" s="2"/>
      <c r="E4958" s="2"/>
      <c r="F4958" s="2"/>
      <c r="G4958" s="2"/>
      <c r="H4958" s="2"/>
      <c r="I4958" s="2"/>
      <c r="J4958" s="2"/>
      <c r="K4958" s="2"/>
    </row>
    <row r="4959" spans="4:11" x14ac:dyDescent="0.2">
      <c r="D4959" s="2"/>
      <c r="E4959" s="2"/>
      <c r="F4959" s="2"/>
      <c r="G4959" s="2"/>
      <c r="H4959" s="2"/>
      <c r="I4959" s="2"/>
      <c r="J4959" s="2"/>
      <c r="K4959" s="2"/>
    </row>
    <row r="4960" spans="4:11" x14ac:dyDescent="0.2">
      <c r="D4960" s="2"/>
      <c r="E4960" s="2"/>
      <c r="F4960" s="2"/>
      <c r="G4960" s="2"/>
      <c r="H4960" s="2"/>
      <c r="I4960" s="2"/>
      <c r="J4960" s="2"/>
      <c r="K4960" s="2"/>
    </row>
    <row r="4961" spans="4:11" x14ac:dyDescent="0.2">
      <c r="D4961" s="2"/>
      <c r="E4961" s="2"/>
      <c r="F4961" s="2"/>
      <c r="G4961" s="2"/>
      <c r="H4961" s="2"/>
      <c r="I4961" s="2"/>
      <c r="J4961" s="2"/>
      <c r="K4961" s="2"/>
    </row>
    <row r="4962" spans="4:11" x14ac:dyDescent="0.2">
      <c r="D4962" s="2"/>
      <c r="E4962" s="2"/>
      <c r="F4962" s="2"/>
      <c r="G4962" s="2"/>
      <c r="H4962" s="2"/>
      <c r="I4962" s="2"/>
      <c r="J4962" s="2"/>
      <c r="K4962" s="2"/>
    </row>
    <row r="4963" spans="4:11" x14ac:dyDescent="0.2">
      <c r="D4963" s="2"/>
      <c r="E4963" s="2"/>
      <c r="F4963" s="2"/>
      <c r="G4963" s="2"/>
      <c r="H4963" s="2"/>
      <c r="I4963" s="2"/>
      <c r="J4963" s="2"/>
      <c r="K4963" s="2"/>
    </row>
    <row r="4964" spans="4:11" x14ac:dyDescent="0.2">
      <c r="D4964" s="2"/>
      <c r="E4964" s="2"/>
      <c r="F4964" s="2"/>
      <c r="G4964" s="2"/>
      <c r="H4964" s="2"/>
      <c r="I4964" s="2"/>
      <c r="J4964" s="2"/>
      <c r="K4964" s="2"/>
    </row>
    <row r="4965" spans="4:11" x14ac:dyDescent="0.2">
      <c r="D4965" s="2"/>
      <c r="E4965" s="2"/>
      <c r="F4965" s="2"/>
      <c r="G4965" s="2"/>
      <c r="H4965" s="2"/>
      <c r="I4965" s="2"/>
      <c r="J4965" s="2"/>
      <c r="K4965" s="2"/>
    </row>
    <row r="4966" spans="4:11" x14ac:dyDescent="0.2">
      <c r="D4966" s="2"/>
      <c r="E4966" s="2"/>
      <c r="F4966" s="2"/>
      <c r="G4966" s="2"/>
      <c r="H4966" s="2"/>
      <c r="I4966" s="2"/>
      <c r="J4966" s="2"/>
      <c r="K4966" s="2"/>
    </row>
    <row r="4967" spans="4:11" x14ac:dyDescent="0.2">
      <c r="D4967" s="2"/>
      <c r="E4967" s="2"/>
      <c r="F4967" s="2"/>
      <c r="G4967" s="2"/>
      <c r="H4967" s="2"/>
      <c r="I4967" s="2"/>
      <c r="J4967" s="2"/>
      <c r="K4967" s="2"/>
    </row>
    <row r="4968" spans="4:11" x14ac:dyDescent="0.2">
      <c r="D4968" s="2"/>
      <c r="E4968" s="2"/>
      <c r="F4968" s="2"/>
      <c r="G4968" s="2"/>
      <c r="H4968" s="2"/>
      <c r="I4968" s="2"/>
      <c r="J4968" s="2"/>
      <c r="K4968" s="2"/>
    </row>
    <row r="4969" spans="4:11" x14ac:dyDescent="0.2">
      <c r="D4969" s="2"/>
      <c r="E4969" s="2"/>
      <c r="F4969" s="2"/>
      <c r="G4969" s="2"/>
      <c r="H4969" s="2"/>
      <c r="I4969" s="2"/>
      <c r="J4969" s="2"/>
      <c r="K4969" s="2"/>
    </row>
    <row r="4970" spans="4:11" x14ac:dyDescent="0.2">
      <c r="D4970" s="2"/>
      <c r="E4970" s="2"/>
      <c r="F4970" s="2"/>
      <c r="G4970" s="2"/>
      <c r="H4970" s="2"/>
      <c r="I4970" s="2"/>
      <c r="J4970" s="2"/>
      <c r="K4970" s="2"/>
    </row>
    <row r="4971" spans="4:11" x14ac:dyDescent="0.2">
      <c r="D4971" s="2"/>
      <c r="E4971" s="2"/>
      <c r="F4971" s="2"/>
      <c r="G4971" s="2"/>
      <c r="H4971" s="2"/>
      <c r="I4971" s="2"/>
      <c r="J4971" s="2"/>
      <c r="K4971" s="2"/>
    </row>
    <row r="4972" spans="4:11" x14ac:dyDescent="0.2">
      <c r="D4972" s="2"/>
      <c r="E4972" s="2"/>
      <c r="F4972" s="2"/>
      <c r="G4972" s="2"/>
      <c r="H4972" s="2"/>
      <c r="I4972" s="2"/>
      <c r="J4972" s="2"/>
      <c r="K4972" s="2"/>
    </row>
    <row r="4973" spans="4:11" x14ac:dyDescent="0.2">
      <c r="D4973" s="2"/>
      <c r="E4973" s="2"/>
      <c r="F4973" s="2"/>
      <c r="G4973" s="2"/>
      <c r="H4973" s="2"/>
      <c r="I4973" s="2"/>
      <c r="J4973" s="2"/>
      <c r="K4973" s="2"/>
    </row>
    <row r="4974" spans="4:11" x14ac:dyDescent="0.2">
      <c r="D4974" s="2"/>
      <c r="E4974" s="2"/>
      <c r="F4974" s="2"/>
      <c r="G4974" s="2"/>
      <c r="H4974" s="2"/>
      <c r="I4974" s="2"/>
      <c r="J4974" s="2"/>
      <c r="K4974" s="2"/>
    </row>
    <row r="4975" spans="4:11" x14ac:dyDescent="0.2">
      <c r="D4975" s="2"/>
      <c r="E4975" s="2"/>
      <c r="F4975" s="2"/>
      <c r="G4975" s="2"/>
      <c r="H4975" s="2"/>
      <c r="I4975" s="2"/>
      <c r="J4975" s="2"/>
      <c r="K4975" s="2"/>
    </row>
    <row r="4976" spans="4:11" x14ac:dyDescent="0.2">
      <c r="D4976" s="2"/>
      <c r="E4976" s="2"/>
      <c r="F4976" s="2"/>
      <c r="G4976" s="2"/>
      <c r="H4976" s="2"/>
      <c r="I4976" s="2"/>
      <c r="J4976" s="2"/>
      <c r="K4976" s="2"/>
    </row>
    <row r="4977" spans="4:11" x14ac:dyDescent="0.2">
      <c r="D4977" s="2"/>
      <c r="E4977" s="2"/>
      <c r="F4977" s="2"/>
      <c r="G4977" s="2"/>
      <c r="H4977" s="2"/>
      <c r="I4977" s="2"/>
      <c r="J4977" s="2"/>
      <c r="K4977" s="2"/>
    </row>
    <row r="4978" spans="4:11" x14ac:dyDescent="0.2">
      <c r="D4978" s="2"/>
      <c r="E4978" s="2"/>
      <c r="F4978" s="2"/>
      <c r="G4978" s="2"/>
      <c r="H4978" s="2"/>
      <c r="I4978" s="2"/>
      <c r="J4978" s="2"/>
      <c r="K4978" s="2"/>
    </row>
    <row r="4979" spans="4:11" x14ac:dyDescent="0.2">
      <c r="D4979" s="2"/>
      <c r="E4979" s="2"/>
      <c r="F4979" s="2"/>
      <c r="G4979" s="2"/>
      <c r="H4979" s="2"/>
      <c r="I4979" s="2"/>
      <c r="J4979" s="2"/>
      <c r="K4979" s="2"/>
    </row>
    <row r="4980" spans="4:11" x14ac:dyDescent="0.2">
      <c r="D4980" s="2"/>
      <c r="E4980" s="2"/>
      <c r="F4980" s="2"/>
      <c r="G4980" s="2"/>
      <c r="H4980" s="2"/>
      <c r="I4980" s="2"/>
      <c r="J4980" s="2"/>
      <c r="K4980" s="2"/>
    </row>
    <row r="4981" spans="4:11" x14ac:dyDescent="0.2">
      <c r="D4981" s="2"/>
      <c r="E4981" s="2"/>
      <c r="F4981" s="2"/>
      <c r="G4981" s="2"/>
      <c r="H4981" s="2"/>
      <c r="I4981" s="2"/>
      <c r="J4981" s="2"/>
      <c r="K4981" s="2"/>
    </row>
    <row r="4982" spans="4:11" x14ac:dyDescent="0.2">
      <c r="D4982" s="2"/>
      <c r="E4982" s="2"/>
      <c r="F4982" s="2"/>
      <c r="G4982" s="2"/>
      <c r="H4982" s="2"/>
      <c r="I4982" s="2"/>
      <c r="J4982" s="2"/>
      <c r="K4982" s="2"/>
    </row>
    <row r="4983" spans="4:11" x14ac:dyDescent="0.2">
      <c r="D4983" s="2"/>
      <c r="E4983" s="2"/>
      <c r="F4983" s="2"/>
      <c r="G4983" s="2"/>
      <c r="H4983" s="2"/>
      <c r="I4983" s="2"/>
      <c r="J4983" s="2"/>
      <c r="K4983" s="2"/>
    </row>
    <row r="4984" spans="4:11" x14ac:dyDescent="0.2">
      <c r="D4984" s="2"/>
      <c r="E4984" s="2"/>
      <c r="F4984" s="2"/>
      <c r="G4984" s="2"/>
      <c r="H4984" s="2"/>
      <c r="I4984" s="2"/>
      <c r="J4984" s="2"/>
      <c r="K4984" s="2"/>
    </row>
    <row r="4985" spans="4:11" x14ac:dyDescent="0.2">
      <c r="D4985" s="2"/>
      <c r="E4985" s="2"/>
      <c r="F4985" s="2"/>
      <c r="G4985" s="2"/>
      <c r="H4985" s="2"/>
      <c r="I4985" s="2"/>
      <c r="J4985" s="2"/>
      <c r="K4985" s="2"/>
    </row>
    <row r="4986" spans="4:11" x14ac:dyDescent="0.2">
      <c r="D4986" s="2"/>
      <c r="E4986" s="2"/>
      <c r="F4986" s="2"/>
      <c r="G4986" s="2"/>
      <c r="H4986" s="2"/>
      <c r="I4986" s="2"/>
      <c r="J4986" s="2"/>
      <c r="K4986" s="2"/>
    </row>
    <row r="4987" spans="4:11" x14ac:dyDescent="0.2">
      <c r="D4987" s="2"/>
      <c r="E4987" s="2"/>
      <c r="F4987" s="2"/>
      <c r="G4987" s="2"/>
      <c r="H4987" s="2"/>
      <c r="I4987" s="2"/>
      <c r="J4987" s="2"/>
      <c r="K4987" s="2"/>
    </row>
    <row r="4988" spans="4:11" x14ac:dyDescent="0.2">
      <c r="D4988" s="2"/>
      <c r="E4988" s="2"/>
      <c r="F4988" s="2"/>
      <c r="G4988" s="2"/>
      <c r="H4988" s="2"/>
      <c r="I4988" s="2"/>
      <c r="J4988" s="2"/>
      <c r="K4988" s="2"/>
    </row>
    <row r="4989" spans="4:11" x14ac:dyDescent="0.2">
      <c r="D4989" s="2"/>
      <c r="E4989" s="2"/>
      <c r="F4989" s="2"/>
      <c r="G4989" s="2"/>
      <c r="H4989" s="2"/>
      <c r="I4989" s="2"/>
      <c r="J4989" s="2"/>
      <c r="K4989" s="2"/>
    </row>
    <row r="4990" spans="4:11" x14ac:dyDescent="0.2">
      <c r="D4990" s="2"/>
      <c r="E4990" s="2"/>
      <c r="F4990" s="2"/>
      <c r="G4990" s="2"/>
      <c r="H4990" s="2"/>
      <c r="I4990" s="2"/>
      <c r="J4990" s="2"/>
      <c r="K4990" s="2"/>
    </row>
    <row r="4991" spans="4:11" x14ac:dyDescent="0.2">
      <c r="D4991" s="2"/>
      <c r="E4991" s="2"/>
      <c r="F4991" s="2"/>
      <c r="G4991" s="2"/>
      <c r="H4991" s="2"/>
      <c r="I4991" s="2"/>
      <c r="J4991" s="2"/>
      <c r="K4991" s="2"/>
    </row>
    <row r="4992" spans="4:11" x14ac:dyDescent="0.2">
      <c r="D4992" s="2"/>
      <c r="E4992" s="2"/>
      <c r="F4992" s="2"/>
      <c r="G4992" s="2"/>
      <c r="H4992" s="2"/>
      <c r="I4992" s="2"/>
      <c r="J4992" s="2"/>
      <c r="K4992" s="2"/>
    </row>
    <row r="4993" spans="4:11" x14ac:dyDescent="0.2">
      <c r="D4993" s="2"/>
      <c r="E4993" s="2"/>
      <c r="F4993" s="2"/>
      <c r="G4993" s="2"/>
      <c r="H4993" s="2"/>
      <c r="I4993" s="2"/>
      <c r="J4993" s="2"/>
      <c r="K4993" s="2"/>
    </row>
    <row r="4994" spans="4:11" x14ac:dyDescent="0.2">
      <c r="D4994" s="2"/>
      <c r="E4994" s="2"/>
      <c r="F4994" s="2"/>
      <c r="G4994" s="2"/>
      <c r="H4994" s="2"/>
      <c r="I4994" s="2"/>
      <c r="J4994" s="2"/>
      <c r="K4994" s="2"/>
    </row>
    <row r="4995" spans="4:11" x14ac:dyDescent="0.2">
      <c r="D4995" s="2"/>
      <c r="E4995" s="2"/>
      <c r="F4995" s="2"/>
      <c r="G4995" s="2"/>
      <c r="H4995" s="2"/>
      <c r="I4995" s="2"/>
      <c r="J4995" s="2"/>
      <c r="K4995" s="2"/>
    </row>
    <row r="4996" spans="4:11" x14ac:dyDescent="0.2">
      <c r="D4996" s="2"/>
      <c r="E4996" s="2"/>
      <c r="F4996" s="2"/>
      <c r="G4996" s="2"/>
      <c r="H4996" s="2"/>
      <c r="I4996" s="2"/>
      <c r="J4996" s="2"/>
      <c r="K4996" s="2"/>
    </row>
    <row r="4997" spans="4:11" x14ac:dyDescent="0.2">
      <c r="D4997" s="2"/>
      <c r="E4997" s="2"/>
      <c r="F4997" s="2"/>
      <c r="G4997" s="2"/>
      <c r="H4997" s="2"/>
      <c r="I4997" s="2"/>
      <c r="J4997" s="2"/>
      <c r="K4997" s="2"/>
    </row>
    <row r="4998" spans="4:11" x14ac:dyDescent="0.2">
      <c r="D4998" s="2"/>
      <c r="E4998" s="2"/>
      <c r="F4998" s="2"/>
      <c r="G4998" s="2"/>
      <c r="H4998" s="2"/>
      <c r="I4998" s="2"/>
      <c r="J4998" s="2"/>
      <c r="K4998" s="2"/>
    </row>
    <row r="4999" spans="4:11" x14ac:dyDescent="0.2">
      <c r="D4999" s="2"/>
      <c r="E4999" s="2"/>
      <c r="F4999" s="2"/>
      <c r="G4999" s="2"/>
      <c r="H4999" s="2"/>
      <c r="I4999" s="2"/>
      <c r="J4999" s="2"/>
      <c r="K4999" s="2"/>
    </row>
    <row r="5000" spans="4:11" x14ac:dyDescent="0.2">
      <c r="D5000" s="2"/>
      <c r="E5000" s="2"/>
      <c r="F5000" s="2"/>
      <c r="G5000" s="2"/>
      <c r="H5000" s="2"/>
      <c r="I5000" s="2"/>
      <c r="J5000" s="2"/>
      <c r="K5000" s="2"/>
    </row>
    <row r="5001" spans="4:11" x14ac:dyDescent="0.2">
      <c r="D5001" s="2"/>
      <c r="E5001" s="2"/>
      <c r="F5001" s="2"/>
      <c r="G5001" s="2"/>
      <c r="H5001" s="2"/>
      <c r="I5001" s="2"/>
      <c r="J5001" s="2"/>
      <c r="K5001" s="2"/>
    </row>
    <row r="5002" spans="4:11" x14ac:dyDescent="0.2">
      <c r="D5002" s="2"/>
      <c r="E5002" s="2"/>
      <c r="F5002" s="2"/>
      <c r="G5002" s="2"/>
      <c r="H5002" s="2"/>
      <c r="I5002" s="2"/>
      <c r="J5002" s="2"/>
      <c r="K5002" s="2"/>
    </row>
    <row r="5003" spans="4:11" x14ac:dyDescent="0.2">
      <c r="D5003" s="2"/>
      <c r="E5003" s="2"/>
      <c r="F5003" s="2"/>
      <c r="G5003" s="2"/>
      <c r="H5003" s="2"/>
      <c r="I5003" s="2"/>
      <c r="J5003" s="2"/>
      <c r="K5003" s="2"/>
    </row>
    <row r="5004" spans="4:11" x14ac:dyDescent="0.2">
      <c r="D5004" s="2"/>
      <c r="E5004" s="2"/>
      <c r="F5004" s="2"/>
      <c r="G5004" s="2"/>
      <c r="H5004" s="2"/>
      <c r="I5004" s="2"/>
      <c r="J5004" s="2"/>
      <c r="K5004" s="2"/>
    </row>
    <row r="5005" spans="4:11" x14ac:dyDescent="0.2">
      <c r="D5005" s="2"/>
      <c r="E5005" s="2"/>
      <c r="F5005" s="2"/>
      <c r="G5005" s="2"/>
      <c r="H5005" s="2"/>
      <c r="I5005" s="2"/>
      <c r="J5005" s="2"/>
      <c r="K5005" s="2"/>
    </row>
    <row r="5006" spans="4:11" x14ac:dyDescent="0.2">
      <c r="D5006" s="2"/>
      <c r="E5006" s="2"/>
      <c r="F5006" s="2"/>
      <c r="G5006" s="2"/>
      <c r="H5006" s="2"/>
      <c r="I5006" s="2"/>
      <c r="J5006" s="2"/>
      <c r="K5006" s="2"/>
    </row>
    <row r="5007" spans="4:11" x14ac:dyDescent="0.2">
      <c r="D5007" s="2"/>
      <c r="E5007" s="2"/>
      <c r="F5007" s="2"/>
      <c r="G5007" s="2"/>
      <c r="H5007" s="2"/>
      <c r="I5007" s="2"/>
      <c r="J5007" s="2"/>
      <c r="K5007" s="2"/>
    </row>
    <row r="5008" spans="4:11" x14ac:dyDescent="0.2">
      <c r="D5008" s="2"/>
      <c r="E5008" s="2"/>
      <c r="F5008" s="2"/>
      <c r="G5008" s="2"/>
      <c r="H5008" s="2"/>
      <c r="I5008" s="2"/>
      <c r="J5008" s="2"/>
      <c r="K5008" s="2"/>
    </row>
    <row r="5009" spans="4:11" x14ac:dyDescent="0.2">
      <c r="D5009" s="2"/>
      <c r="E5009" s="2"/>
      <c r="F5009" s="2"/>
      <c r="G5009" s="2"/>
      <c r="H5009" s="2"/>
      <c r="I5009" s="2"/>
      <c r="J5009" s="2"/>
      <c r="K5009" s="2"/>
    </row>
    <row r="5010" spans="4:11" x14ac:dyDescent="0.2">
      <c r="D5010" s="2"/>
      <c r="E5010" s="2"/>
      <c r="F5010" s="2"/>
      <c r="G5010" s="2"/>
      <c r="H5010" s="2"/>
      <c r="I5010" s="2"/>
      <c r="J5010" s="2"/>
      <c r="K5010" s="2"/>
    </row>
    <row r="5011" spans="4:11" x14ac:dyDescent="0.2">
      <c r="D5011" s="2"/>
      <c r="E5011" s="2"/>
      <c r="F5011" s="2"/>
      <c r="G5011" s="2"/>
      <c r="H5011" s="2"/>
      <c r="I5011" s="2"/>
      <c r="J5011" s="2"/>
      <c r="K5011" s="2"/>
    </row>
    <row r="5012" spans="4:11" x14ac:dyDescent="0.2">
      <c r="D5012" s="2"/>
      <c r="E5012" s="2"/>
      <c r="F5012" s="2"/>
      <c r="G5012" s="2"/>
      <c r="H5012" s="2"/>
      <c r="I5012" s="2"/>
      <c r="J5012" s="2"/>
      <c r="K5012" s="2"/>
    </row>
    <row r="5013" spans="4:11" x14ac:dyDescent="0.2">
      <c r="D5013" s="2"/>
      <c r="E5013" s="2"/>
      <c r="F5013" s="2"/>
      <c r="G5013" s="2"/>
      <c r="H5013" s="2"/>
      <c r="I5013" s="2"/>
      <c r="J5013" s="2"/>
      <c r="K5013" s="2"/>
    </row>
    <row r="5014" spans="4:11" x14ac:dyDescent="0.2">
      <c r="D5014" s="2"/>
      <c r="E5014" s="2"/>
      <c r="F5014" s="2"/>
      <c r="G5014" s="2"/>
      <c r="H5014" s="2"/>
      <c r="I5014" s="2"/>
      <c r="J5014" s="2"/>
      <c r="K5014" s="2"/>
    </row>
    <row r="5015" spans="4:11" x14ac:dyDescent="0.2">
      <c r="D5015" s="2"/>
      <c r="E5015" s="2"/>
      <c r="F5015" s="2"/>
      <c r="G5015" s="2"/>
      <c r="H5015" s="2"/>
      <c r="I5015" s="2"/>
      <c r="J5015" s="2"/>
      <c r="K5015" s="2"/>
    </row>
    <row r="5016" spans="4:11" x14ac:dyDescent="0.2">
      <c r="D5016" s="2"/>
      <c r="E5016" s="2"/>
      <c r="F5016" s="2"/>
      <c r="G5016" s="2"/>
      <c r="H5016" s="2"/>
      <c r="I5016" s="2"/>
      <c r="J5016" s="2"/>
      <c r="K5016" s="2"/>
    </row>
    <row r="5017" spans="4:11" x14ac:dyDescent="0.2">
      <c r="D5017" s="2"/>
      <c r="E5017" s="2"/>
      <c r="F5017" s="2"/>
      <c r="G5017" s="2"/>
      <c r="H5017" s="2"/>
      <c r="I5017" s="2"/>
      <c r="J5017" s="2"/>
      <c r="K5017" s="2"/>
    </row>
    <row r="5018" spans="4:11" x14ac:dyDescent="0.2">
      <c r="D5018" s="2"/>
      <c r="E5018" s="2"/>
      <c r="F5018" s="2"/>
      <c r="G5018" s="2"/>
      <c r="H5018" s="2"/>
      <c r="I5018" s="2"/>
      <c r="J5018" s="2"/>
      <c r="K5018" s="2"/>
    </row>
    <row r="5019" spans="4:11" x14ac:dyDescent="0.2">
      <c r="D5019" s="2"/>
      <c r="E5019" s="2"/>
      <c r="F5019" s="2"/>
      <c r="G5019" s="2"/>
      <c r="H5019" s="2"/>
      <c r="I5019" s="2"/>
      <c r="J5019" s="2"/>
      <c r="K5019" s="2"/>
    </row>
    <row r="5020" spans="4:11" x14ac:dyDescent="0.2">
      <c r="D5020" s="2"/>
      <c r="E5020" s="2"/>
      <c r="F5020" s="2"/>
      <c r="G5020" s="2"/>
      <c r="H5020" s="2"/>
      <c r="I5020" s="2"/>
      <c r="J5020" s="2"/>
      <c r="K5020" s="2"/>
    </row>
    <row r="5021" spans="4:11" x14ac:dyDescent="0.2">
      <c r="D5021" s="2"/>
      <c r="E5021" s="2"/>
      <c r="F5021" s="2"/>
      <c r="G5021" s="2"/>
      <c r="H5021" s="2"/>
      <c r="I5021" s="2"/>
      <c r="J5021" s="2"/>
      <c r="K5021" s="2"/>
    </row>
    <row r="5022" spans="4:11" x14ac:dyDescent="0.2">
      <c r="D5022" s="2"/>
      <c r="E5022" s="2"/>
      <c r="F5022" s="2"/>
      <c r="G5022" s="2"/>
      <c r="H5022" s="2"/>
      <c r="I5022" s="2"/>
      <c r="J5022" s="2"/>
      <c r="K5022" s="2"/>
    </row>
    <row r="5023" spans="4:11" x14ac:dyDescent="0.2">
      <c r="D5023" s="2"/>
      <c r="E5023" s="2"/>
      <c r="F5023" s="2"/>
      <c r="G5023" s="2"/>
      <c r="H5023" s="2"/>
      <c r="I5023" s="2"/>
      <c r="J5023" s="2"/>
      <c r="K5023" s="2"/>
    </row>
    <row r="5024" spans="4:11" x14ac:dyDescent="0.2">
      <c r="D5024" s="2"/>
      <c r="E5024" s="2"/>
      <c r="F5024" s="2"/>
      <c r="G5024" s="2"/>
      <c r="H5024" s="2"/>
      <c r="I5024" s="2"/>
      <c r="J5024" s="2"/>
      <c r="K5024" s="2"/>
    </row>
    <row r="5025" spans="4:11" x14ac:dyDescent="0.2">
      <c r="D5025" s="2"/>
      <c r="E5025" s="2"/>
      <c r="F5025" s="2"/>
      <c r="G5025" s="2"/>
      <c r="H5025" s="2"/>
      <c r="I5025" s="2"/>
      <c r="J5025" s="2"/>
      <c r="K5025" s="2"/>
    </row>
  </sheetData>
  <mergeCells count="1">
    <mergeCell ref="A23:D23"/>
  </mergeCells>
  <pageMargins left="0.7" right="0.7" top="0.75" bottom="0.75" header="0.3" footer="0.3"/>
  <pageSetup paperSize="9" orientation="portrait" horizontalDpi="0" verticalDpi="0"/>
  <ignoredErrors>
    <ignoredError sqref="J2" calculatedColumn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88EF7-5278-4C5D-B8F1-50BC1BE4D02B}">
  <dimension ref="A1:G45"/>
  <sheetViews>
    <sheetView topLeftCell="A2" zoomScale="118" workbookViewId="0">
      <selection activeCell="E2" sqref="E2:F2"/>
    </sheetView>
  </sheetViews>
  <sheetFormatPr baseColWidth="10" defaultColWidth="8.83203125" defaultRowHeight="15" x14ac:dyDescent="0.2"/>
  <cols>
    <col min="1" max="1" width="15.5" bestFit="1" customWidth="1"/>
    <col min="2" max="2" width="15.1640625" customWidth="1"/>
    <col min="3" max="3" width="9.5" bestFit="1" customWidth="1"/>
    <col min="4" max="4" width="128.6640625" customWidth="1"/>
  </cols>
  <sheetData>
    <row r="1" spans="1:7" ht="14.5" customHeight="1" x14ac:dyDescent="0.2">
      <c r="A1" t="s">
        <v>89</v>
      </c>
      <c r="B1">
        <v>70000</v>
      </c>
      <c r="E1" s="46" t="s">
        <v>90</v>
      </c>
      <c r="F1" s="46"/>
      <c r="G1" s="46"/>
    </row>
    <row r="2" spans="1:7" ht="14.5" customHeight="1" x14ac:dyDescent="0.2">
      <c r="A2" t="s">
        <v>91</v>
      </c>
      <c r="B2">
        <v>3.7499999999999999E-2</v>
      </c>
      <c r="E2">
        <v>0</v>
      </c>
      <c r="F2">
        <v>15600</v>
      </c>
      <c r="G2">
        <v>0.105</v>
      </c>
    </row>
    <row r="3" spans="1:7" ht="14.5" customHeight="1" x14ac:dyDescent="0.2">
      <c r="A3" t="s">
        <v>92</v>
      </c>
      <c r="B3">
        <v>2.5000000000000001E-2</v>
      </c>
      <c r="E3">
        <v>15601</v>
      </c>
      <c r="F3">
        <v>53500</v>
      </c>
      <c r="G3">
        <v>0.17499999999999999</v>
      </c>
    </row>
    <row r="4" spans="1:7" ht="14.5" customHeight="1" x14ac:dyDescent="0.2">
      <c r="A4" t="s">
        <v>93</v>
      </c>
      <c r="B4">
        <v>35</v>
      </c>
      <c r="E4">
        <v>53501</v>
      </c>
      <c r="F4">
        <v>78100</v>
      </c>
      <c r="G4">
        <v>0.3</v>
      </c>
    </row>
    <row r="5" spans="1:7" ht="14.5" customHeight="1" x14ac:dyDescent="0.2">
      <c r="E5">
        <v>78101</v>
      </c>
      <c r="F5">
        <v>180000</v>
      </c>
      <c r="G5">
        <v>0.33</v>
      </c>
    </row>
    <row r="6" spans="1:7" ht="14.5" customHeight="1" x14ac:dyDescent="0.2">
      <c r="E6">
        <v>180001</v>
      </c>
      <c r="F6">
        <v>9999999</v>
      </c>
      <c r="G6">
        <v>0.39</v>
      </c>
    </row>
    <row r="9" spans="1:7" ht="16" x14ac:dyDescent="0.2">
      <c r="A9" t="s">
        <v>29</v>
      </c>
      <c r="B9" t="s">
        <v>31</v>
      </c>
      <c r="C9" t="s">
        <v>94</v>
      </c>
      <c r="D9" s="28" t="s">
        <v>95</v>
      </c>
    </row>
    <row r="10" spans="1:7" ht="88.5" customHeight="1" x14ac:dyDescent="0.2">
      <c r="A10">
        <v>0</v>
      </c>
      <c r="B10" s="2">
        <f>'Pre-Retirement_cal'!D13</f>
        <v>70000</v>
      </c>
      <c r="C10" s="2">
        <f>IF(B10&lt;=15600, B10*0.105,
 IF(B10&lt;=53500, 15600*0.105 + (B10-15600)*0.175,
 IF(B10&lt;=78100, 15600*0.105 + (53500-15600)*0.175 + (B10-53500)*0.3,
 IF(B10&lt;=180000, 15600*0.105 + (53500-15600)*0.175 + (78100-53500)*0.3 + (B10-78100)*0.33,
 15600*0.105 + (53500-15600)*0.175 + (78100-53500)*0.3 + (180000-78100)*0.33 + (B10-180000)*0.39))))</f>
        <v>13220.5</v>
      </c>
      <c r="D10" s="47" t="str">
        <f ca="1">_xlfn.FORMULATEXT(Table3[[#This Row],[tax]])</f>
        <v>=IF(B10&lt;=15600, B10*0.105,
 IF(B10&lt;=53500, 15600*0.105 + (B10-15600)*0.175,
 IF(B10&lt;=78100, 15600*0.105 + (53500-15600)*0.175 + (B10-53500)*0.3,
 IF(B10&lt;=180000, 15600*0.105 + (53500-15600)*0.175 + (78100-53500)*0.3 + (B10-78100)*0.33,
 15600*0.105 + (53500-15600)*0.175 + (78100-53500)*0.3 + (180000-78100)*0.33 + (B10-180000)*0.39))))</v>
      </c>
    </row>
    <row r="11" spans="1:7" ht="88.5" customHeight="1" x14ac:dyDescent="0.2">
      <c r="A11">
        <v>1</v>
      </c>
      <c r="B11" s="2">
        <f ca="1">'Pre-Retirement_cal'!D14</f>
        <v>72057.191745400356</v>
      </c>
      <c r="C11" s="2">
        <f ca="1">IF(B11&lt;=15600*1.025, B11*0.105,
 IF(B11&lt;=53500*1.025, 15600*1.025*0.105 + (B11 - 15600*1.025)*0.175,
 IF(B11&lt;=78100*1.025, 15600*1.025*0.105 + (53500 - 15600)*1.025*0.175 + (B11 - 53500*1.025)*0.3,
 IF(B11&lt;=180000*1.025, 15600*1.025*0.105 + (53500 - 15600)*1.025*0.175 + (78100 - 53500)*1.025*0.3 + (B11 - 78100*1.025)*0.33,
 15600*1.025*0.105 + (53500 - 15600)*1.025*0.175 + (78100 - 53500)*1.025*0.3 + (180000 - 78100)*1.025*0.33 + (B11 - 180000*1.025)*0.39))))</f>
        <v>13643.17002362011</v>
      </c>
      <c r="D11" s="47" t="str">
        <f ca="1">_xlfn.FORMULATEXT(Table3[[#This Row],[tax]])</f>
        <v>=IF(B11&lt;=15600*1.025, B11*0.105,
 IF(B11&lt;=53500*1.025, 15600*1.025*0.105 + (B11 - 15600*1.025)*0.175,
 IF(B11&lt;=78100*1.025, 15600*1.025*0.105 + (53500 - 15600)*1.025*0.175 + (B11 - 53500*1.025)*0.3,
 IF(B11&lt;=180000*1.025, 15600*1.025*0.105 + (53500 - 15600)*1.025*0.175 + (78100 - 53500)*1.025*0.3 + (B11 - 78100*1.025)*0.33,
 15600*1.025*0.105 + (53500 - 15600)*1.025*0.175 + (78100 - 53500)*1.025*0.3 + (180000 - 78100)*1.025*0.33 + (B11 - 180000*1.025)*0.39))))</v>
      </c>
    </row>
    <row r="12" spans="1:7" ht="88.5" customHeight="1" x14ac:dyDescent="0.2">
      <c r="A12">
        <v>2</v>
      </c>
      <c r="B12" s="2">
        <f ca="1">'Pre-Retirement_cal'!D15</f>
        <v>73552.961951741439</v>
      </c>
      <c r="C12" s="2">
        <f ca="1">IF(B12&lt;=15600*1.025, B12*0.105,
 IF(B12&lt;=53500*1.025, 15600*1.025*0.105 + (B12 - 15600*1.025)*0.175,
 IF(B12&lt;=78100*1.025, 15600*1.025*0.105 + (53500 - 15600)*1.025*0.175 + (B12 - 53500*1.025)*0.3,
 IF(B12&lt;=180000*1.025, 15600*1.025*0.105 + (53500 - 15600)*1.025*0.175 + (78100 - 53500)*1.025*0.3 + (B12 - 78100*1.025)*0.33,
 15600*1.025*0.105 + (53500 - 15600)*1.025*0.175 + (78100 - 53500)*1.025*0.3 + (180000 - 78100)*1.025*0.33 + (B12 - 180000*1.025)*0.39))))</f>
        <v>14091.901085522433</v>
      </c>
      <c r="D12" s="47" t="str">
        <f ca="1">_xlfn.FORMULATEXT(Table3[[#This Row],[tax]])</f>
        <v>=IF(B12&lt;=15600*1.025, B12*0.105,
 IF(B12&lt;=53500*1.025, 15600*1.025*0.105 + (B12 - 15600*1.025)*0.175,
 IF(B12&lt;=78100*1.025, 15600*1.025*0.105 + (53500 - 15600)*1.025*0.175 + (B12 - 53500*1.025)*0.3,
 IF(B12&lt;=180000*1.025, 15600*1.025*0.105 + (53500 - 15600)*1.025*0.175 + (78100 - 53500)*1.025*0.3 + (B12 - 78100*1.025)*0.33,
 15600*1.025*0.105 + (53500 - 15600)*1.025*0.175 + (78100 - 53500)*1.025*0.3 + (180000 - 78100)*1.025*0.33 + (B12 - 180000*1.025)*0.39))))</v>
      </c>
    </row>
    <row r="13" spans="1:7" ht="88.5" customHeight="1" x14ac:dyDescent="0.2">
      <c r="A13">
        <v>3</v>
      </c>
      <c r="B13" s="2">
        <f ca="1">'Pre-Retirement_cal'!D16</f>
        <v>76356.463092471531</v>
      </c>
      <c r="C13" s="2">
        <f t="shared" ref="C13:C44" ca="1" si="0">IF(B13&lt;=15600*1.025, B13*0.105,
 IF(B13&lt;=53500*1.025, 15600*1.025*0.105 + (B13 - 15600*1.025)*0.175,
 IF(B13&lt;=78100*1.025, 15600*1.025*0.105 + (53500 - 15600)*1.025*0.175 + (B13 - 53500*1.025)*0.3,
 IF(B13&lt;=180000*1.025, 15600*1.025*0.105 + (53500 - 15600)*1.025*0.175 + (78100 - 53500)*1.025*0.3 + (B13 - 78100*1.025)*0.33,
 15600*1.025*0.105 + (53500 - 15600)*1.025*0.175 + (78100 - 53500)*1.025*0.3 + (180000 - 78100)*1.025*0.33 + (B13 - 180000*1.025)*0.39))))</f>
        <v>14932.951427741462</v>
      </c>
      <c r="D13" s="47" t="str">
        <f ca="1">_xlfn.FORMULATEXT(Table3[[#This Row],[tax]])</f>
        <v>=IF(B13&lt;=15600*1.025, B13*0.105,
 IF(B13&lt;=53500*1.025, 15600*1.025*0.105 + (B13 - 15600*1.025)*0.175,
 IF(B13&lt;=78100*1.025, 15600*1.025*0.105 + (53500 - 15600)*1.025*0.175 + (B13 - 53500*1.025)*0.3,
 IF(B13&lt;=180000*1.025, 15600*1.025*0.105 + (53500 - 15600)*1.025*0.175 + (78100 - 53500)*1.025*0.3 + (B13 - 78100*1.025)*0.33,
 15600*1.025*0.105 + (53500 - 15600)*1.025*0.175 + (78100 - 53500)*1.025*0.3 + (180000 - 78100)*1.025*0.33 + (B13 - 180000*1.025)*0.39))))</v>
      </c>
    </row>
    <row r="14" spans="1:7" ht="88.5" customHeight="1" x14ac:dyDescent="0.2">
      <c r="A14">
        <v>4</v>
      </c>
      <c r="B14" s="2">
        <f ca="1">'Pre-Retirement_cal'!D17</f>
        <v>79363.039636220274</v>
      </c>
      <c r="C14" s="2">
        <f t="shared" ca="1" si="0"/>
        <v>15834.924390866085</v>
      </c>
      <c r="D14" s="47" t="str">
        <f ca="1">_xlfn.FORMULATEXT(Table3[[#This Row],[tax]])</f>
        <v>=IF(B14&lt;=15600*1.025, B14*0.105,
 IF(B14&lt;=53500*1.025, 15600*1.025*0.105 + (B14 - 15600*1.025)*0.175,
 IF(B14&lt;=78100*1.025, 15600*1.025*0.105 + (53500 - 15600)*1.025*0.175 + (B14 - 53500*1.025)*0.3,
 IF(B14&lt;=180000*1.025, 15600*1.025*0.105 + (53500 - 15600)*1.025*0.175 + (78100 - 53500)*1.025*0.3 + (B14 - 78100*1.025)*0.33,
 15600*1.025*0.105 + (53500 - 15600)*1.025*0.175 + (78100 - 53500)*1.025*0.3 + (180000 - 78100)*1.025*0.33 + (B14 - 180000*1.025)*0.39))))</v>
      </c>
    </row>
    <row r="15" spans="1:7" ht="88.5" customHeight="1" x14ac:dyDescent="0.2">
      <c r="A15">
        <v>5</v>
      </c>
      <c r="B15" s="2">
        <f ca="1">'Pre-Retirement_cal'!D18</f>
        <v>82334.237855554675</v>
      </c>
      <c r="C15" s="2">
        <f t="shared" ca="1" si="0"/>
        <v>16794.73599233304</v>
      </c>
      <c r="D15" s="47" t="str">
        <f ca="1">_xlfn.FORMULATEXT(Table3[[#This Row],[tax]])</f>
        <v>=IF(B15&lt;=15600*1.025, B15*0.105,
 IF(B15&lt;=53500*1.025, 15600*1.025*0.105 + (B15 - 15600*1.025)*0.175,
 IF(B15&lt;=78100*1.025, 15600*1.025*0.105 + (53500 - 15600)*1.025*0.175 + (B15 - 53500*1.025)*0.3,
 IF(B15&lt;=180000*1.025, 15600*1.025*0.105 + (53500 - 15600)*1.025*0.175 + (78100 - 53500)*1.025*0.3 + (B15 - 78100*1.025)*0.33,
 15600*1.025*0.105 + (53500 - 15600)*1.025*0.175 + (78100 - 53500)*1.025*0.3 + (180000 - 78100)*1.025*0.33 + (B15 - 180000*1.025)*0.39))))</v>
      </c>
    </row>
    <row r="16" spans="1:7" ht="88.5" customHeight="1" x14ac:dyDescent="0.2">
      <c r="A16">
        <v>6</v>
      </c>
      <c r="B16" s="2">
        <f ca="1">'Pre-Retirement_cal'!D19</f>
        <v>85475.278247709721</v>
      </c>
      <c r="C16" s="2">
        <f t="shared" ca="1" si="0"/>
        <v>17831.279321744209</v>
      </c>
      <c r="D16" s="47" t="str">
        <f ca="1">_xlfn.FORMULATEXT(Table3[[#This Row],[tax]])</f>
        <v>=IF(B16&lt;=15600*1.025, B16*0.105,
 IF(B16&lt;=53500*1.025, 15600*1.025*0.105 + (B16 - 15600*1.025)*0.175,
 IF(B16&lt;=78100*1.025, 15600*1.025*0.105 + (53500 - 15600)*1.025*0.175 + (B16 - 53500*1.025)*0.3,
 IF(B16&lt;=180000*1.025, 15600*1.025*0.105 + (53500 - 15600)*1.025*0.175 + (78100 - 53500)*1.025*0.3 + (B16 - 78100*1.025)*0.33,
 15600*1.025*0.105 + (53500 - 15600)*1.025*0.175 + (78100 - 53500)*1.025*0.3 + (180000 - 78100)*1.025*0.33 + (B16 - 180000*1.025)*0.39))))</v>
      </c>
    </row>
    <row r="17" spans="1:4" ht="88.5" customHeight="1" x14ac:dyDescent="0.2">
      <c r="A17">
        <v>7</v>
      </c>
      <c r="B17" s="2">
        <f ca="1">'Pre-Retirement_cal'!D20</f>
        <v>89433.648375114091</v>
      </c>
      <c r="C17" s="2">
        <f t="shared" ca="1" si="0"/>
        <v>19137.541463787649</v>
      </c>
      <c r="D17" s="47" t="str">
        <f ca="1">_xlfn.FORMULATEXT(Table3[[#This Row],[tax]])</f>
        <v>=IF(B17&lt;=15600*1.025, B17*0.105,
 IF(B17&lt;=53500*1.025, 15600*1.025*0.105 + (B17 - 15600*1.025)*0.175,
 IF(B17&lt;=78100*1.025, 15600*1.025*0.105 + (53500 - 15600)*1.025*0.175 + (B17 - 53500*1.025)*0.3,
 IF(B17&lt;=180000*1.025, 15600*1.025*0.105 + (53500 - 15600)*1.025*0.175 + (78100 - 53500)*1.025*0.3 + (B17 - 78100*1.025)*0.33,
 15600*1.025*0.105 + (53500 - 15600)*1.025*0.175 + (78100 - 53500)*1.025*0.3 + (180000 - 78100)*1.025*0.33 + (B17 - 180000*1.025)*0.39))))</v>
      </c>
    </row>
    <row r="18" spans="1:4" ht="88.5" customHeight="1" x14ac:dyDescent="0.2">
      <c r="A18">
        <v>8</v>
      </c>
      <c r="B18" s="2">
        <f ca="1">'Pre-Retirement_cal'!D21</f>
        <v>93173.733982614765</v>
      </c>
      <c r="C18" s="2">
        <f t="shared" ca="1" si="0"/>
        <v>20371.769714262871</v>
      </c>
      <c r="D18" s="47" t="str">
        <f ca="1">_xlfn.FORMULATEXT(Table3[[#This Row],[tax]])</f>
        <v>=IF(B18&lt;=15600*1.025, B18*0.105,
 IF(B18&lt;=53500*1.025, 15600*1.025*0.105 + (B18 - 15600*1.025)*0.175,
 IF(B18&lt;=78100*1.025, 15600*1.025*0.105 + (53500 - 15600)*1.025*0.175 + (B18 - 53500*1.025)*0.3,
 IF(B18&lt;=180000*1.025, 15600*1.025*0.105 + (53500 - 15600)*1.025*0.175 + (78100 - 53500)*1.025*0.3 + (B18 - 78100*1.025)*0.33,
 15600*1.025*0.105 + (53500 - 15600)*1.025*0.175 + (78100 - 53500)*1.025*0.3 + (180000 - 78100)*1.025*0.33 + (B18 - 180000*1.025)*0.39))))</v>
      </c>
    </row>
    <row r="19" spans="1:4" ht="88.5" customHeight="1" x14ac:dyDescent="0.2">
      <c r="A19">
        <v>9</v>
      </c>
      <c r="B19" s="2">
        <f ca="1">'Pre-Retirement_cal'!D22</f>
        <v>96201.393193661803</v>
      </c>
      <c r="C19" s="2">
        <f t="shared" ca="1" si="0"/>
        <v>21370.897253908395</v>
      </c>
      <c r="D19" s="47" t="str">
        <f ca="1">_xlfn.FORMULATEXT(Table3[[#This Row],[tax]])</f>
        <v>=IF(B19&lt;=15600*1.025, B19*0.105,
 IF(B19&lt;=53500*1.025, 15600*1.025*0.105 + (B19 - 15600*1.025)*0.175,
 IF(B19&lt;=78100*1.025, 15600*1.025*0.105 + (53500 - 15600)*1.025*0.175 + (B19 - 53500*1.025)*0.3,
 IF(B19&lt;=180000*1.025, 15600*1.025*0.105 + (53500 - 15600)*1.025*0.175 + (78100 - 53500)*1.025*0.3 + (B19 - 78100*1.025)*0.33,
 15600*1.025*0.105 + (53500 - 15600)*1.025*0.175 + (78100 - 53500)*1.025*0.3 + (180000 - 78100)*1.025*0.33 + (B19 - 180000*1.025)*0.39))))</v>
      </c>
    </row>
    <row r="20" spans="1:4" ht="88.5" customHeight="1" x14ac:dyDescent="0.2">
      <c r="A20">
        <v>10</v>
      </c>
      <c r="B20" s="2">
        <f ca="1">'Pre-Retirement_cal'!D23</f>
        <v>198732.59520101669</v>
      </c>
      <c r="C20" s="2">
        <f t="shared" ca="1" si="0"/>
        <v>56060.149628396517</v>
      </c>
      <c r="D20" s="47" t="str">
        <f ca="1">_xlfn.FORMULATEXT(Table3[[#This Row],[tax]])</f>
        <v>=IF(B20&lt;=15600*1.025, B20*0.105,
 IF(B20&lt;=53500*1.025, 15600*1.025*0.105 + (B20 - 15600*1.025)*0.175,
 IF(B20&lt;=78100*1.025, 15600*1.025*0.105 + (53500 - 15600)*1.025*0.175 + (B20 - 53500*1.025)*0.3,
 IF(B20&lt;=180000*1.025, 15600*1.025*0.105 + (53500 - 15600)*1.025*0.175 + (78100 - 53500)*1.025*0.3 + (B20 - 78100*1.025)*0.33,
 15600*1.025*0.105 + (53500 - 15600)*1.025*0.175 + (78100 - 53500)*1.025*0.3 + (180000 - 78100)*1.025*0.33 + (B20 - 180000*1.025)*0.39))))</v>
      </c>
    </row>
    <row r="21" spans="1:4" ht="88.5" customHeight="1" x14ac:dyDescent="0.2">
      <c r="A21">
        <v>11</v>
      </c>
      <c r="B21" s="2">
        <f ca="1">'Pre-Retirement_cal'!D24</f>
        <v>205504.80108211836</v>
      </c>
      <c r="C21" s="2">
        <f t="shared" ca="1" si="0"/>
        <v>58701.309922026165</v>
      </c>
      <c r="D21" s="47" t="str">
        <f ca="1">_xlfn.FORMULATEXT(Table3[[#This Row],[tax]])</f>
        <v>=IF(B21&lt;=15600*1.025, B21*0.105,
 IF(B21&lt;=53500*1.025, 15600*1.025*0.105 + (B21 - 15600*1.025)*0.175,
 IF(B21&lt;=78100*1.025, 15600*1.025*0.105 + (53500 - 15600)*1.025*0.175 + (B21 - 53500*1.025)*0.3,
 IF(B21&lt;=180000*1.025, 15600*1.025*0.105 + (53500 - 15600)*1.025*0.175 + (78100 - 53500)*1.025*0.3 + (B21 - 78100*1.025)*0.33,
 15600*1.025*0.105 + (53500 - 15600)*1.025*0.175 + (78100 - 53500)*1.025*0.3 + (180000 - 78100)*1.025*0.33 + (B21 - 180000*1.025)*0.39))))</v>
      </c>
    </row>
    <row r="22" spans="1:4" ht="88.5" customHeight="1" x14ac:dyDescent="0.2">
      <c r="A22">
        <v>12</v>
      </c>
      <c r="B22" s="2">
        <f ca="1">'Pre-Retirement_cal'!D25</f>
        <v>215082.48031009536</v>
      </c>
      <c r="C22" s="2">
        <f t="shared" ca="1" si="0"/>
        <v>62436.604820937195</v>
      </c>
      <c r="D22" s="47" t="str">
        <f ca="1">_xlfn.FORMULATEXT(Table3[[#This Row],[tax]])</f>
        <v>=IF(B22&lt;=15600*1.025, B22*0.105,
 IF(B22&lt;=53500*1.025, 15600*1.025*0.105 + (B22 - 15600*1.025)*0.175,
 IF(B22&lt;=78100*1.025, 15600*1.025*0.105 + (53500 - 15600)*1.025*0.175 + (B22 - 53500*1.025)*0.3,
 IF(B22&lt;=180000*1.025, 15600*1.025*0.105 + (53500 - 15600)*1.025*0.175 + (78100 - 53500)*1.025*0.3 + (B22 - 78100*1.025)*0.33,
 15600*1.025*0.105 + (53500 - 15600)*1.025*0.175 + (78100 - 53500)*1.025*0.3 + (180000 - 78100)*1.025*0.33 + (B22 - 180000*1.025)*0.39))))</v>
      </c>
    </row>
    <row r="23" spans="1:4" ht="88.5" customHeight="1" x14ac:dyDescent="0.2">
      <c r="A23">
        <v>13</v>
      </c>
      <c r="B23" s="2">
        <f ca="1">'Pre-Retirement_cal'!D26</f>
        <v>221884.12104191325</v>
      </c>
      <c r="C23" s="2">
        <f t="shared" ca="1" si="0"/>
        <v>65089.244706346173</v>
      </c>
      <c r="D23" s="47" t="str">
        <f ca="1">_xlfn.FORMULATEXT(Table3[[#This Row],[tax]])</f>
        <v>=IF(B23&lt;=15600*1.025, B23*0.105,
 IF(B23&lt;=53500*1.025, 15600*1.025*0.105 + (B23 - 15600*1.025)*0.175,
 IF(B23&lt;=78100*1.025, 15600*1.025*0.105 + (53500 - 15600)*1.025*0.175 + (B23 - 53500*1.025)*0.3,
 IF(B23&lt;=180000*1.025, 15600*1.025*0.105 + (53500 - 15600)*1.025*0.175 + (78100 - 53500)*1.025*0.3 + (B23 - 78100*1.025)*0.33,
 15600*1.025*0.105 + (53500 - 15600)*1.025*0.175 + (78100 - 53500)*1.025*0.3 + (180000 - 78100)*1.025*0.33 + (B23 - 180000*1.025)*0.39))))</v>
      </c>
    </row>
    <row r="24" spans="1:4" ht="88.5" customHeight="1" x14ac:dyDescent="0.2">
      <c r="A24">
        <v>14</v>
      </c>
      <c r="B24" s="2">
        <f ca="1">'Pre-Retirement_cal'!D27</f>
        <v>230338.17117369821</v>
      </c>
      <c r="C24" s="2">
        <f t="shared" ca="1" si="0"/>
        <v>68386.324257742308</v>
      </c>
      <c r="D24" s="47" t="str">
        <f ca="1">_xlfn.FORMULATEXT(Table3[[#This Row],[tax]])</f>
        <v>=IF(B24&lt;=15600*1.025, B24*0.105,
 IF(B24&lt;=53500*1.025, 15600*1.025*0.105 + (B24 - 15600*1.025)*0.175,
 IF(B24&lt;=78100*1.025, 15600*1.025*0.105 + (53500 - 15600)*1.025*0.175 + (B24 - 53500*1.025)*0.3,
 IF(B24&lt;=180000*1.025, 15600*1.025*0.105 + (53500 - 15600)*1.025*0.175 + (78100 - 53500)*1.025*0.3 + (B24 - 78100*1.025)*0.33,
 15600*1.025*0.105 + (53500 - 15600)*1.025*0.175 + (78100 - 53500)*1.025*0.3 + (180000 - 78100)*1.025*0.33 + (B24 - 180000*1.025)*0.39))))</v>
      </c>
    </row>
    <row r="25" spans="1:4" ht="88.5" customHeight="1" x14ac:dyDescent="0.2">
      <c r="A25">
        <v>15</v>
      </c>
      <c r="B25" s="2">
        <f ca="1">'Pre-Retirement_cal'!D28</f>
        <v>237156.64178498273</v>
      </c>
      <c r="C25" s="2">
        <f t="shared" ca="1" si="0"/>
        <v>71045.527796143273</v>
      </c>
      <c r="D25" s="47" t="str">
        <f ca="1">_xlfn.FORMULATEXT(Table3[[#This Row],[tax]])</f>
        <v>=IF(B25&lt;=15600*1.025, B25*0.105,
 IF(B25&lt;=53500*1.025, 15600*1.025*0.105 + (B25 - 15600*1.025)*0.175,
 IF(B25&lt;=78100*1.025, 15600*1.025*0.105 + (53500 - 15600)*1.025*0.175 + (B25 - 53500*1.025)*0.3,
 IF(B25&lt;=180000*1.025, 15600*1.025*0.105 + (53500 - 15600)*1.025*0.175 + (78100 - 53500)*1.025*0.3 + (B25 - 78100*1.025)*0.33,
 15600*1.025*0.105 + (53500 - 15600)*1.025*0.175 + (78100 - 53500)*1.025*0.3 + (180000 - 78100)*1.025*0.33 + (B25 - 180000*1.025)*0.39))))</v>
      </c>
    </row>
    <row r="26" spans="1:4" ht="88.5" customHeight="1" x14ac:dyDescent="0.2">
      <c r="A26">
        <v>16</v>
      </c>
      <c r="B26" s="2">
        <f ca="1">'Pre-Retirement_cal'!D29</f>
        <v>246745.75651246429</v>
      </c>
      <c r="C26" s="2">
        <f t="shared" ca="1" si="0"/>
        <v>74785.282539861073</v>
      </c>
      <c r="D26" s="47" t="str">
        <f ca="1">_xlfn.FORMULATEXT(Table3[[#This Row],[tax]])</f>
        <v>=IF(B26&lt;=15600*1.025, B26*0.105,
 IF(B26&lt;=53500*1.025, 15600*1.025*0.105 + (B26 - 15600*1.025)*0.175,
 IF(B26&lt;=78100*1.025, 15600*1.025*0.105 + (53500 - 15600)*1.025*0.175 + (B26 - 53500*1.025)*0.3,
 IF(B26&lt;=180000*1.025, 15600*1.025*0.105 + (53500 - 15600)*1.025*0.175 + (78100 - 53500)*1.025*0.3 + (B26 - 78100*1.025)*0.33,
 15600*1.025*0.105 + (53500 - 15600)*1.025*0.175 + (78100 - 53500)*1.025*0.3 + (180000 - 78100)*1.025*0.33 + (B26 - 180000*1.025)*0.39))))</v>
      </c>
    </row>
    <row r="27" spans="1:4" ht="88.5" customHeight="1" x14ac:dyDescent="0.2">
      <c r="A27">
        <v>17</v>
      </c>
      <c r="B27" s="2">
        <f ca="1">'Pre-Retirement_cal'!D30</f>
        <v>252726.30108315285</v>
      </c>
      <c r="C27" s="2">
        <f t="shared" ca="1" si="0"/>
        <v>77117.694922429626</v>
      </c>
      <c r="D27" s="47" t="str">
        <f ca="1">_xlfn.FORMULATEXT(Table3[[#This Row],[tax]])</f>
        <v>=IF(B27&lt;=15600*1.025, B27*0.105,
 IF(B27&lt;=53500*1.025, 15600*1.025*0.105 + (B27 - 15600*1.025)*0.175,
 IF(B27&lt;=78100*1.025, 15600*1.025*0.105 + (53500 - 15600)*1.025*0.175 + (B27 - 53500*1.025)*0.3,
 IF(B27&lt;=180000*1.025, 15600*1.025*0.105 + (53500 - 15600)*1.025*0.175 + (78100 - 53500)*1.025*0.3 + (B27 - 78100*1.025)*0.33,
 15600*1.025*0.105 + (53500 - 15600)*1.025*0.175 + (78100 - 53500)*1.025*0.3 + (180000 - 78100)*1.025*0.33 + (B27 - 180000*1.025)*0.39))))</v>
      </c>
    </row>
    <row r="28" spans="1:4" ht="88.5" customHeight="1" x14ac:dyDescent="0.2">
      <c r="A28">
        <v>18</v>
      </c>
      <c r="B28" s="2">
        <f ca="1">'Pre-Retirement_cal'!D31</f>
        <v>261722.0057610033</v>
      </c>
      <c r="C28" s="2">
        <f t="shared" ca="1" si="0"/>
        <v>80626.019746791295</v>
      </c>
      <c r="D28" s="47" t="str">
        <f ca="1">_xlfn.FORMULATEXT(Table3[[#This Row],[tax]])</f>
        <v>=IF(B28&lt;=15600*1.025, B28*0.105,
 IF(B28&lt;=53500*1.025, 15600*1.025*0.105 + (B28 - 15600*1.025)*0.175,
 IF(B28&lt;=78100*1.025, 15600*1.025*0.105 + (53500 - 15600)*1.025*0.175 + (B28 - 53500*1.025)*0.3,
 IF(B28&lt;=180000*1.025, 15600*1.025*0.105 + (53500 - 15600)*1.025*0.175 + (78100 - 53500)*1.025*0.3 + (B28 - 78100*1.025)*0.33,
 15600*1.025*0.105 + (53500 - 15600)*1.025*0.175 + (78100 - 53500)*1.025*0.3 + (180000 - 78100)*1.025*0.33 + (B28 - 180000*1.025)*0.39))))</v>
      </c>
    </row>
    <row r="29" spans="1:4" ht="88.5" customHeight="1" x14ac:dyDescent="0.2">
      <c r="A29">
        <v>19</v>
      </c>
      <c r="B29" s="2">
        <f ca="1">'Pre-Retirement_cal'!D32</f>
        <v>269834.46245466697</v>
      </c>
      <c r="C29" s="2">
        <f t="shared" ca="1" si="0"/>
        <v>83789.877857320127</v>
      </c>
      <c r="D29" s="47" t="str">
        <f ca="1">_xlfn.FORMULATEXT(Table3[[#This Row],[tax]])</f>
        <v>=IF(B29&lt;=15600*1.025, B29*0.105,
 IF(B29&lt;=53500*1.025, 15600*1.025*0.105 + (B29 - 15600*1.025)*0.175,
 IF(B29&lt;=78100*1.025, 15600*1.025*0.105 + (53500 - 15600)*1.025*0.175 + (B29 - 53500*1.025)*0.3,
 IF(B29&lt;=180000*1.025, 15600*1.025*0.105 + (53500 - 15600)*1.025*0.175 + (78100 - 53500)*1.025*0.3 + (B29 - 78100*1.025)*0.33,
 15600*1.025*0.105 + (53500 - 15600)*1.025*0.175 + (78100 - 53500)*1.025*0.3 + (180000 - 78100)*1.025*0.33 + (B29 - 180000*1.025)*0.39))))</v>
      </c>
    </row>
    <row r="30" spans="1:4" ht="88.5" customHeight="1" x14ac:dyDescent="0.2">
      <c r="A30">
        <v>20</v>
      </c>
      <c r="B30" s="2">
        <f ca="1">'Pre-Retirement_cal'!D33</f>
        <v>279727.11705309362</v>
      </c>
      <c r="C30" s="2">
        <f t="shared" ca="1" si="0"/>
        <v>87648.013150706509</v>
      </c>
      <c r="D30" s="47" t="str">
        <f ca="1">_xlfn.FORMULATEXT(Table3[[#This Row],[tax]])</f>
        <v>=IF(B30&lt;=15600*1.025, B30*0.105,
 IF(B30&lt;=53500*1.025, 15600*1.025*0.105 + (B30 - 15600*1.025)*0.175,
 IF(B30&lt;=78100*1.025, 15600*1.025*0.105 + (53500 - 15600)*1.025*0.175 + (B30 - 53500*1.025)*0.3,
 IF(B30&lt;=180000*1.025, 15600*1.025*0.105 + (53500 - 15600)*1.025*0.175 + (78100 - 53500)*1.025*0.3 + (B30 - 78100*1.025)*0.33,
 15600*1.025*0.105 + (53500 - 15600)*1.025*0.175 + (78100 - 53500)*1.025*0.3 + (180000 - 78100)*1.025*0.33 + (B30 - 180000*1.025)*0.39))))</v>
      </c>
    </row>
    <row r="31" spans="1:4" ht="88.5" customHeight="1" x14ac:dyDescent="0.2">
      <c r="A31">
        <v>21</v>
      </c>
      <c r="B31" s="2">
        <f ca="1">'Pre-Retirement_cal'!D34</f>
        <v>286173.1534895408</v>
      </c>
      <c r="C31" s="2">
        <f t="shared" ca="1" si="0"/>
        <v>90161.967360920913</v>
      </c>
      <c r="D31" s="47" t="str">
        <f ca="1">_xlfn.FORMULATEXT(Table3[[#This Row],[tax]])</f>
        <v>=IF(B31&lt;=15600*1.025, B31*0.105,
 IF(B31&lt;=53500*1.025, 15600*1.025*0.105 + (B31 - 15600*1.025)*0.175,
 IF(B31&lt;=78100*1.025, 15600*1.025*0.105 + (53500 - 15600)*1.025*0.175 + (B31 - 53500*1.025)*0.3,
 IF(B31&lt;=180000*1.025, 15600*1.025*0.105 + (53500 - 15600)*1.025*0.175 + (78100 - 53500)*1.025*0.3 + (B31 - 78100*1.025)*0.33,
 15600*1.025*0.105 + (53500 - 15600)*1.025*0.175 + (78100 - 53500)*1.025*0.3 + (180000 - 78100)*1.025*0.33 + (B31 - 180000*1.025)*0.39))))</v>
      </c>
    </row>
    <row r="32" spans="1:4" ht="88.5" customHeight="1" x14ac:dyDescent="0.2">
      <c r="A32">
        <v>22</v>
      </c>
      <c r="B32" s="2">
        <f ca="1">'Pre-Retirement_cal'!D35</f>
        <v>298653.10836449912</v>
      </c>
      <c r="C32" s="2">
        <f t="shared" ca="1" si="0"/>
        <v>95029.149762154659</v>
      </c>
      <c r="D32" s="47" t="str">
        <f ca="1">_xlfn.FORMULATEXT(Table3[[#This Row],[tax]])</f>
        <v>=IF(B32&lt;=15600*1.025, B32*0.105,
 IF(B32&lt;=53500*1.025, 15600*1.025*0.105 + (B32 - 15600*1.025)*0.175,
 IF(B32&lt;=78100*1.025, 15600*1.025*0.105 + (53500 - 15600)*1.025*0.175 + (B32 - 53500*1.025)*0.3,
 IF(B32&lt;=180000*1.025, 15600*1.025*0.105 + (53500 - 15600)*1.025*0.175 + (78100 - 53500)*1.025*0.3 + (B32 - 78100*1.025)*0.33,
 15600*1.025*0.105 + (53500 - 15600)*1.025*0.175 + (78100 - 53500)*1.025*0.3 + (180000 - 78100)*1.025*0.33 + (B32 - 180000*1.025)*0.39))))</v>
      </c>
    </row>
    <row r="33" spans="1:4" ht="88.5" customHeight="1" x14ac:dyDescent="0.2">
      <c r="A33">
        <v>23</v>
      </c>
      <c r="B33" s="2">
        <f ca="1">'Pre-Retirement_cal'!D36</f>
        <v>312515.83426982374</v>
      </c>
      <c r="C33" s="2">
        <f t="shared" ca="1" si="0"/>
        <v>100435.61286523126</v>
      </c>
      <c r="D33" s="47" t="str">
        <f ca="1">_xlfn.FORMULATEXT(Table3[[#This Row],[tax]])</f>
        <v>=IF(B33&lt;=15600*1.025, B33*0.105,
 IF(B33&lt;=53500*1.025, 15600*1.025*0.105 + (B33 - 15600*1.025)*0.175,
 IF(B33&lt;=78100*1.025, 15600*1.025*0.105 + (53500 - 15600)*1.025*0.175 + (B33 - 53500*1.025)*0.3,
 IF(B33&lt;=180000*1.025, 15600*1.025*0.105 + (53500 - 15600)*1.025*0.175 + (78100 - 53500)*1.025*0.3 + (B33 - 78100*1.025)*0.33,
 15600*1.025*0.105 + (53500 - 15600)*1.025*0.175 + (78100 - 53500)*1.025*0.3 + (180000 - 78100)*1.025*0.33 + (B33 - 180000*1.025)*0.39))))</v>
      </c>
    </row>
    <row r="34" spans="1:4" ht="88.5" customHeight="1" x14ac:dyDescent="0.2">
      <c r="A34">
        <v>24</v>
      </c>
      <c r="B34" s="2">
        <f ca="1">'Pre-Retirement_cal'!D37</f>
        <v>323275.59676786867</v>
      </c>
      <c r="C34" s="2">
        <f t="shared" ca="1" si="0"/>
        <v>104631.92023946879</v>
      </c>
      <c r="D34" s="47" t="str">
        <f ca="1">_xlfn.FORMULATEXT(Table3[[#This Row],[tax]])</f>
        <v>=IF(B34&lt;=15600*1.025, B34*0.105,
 IF(B34&lt;=53500*1.025, 15600*1.025*0.105 + (B34 - 15600*1.025)*0.175,
 IF(B34&lt;=78100*1.025, 15600*1.025*0.105 + (53500 - 15600)*1.025*0.175 + (B34 - 53500*1.025)*0.3,
 IF(B34&lt;=180000*1.025, 15600*1.025*0.105 + (53500 - 15600)*1.025*0.175 + (78100 - 53500)*1.025*0.3 + (B34 - 78100*1.025)*0.33,
 15600*1.025*0.105 + (53500 - 15600)*1.025*0.175 + (78100 - 53500)*1.025*0.3 + (180000 - 78100)*1.025*0.33 + (B34 - 180000*1.025)*0.39))))</v>
      </c>
    </row>
    <row r="35" spans="1:4" ht="88.5" customHeight="1" x14ac:dyDescent="0.2">
      <c r="A35">
        <v>25</v>
      </c>
      <c r="B35" s="2">
        <f ca="1">'Pre-Retirement_cal'!D38</f>
        <v>334118.37766046729</v>
      </c>
      <c r="C35" s="2">
        <f t="shared" ca="1" si="0"/>
        <v>108860.60478758224</v>
      </c>
      <c r="D35" s="47" t="str">
        <f ca="1">_xlfn.FORMULATEXT(Table3[[#This Row],[tax]])</f>
        <v>=IF(B35&lt;=15600*1.025, B35*0.105,
 IF(B35&lt;=53500*1.025, 15600*1.025*0.105 + (B35 - 15600*1.025)*0.175,
 IF(B35&lt;=78100*1.025, 15600*1.025*0.105 + (53500 - 15600)*1.025*0.175 + (B35 - 53500*1.025)*0.3,
 IF(B35&lt;=180000*1.025, 15600*1.025*0.105 + (53500 - 15600)*1.025*0.175 + (78100 - 53500)*1.025*0.3 + (B35 - 78100*1.025)*0.33,
 15600*1.025*0.105 + (53500 - 15600)*1.025*0.175 + (78100 - 53500)*1.025*0.3 + (180000 - 78100)*1.025*0.33 + (B35 - 180000*1.025)*0.39))))</v>
      </c>
    </row>
    <row r="36" spans="1:4" ht="88.5" customHeight="1" x14ac:dyDescent="0.2">
      <c r="A36">
        <v>26</v>
      </c>
      <c r="B36" s="2">
        <f ca="1">'Pre-Retirement_cal'!D39</f>
        <v>345790.10911246168</v>
      </c>
      <c r="C36" s="2">
        <f t="shared" ca="1" si="0"/>
        <v>113412.58005386006</v>
      </c>
      <c r="D36" s="47" t="str">
        <f ca="1">_xlfn.FORMULATEXT(Table3[[#This Row],[tax]])</f>
        <v>=IF(B36&lt;=15600*1.025, B36*0.105,
 IF(B36&lt;=53500*1.025, 15600*1.025*0.105 + (B36 - 15600*1.025)*0.175,
 IF(B36&lt;=78100*1.025, 15600*1.025*0.105 + (53500 - 15600)*1.025*0.175 + (B36 - 53500*1.025)*0.3,
 IF(B36&lt;=180000*1.025, 15600*1.025*0.105 + (53500 - 15600)*1.025*0.175 + (78100 - 53500)*1.025*0.3 + (B36 - 78100*1.025)*0.33,
 15600*1.025*0.105 + (53500 - 15600)*1.025*0.175 + (78100 - 53500)*1.025*0.3 + (180000 - 78100)*1.025*0.33 + (B36 - 180000*1.025)*0.39))))</v>
      </c>
    </row>
    <row r="37" spans="1:4" ht="88.5" customHeight="1" x14ac:dyDescent="0.2">
      <c r="A37">
        <v>27</v>
      </c>
      <c r="B37" s="2">
        <f ca="1">'Pre-Retirement_cal'!D40</f>
        <v>356329.72437334427</v>
      </c>
      <c r="C37" s="2">
        <f t="shared" ca="1" si="0"/>
        <v>117523.03000560426</v>
      </c>
      <c r="D37" s="47" t="str">
        <f ca="1">_xlfn.FORMULATEXT(Table3[[#This Row],[tax]])</f>
        <v>=IF(B37&lt;=15600*1.025, B37*0.105,
 IF(B37&lt;=53500*1.025, 15600*1.025*0.105 + (B37 - 15600*1.025)*0.175,
 IF(B37&lt;=78100*1.025, 15600*1.025*0.105 + (53500 - 15600)*1.025*0.175 + (B37 - 53500*1.025)*0.3,
 IF(B37&lt;=180000*1.025, 15600*1.025*0.105 + (53500 - 15600)*1.025*0.175 + (78100 - 53500)*1.025*0.3 + (B37 - 78100*1.025)*0.33,
 15600*1.025*0.105 + (53500 - 15600)*1.025*0.175 + (78100 - 53500)*1.025*0.3 + (180000 - 78100)*1.025*0.33 + (B37 - 180000*1.025)*0.39))))</v>
      </c>
    </row>
    <row r="38" spans="1:4" ht="88.5" customHeight="1" x14ac:dyDescent="0.2">
      <c r="A38">
        <v>28</v>
      </c>
      <c r="B38" s="2">
        <f ca="1">'Pre-Retirement_cal'!D41</f>
        <v>362943.06817980856</v>
      </c>
      <c r="C38" s="2">
        <f t="shared" ca="1" si="0"/>
        <v>120102.23409012533</v>
      </c>
      <c r="D38" s="47" t="str">
        <f ca="1">_xlfn.FORMULATEXT(Table3[[#This Row],[tax]])</f>
        <v>=IF(B38&lt;=15600*1.025, B38*0.105,
 IF(B38&lt;=53500*1.025, 15600*1.025*0.105 + (B38 - 15600*1.025)*0.175,
 IF(B38&lt;=78100*1.025, 15600*1.025*0.105 + (53500 - 15600)*1.025*0.175 + (B38 - 53500*1.025)*0.3,
 IF(B38&lt;=180000*1.025, 15600*1.025*0.105 + (53500 - 15600)*1.025*0.175 + (78100 - 53500)*1.025*0.3 + (B38 - 78100*1.025)*0.33,
 15600*1.025*0.105 + (53500 - 15600)*1.025*0.175 + (78100 - 53500)*1.025*0.3 + (180000 - 78100)*1.025*0.33 + (B38 - 180000*1.025)*0.39))))</v>
      </c>
    </row>
    <row r="39" spans="1:4" ht="88.5" customHeight="1" x14ac:dyDescent="0.2">
      <c r="A39">
        <v>29</v>
      </c>
      <c r="B39" s="2">
        <f ca="1">'Pre-Retirement_cal'!D42</f>
        <v>378503.05607198621</v>
      </c>
      <c r="C39" s="2">
        <f t="shared" ca="1" si="0"/>
        <v>126170.62936807462</v>
      </c>
      <c r="D39" s="47" t="str">
        <f ca="1">_xlfn.FORMULATEXT(Table3[[#This Row],[tax]])</f>
        <v>=IF(B39&lt;=15600*1.025, B39*0.105,
 IF(B39&lt;=53500*1.025, 15600*1.025*0.105 + (B39 - 15600*1.025)*0.175,
 IF(B39&lt;=78100*1.025, 15600*1.025*0.105 + (53500 - 15600)*1.025*0.175 + (B39 - 53500*1.025)*0.3,
 IF(B39&lt;=180000*1.025, 15600*1.025*0.105 + (53500 - 15600)*1.025*0.175 + (78100 - 53500)*1.025*0.3 + (B39 - 78100*1.025)*0.33,
 15600*1.025*0.105 + (53500 - 15600)*1.025*0.175 + (78100 - 53500)*1.025*0.3 + (180000 - 78100)*1.025*0.33 + (B39 - 180000*1.025)*0.39))))</v>
      </c>
    </row>
    <row r="40" spans="1:4" ht="88.5" customHeight="1" x14ac:dyDescent="0.2">
      <c r="A40">
        <v>30</v>
      </c>
      <c r="B40" s="2">
        <f ca="1">'Pre-Retirement_cal'!D43</f>
        <v>391160.02520688967</v>
      </c>
      <c r="C40" s="2">
        <f t="shared" ca="1" si="0"/>
        <v>131106.84733068699</v>
      </c>
      <c r="D40" s="47" t="str">
        <f ca="1">_xlfn.FORMULATEXT(Table3[[#This Row],[tax]])</f>
        <v>=IF(B40&lt;=15600*1.025, B40*0.105,
 IF(B40&lt;=53500*1.025, 15600*1.025*0.105 + (B40 - 15600*1.025)*0.175,
 IF(B40&lt;=78100*1.025, 15600*1.025*0.105 + (53500 - 15600)*1.025*0.175 + (B40 - 53500*1.025)*0.3,
 IF(B40&lt;=180000*1.025, 15600*1.025*0.105 + (53500 - 15600)*1.025*0.175 + (78100 - 53500)*1.025*0.3 + (B40 - 78100*1.025)*0.33,
 15600*1.025*0.105 + (53500 - 15600)*1.025*0.175 + (78100 - 53500)*1.025*0.3 + (180000 - 78100)*1.025*0.33 + (B40 - 180000*1.025)*0.39))))</v>
      </c>
    </row>
    <row r="41" spans="1:4" ht="88.5" customHeight="1" x14ac:dyDescent="0.2">
      <c r="A41">
        <v>31</v>
      </c>
      <c r="B41" s="2">
        <f ca="1">'Pre-Retirement_cal'!D44</f>
        <v>403011.19216553372</v>
      </c>
      <c r="C41" s="2">
        <f t="shared" ca="1" si="0"/>
        <v>135728.80244455815</v>
      </c>
      <c r="D41" s="47" t="str">
        <f ca="1">_xlfn.FORMULATEXT(Table3[[#This Row],[tax]])</f>
        <v>=IF(B41&lt;=15600*1.025, B41*0.105,
 IF(B41&lt;=53500*1.025, 15600*1.025*0.105 + (B41 - 15600*1.025)*0.175,
 IF(B41&lt;=78100*1.025, 15600*1.025*0.105 + (53500 - 15600)*1.025*0.175 + (B41 - 53500*1.025)*0.3,
 IF(B41&lt;=180000*1.025, 15600*1.025*0.105 + (53500 - 15600)*1.025*0.175 + (78100 - 53500)*1.025*0.3 + (B41 - 78100*1.025)*0.33,
 15600*1.025*0.105 + (53500 - 15600)*1.025*0.175 + (78100 - 53500)*1.025*0.3 + (180000 - 78100)*1.025*0.33 + (B41 - 180000*1.025)*0.39))))</v>
      </c>
    </row>
    <row r="42" spans="1:4" ht="88.5" customHeight="1" x14ac:dyDescent="0.2">
      <c r="A42">
        <v>32</v>
      </c>
      <c r="B42" s="2">
        <f ca="1">'Pre-Retirement_cal'!D45</f>
        <v>413199.49076404021</v>
      </c>
      <c r="C42" s="2">
        <f t="shared" ca="1" si="0"/>
        <v>139702.23889797568</v>
      </c>
      <c r="D42" s="47" t="str">
        <f ca="1">_xlfn.FORMULATEXT(Table3[[#This Row],[tax]])</f>
        <v>=IF(B42&lt;=15600*1.025, B42*0.105,
 IF(B42&lt;=53500*1.025, 15600*1.025*0.105 + (B42 - 15600*1.025)*0.175,
 IF(B42&lt;=78100*1.025, 15600*1.025*0.105 + (53500 - 15600)*1.025*0.175 + (B42 - 53500*1.025)*0.3,
 IF(B42&lt;=180000*1.025, 15600*1.025*0.105 + (53500 - 15600)*1.025*0.175 + (78100 - 53500)*1.025*0.3 + (B42 - 78100*1.025)*0.33,
 15600*1.025*0.105 + (53500 - 15600)*1.025*0.175 + (78100 - 53500)*1.025*0.3 + (180000 - 78100)*1.025*0.33 + (B42 - 180000*1.025)*0.39))))</v>
      </c>
    </row>
    <row r="43" spans="1:4" ht="88.5" customHeight="1" x14ac:dyDescent="0.2">
      <c r="A43">
        <v>33</v>
      </c>
      <c r="B43" s="2">
        <f ca="1">'Pre-Retirement_cal'!D46</f>
        <v>429242.96542858059</v>
      </c>
      <c r="C43" s="2">
        <f t="shared" ca="1" si="0"/>
        <v>145959.19401714642</v>
      </c>
      <c r="D43" s="47" t="str">
        <f ca="1">_xlfn.FORMULATEXT(Table3[[#This Row],[tax]])</f>
        <v>=IF(B43&lt;=15600*1.025, B43*0.105,
 IF(B43&lt;=53500*1.025, 15600*1.025*0.105 + (B43 - 15600*1.025)*0.175,
 IF(B43&lt;=78100*1.025, 15600*1.025*0.105 + (53500 - 15600)*1.025*0.175 + (B43 - 53500*1.025)*0.3,
 IF(B43&lt;=180000*1.025, 15600*1.025*0.105 + (53500 - 15600)*1.025*0.175 + (78100 - 53500)*1.025*0.3 + (B43 - 78100*1.025)*0.33,
 15600*1.025*0.105 + (53500 - 15600)*1.025*0.175 + (78100 - 53500)*1.025*0.3 + (180000 - 78100)*1.025*0.33 + (B43 - 180000*1.025)*0.39))))</v>
      </c>
    </row>
    <row r="44" spans="1:4" ht="88.5" customHeight="1" x14ac:dyDescent="0.2">
      <c r="A44">
        <v>34</v>
      </c>
      <c r="B44" s="2">
        <f ca="1">'Pre-Retirement_cal'!D47</f>
        <v>439906.54573228961</v>
      </c>
      <c r="C44" s="2">
        <f t="shared" ca="1" si="0"/>
        <v>150117.99033559294</v>
      </c>
      <c r="D44" s="47" t="str">
        <f ca="1">_xlfn.FORMULATEXT(Table3[[#This Row],[tax]])</f>
        <v>=IF(B44&lt;=15600*1.025, B44*0.105,
 IF(B44&lt;=53500*1.025, 15600*1.025*0.105 + (B44 - 15600*1.025)*0.175,
 IF(B44&lt;=78100*1.025, 15600*1.025*0.105 + (53500 - 15600)*1.025*0.175 + (B44 - 53500*1.025)*0.3,
 IF(B44&lt;=180000*1.025, 15600*1.025*0.105 + (53500 - 15600)*1.025*0.175 + (78100 - 53500)*1.025*0.3 + (B44 - 78100*1.025)*0.33,
 15600*1.025*0.105 + (53500 - 15600)*1.025*0.175 + (78100 - 53500)*1.025*0.3 + (180000 - 78100)*1.025*0.33 + (B44 - 180000*1.025)*0.39))))</v>
      </c>
    </row>
    <row r="45" spans="1:4" ht="88.5" customHeight="1" x14ac:dyDescent="0.2">
      <c r="A45">
        <v>35</v>
      </c>
      <c r="B45" s="2">
        <f ca="1">'Pre-Retirement_cal'!D48</f>
        <v>453732.79744842189</v>
      </c>
      <c r="C45" s="2">
        <f t="shared" ref="C45" ca="1" si="1">IF(B45&lt;=15600*1.025, B45*0.105,
 IF(B45&lt;=53500*1.025, 15600*1.025*0.105 + (B45 - 15600*1.025)*0.175,
 IF(B45&lt;=78100*1.025, 15600*1.025*0.105 + (53500 - 15600)*1.025*0.175 + (B45 - 53500*1.025)*0.3,
 IF(B45&lt;=180000*1.025, 15600*1.025*0.105 + (53500 - 15600)*1.025*0.175 + (78100 - 53500)*1.025*0.3 + (B45 - 78100*1.025)*0.33,
 15600*1.025*0.105 + (53500 - 15600)*1.025*0.175 + (78100 - 53500)*1.025*0.3 + (180000 - 78100)*1.025*0.33 + (B45 - 180000*1.025)*0.39))))</f>
        <v>155510.22850488455</v>
      </c>
      <c r="D45" s="47" t="str">
        <f ca="1">_xlfn.FORMULATEXT(Table3[[#This Row],[tax]])</f>
        <v>=IF(B45&lt;=15600*1.025, B45*0.105,
 IF(B45&lt;=53500*1.025, 15600*1.025*0.105 + (B45 - 15600*1.025)*0.175,
 IF(B45&lt;=78100*1.025, 15600*1.025*0.105 + (53500 - 15600)*1.025*0.175 + (B45 - 53500*1.025)*0.3,
 IF(B45&lt;=180000*1.025, 15600*1.025*0.105 + (53500 - 15600)*1.025*0.175 + (78100 - 53500)*1.025*0.3 + (B45 - 78100*1.025)*0.33,
 15600*1.025*0.105 + (53500 - 15600)*1.025*0.175 + (78100 - 53500)*1.025*0.3 + (180000 - 78100)*1.025*0.33 + (B45 - 180000*1.025)*0.39))))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F949C-D65A-4956-AA15-6F5522FAF07A}">
  <dimension ref="A1:F22"/>
  <sheetViews>
    <sheetView zoomScale="180" workbookViewId="0">
      <selection activeCell="E8" sqref="E2:E8"/>
    </sheetView>
  </sheetViews>
  <sheetFormatPr baseColWidth="10" defaultColWidth="8.83203125" defaultRowHeight="15" x14ac:dyDescent="0.2"/>
  <cols>
    <col min="1" max="4" width="15.83203125" customWidth="1"/>
    <col min="5" max="5" width="21.5" bestFit="1" customWidth="1"/>
    <col min="6" max="6" width="15.83203125" customWidth="1"/>
    <col min="7" max="7" width="11.5" customWidth="1"/>
  </cols>
  <sheetData>
    <row r="1" spans="1:6" x14ac:dyDescent="0.2">
      <c r="A1" s="6" t="s">
        <v>96</v>
      </c>
      <c r="B1" s="6" t="s">
        <v>97</v>
      </c>
      <c r="C1" s="6" t="s">
        <v>98</v>
      </c>
      <c r="D1" s="6" t="s">
        <v>99</v>
      </c>
      <c r="E1" s="6" t="s">
        <v>100</v>
      </c>
      <c r="F1" s="6" t="s">
        <v>101</v>
      </c>
    </row>
    <row r="2" spans="1:6" ht="16" x14ac:dyDescent="0.2">
      <c r="A2" s="5" t="s">
        <v>102</v>
      </c>
      <c r="B2" s="81">
        <v>0.05</v>
      </c>
      <c r="C2" s="81">
        <v>0.05</v>
      </c>
      <c r="D2" s="81">
        <v>0.45</v>
      </c>
      <c r="E2" s="81">
        <v>0.3</v>
      </c>
      <c r="F2" s="81">
        <v>0.15</v>
      </c>
    </row>
    <row r="3" spans="1:6" ht="16" x14ac:dyDescent="0.2">
      <c r="A3" s="5" t="s">
        <v>103</v>
      </c>
      <c r="B3" s="81">
        <v>0.1</v>
      </c>
      <c r="C3" s="81">
        <v>0.125</v>
      </c>
      <c r="D3" s="81">
        <v>0.4</v>
      </c>
      <c r="E3" s="81">
        <v>0.25</v>
      </c>
      <c r="F3" s="81">
        <v>0.125</v>
      </c>
    </row>
    <row r="4" spans="1:6" ht="16" x14ac:dyDescent="0.2">
      <c r="A4" s="5" t="s">
        <v>104</v>
      </c>
      <c r="B4" s="81">
        <v>0.15</v>
      </c>
      <c r="C4" s="81">
        <v>0.2</v>
      </c>
      <c r="D4" s="81">
        <v>0.35</v>
      </c>
      <c r="E4" s="81">
        <v>0.2</v>
      </c>
      <c r="F4" s="81">
        <v>0.1</v>
      </c>
    </row>
    <row r="5" spans="1:6" ht="16" x14ac:dyDescent="0.2">
      <c r="A5" s="5" t="s">
        <v>105</v>
      </c>
      <c r="B5" s="81">
        <v>0.22500000000000001</v>
      </c>
      <c r="C5" s="81">
        <v>0.25</v>
      </c>
      <c r="D5" s="81">
        <v>0.3</v>
      </c>
      <c r="E5" s="81">
        <v>0.15</v>
      </c>
      <c r="F5" s="81">
        <v>7.4999999999999997E-2</v>
      </c>
    </row>
    <row r="6" spans="1:6" ht="16" x14ac:dyDescent="0.2">
      <c r="A6" s="5" t="s">
        <v>106</v>
      </c>
      <c r="B6" s="81">
        <v>0.3</v>
      </c>
      <c r="C6" s="81">
        <v>0.3</v>
      </c>
      <c r="D6" s="81">
        <v>0.25</v>
      </c>
      <c r="E6" s="81">
        <v>0.1</v>
      </c>
      <c r="F6" s="81">
        <v>0.05</v>
      </c>
    </row>
    <row r="7" spans="1:6" ht="16" x14ac:dyDescent="0.2">
      <c r="A7" s="5" t="s">
        <v>107</v>
      </c>
      <c r="B7" s="81">
        <v>0.4</v>
      </c>
      <c r="C7" s="81">
        <v>0.35</v>
      </c>
      <c r="D7" s="81">
        <v>0.2</v>
      </c>
      <c r="E7" s="81">
        <v>0.05</v>
      </c>
      <c r="F7" s="81">
        <v>0</v>
      </c>
    </row>
    <row r="8" spans="1:6" ht="16" x14ac:dyDescent="0.2">
      <c r="A8" s="5" t="s">
        <v>108</v>
      </c>
      <c r="B8" s="81">
        <v>0.5</v>
      </c>
      <c r="C8" s="81">
        <v>0.35</v>
      </c>
      <c r="D8" s="81">
        <v>0.15</v>
      </c>
      <c r="E8" s="81">
        <v>0</v>
      </c>
      <c r="F8" s="81">
        <v>0</v>
      </c>
    </row>
    <row r="10" spans="1:6" x14ac:dyDescent="0.2">
      <c r="A10" t="s">
        <v>223</v>
      </c>
      <c r="B10" t="s">
        <v>23</v>
      </c>
      <c r="C10" t="s">
        <v>109</v>
      </c>
      <c r="D10" t="s">
        <v>224</v>
      </c>
      <c r="E10" t="s">
        <v>225</v>
      </c>
    </row>
    <row r="11" spans="1:6" x14ac:dyDescent="0.2">
      <c r="A11" s="6" t="s">
        <v>97</v>
      </c>
      <c r="B11" s="83">
        <f ca="1">IF(
    'Pre-Retirement_cal'!$V$10="Best Scenario",
    B18 + B18*0.1,
    IF(
        'Pre-Retirement_cal'!$V$10="Worst Scenario",
        B18 - B18*0.1,
        IF(
            'Pre-Retirement_cal'!$V$10="Neutral Scenario",
            B18,
            IF(
                'Pre-Retirement_cal'!$V$10="Random",
                B18 + (RAND()-0.1)*2*B18*0.05,
                B18
            )
        )
    )
)</f>
        <v>3.7185382760340148E-2</v>
      </c>
      <c r="C11" s="83">
        <f ca="1">IF(
    'Pre-Retirement_cal'!$V$10="Best Scenario",
    C18 + C18*0.5,
    IF(
        'Pre-Retirement_cal'!$V$10="Worst Scenario",
        C18 - C18*0.5,
        IF(
            'Pre-Retirement_cal'!$V$10="Neutral Scenario",
            C18,
            IF(
                'Pre-Retirement_cal'!$V$10="Random",
                C18 + (RAND()-0.5)*2*C18*0.05,
                C18
            )
        )
    )
)%</f>
        <v>5.0402744141841407E-4</v>
      </c>
      <c r="D11" s="84"/>
      <c r="E11" s="84"/>
    </row>
    <row r="12" spans="1:6" x14ac:dyDescent="0.2">
      <c r="A12" s="6" t="s">
        <v>98</v>
      </c>
      <c r="B12" s="83">
        <f ca="1">IF(
    'Pre-Retirement_cal'!$V$10="Best Scenario",
    B19 + B19*0.1,
    IF(
        'Pre-Retirement_cal'!$V$10="Worst Scenario",
        B19 - B19*0.1,
        IF(
            'Pre-Retirement_cal'!$V$10="Neutral Scenario",
            B19,
            IF(
                'Pre-Retirement_cal'!$V$10="Random",
                B19 + (RAND()-0.1)*2*B19*0.05,
                B19
            )
        )
    )
)</f>
        <v>7.0041713694089708E-2</v>
      </c>
      <c r="C12" s="83">
        <f ca="1">IF(
    'Pre-Retirement_cal'!$V$10="Best Scenario",
    C19 + C19*0.5,
    IF(
        'Pre-Retirement_cal'!$V$10="Worst Scenario",
        C19 - C19*0.5,
        IF(
            'Pre-Retirement_cal'!$V$10="Neutral Scenario",
            C19,
            IF(
                'Pre-Retirement_cal'!$V$10="Random",
                C19 + (RAND()-0.5)*2*C19*0.05,
                C19
            )
        )
    )
)%</f>
        <v>1.0396671926134879E-3</v>
      </c>
      <c r="D12" s="84"/>
      <c r="E12" s="84"/>
    </row>
    <row r="13" spans="1:6" x14ac:dyDescent="0.2">
      <c r="A13" s="6" t="s">
        <v>99</v>
      </c>
      <c r="B13" s="83">
        <f ca="1">IF(
    'Pre-Retirement_cal'!$V$10="Best Scenario",
    B20 + B20*0.1,
    IF(
        'Pre-Retirement_cal'!$V$10="Worst Scenario",
        B20 - B20*0.1,
        IF(
            'Pre-Retirement_cal'!$V$10="Neutral Scenario",
            B20,
            IF(
                'Pre-Retirement_cal'!$V$10="Random",
                B20 + (RAND()-0.1)*2*B20*0.05,
                B20
            )
        )
    )
)</f>
        <v>0.1040894117338713</v>
      </c>
      <c r="C13" s="83">
        <f ca="1">IF(
    'Pre-Retirement_cal'!$V$10="Best Scenario",
    C20 + C20*0.5,
    IF(
        'Pre-Retirement_cal'!$V$10="Worst Scenario",
        C20 - C20*0.5,
        IF(
            'Pre-Retirement_cal'!$V$10="Neutral Scenario",
            C20,
            IF(
                'Pre-Retirement_cal'!$V$10="Random",
                C20 + (RAND()-0.5)*2*C20*0.05,
                C20
            )
        )
    )
)%</f>
        <v>2.0248581968158406E-3</v>
      </c>
      <c r="D13" s="84"/>
      <c r="E13" s="84"/>
    </row>
    <row r="14" spans="1:6" x14ac:dyDescent="0.2">
      <c r="A14" s="6" t="s">
        <v>100</v>
      </c>
      <c r="B14" s="83">
        <f ca="1">IF(
    'Pre-Retirement_cal'!$V$10="Best Scenario",
    B21 + B21*0.1,
    IF(
        'Pre-Retirement_cal'!$V$10="Worst Scenario",
        B21 - B21*0.1,
        IF(
            'Pre-Retirement_cal'!$V$10="Neutral Scenario",
            B21,
            IF(
                'Pre-Retirement_cal'!$V$10="Random",
                B21 + (RAND()-0.1)*2*B21*0.05,
                B21
            )
        )
    )
)</f>
        <v>0.15445713629240801</v>
      </c>
      <c r="C14" s="83">
        <f ca="1">IF(
    'Pre-Retirement_cal'!$V$10="Best Scenario",
    C21 + C21*0.5,
    IF(
        'Pre-Retirement_cal'!$V$10="Worst Scenario",
        C21 - C21*0.5,
        IF(
            'Pre-Retirement_cal'!$V$10="Neutral Scenario",
            C21,
            IF(
                'Pre-Retirement_cal'!$V$10="Random",
                C21 + (RAND()-0.5)*2*C21*0.05,
                C21
            )
        )
    )
)%</f>
        <v>1.546245525145478E-3</v>
      </c>
      <c r="D14" s="85">
        <v>0.02</v>
      </c>
      <c r="E14" s="85">
        <v>0.15</v>
      </c>
    </row>
    <row r="15" spans="1:6" x14ac:dyDescent="0.2">
      <c r="A15" s="6" t="s">
        <v>101</v>
      </c>
      <c r="B15" s="83">
        <f ca="1">IF(
    'Pre-Retirement_cal'!$V$10="Best Scenario",
    B22 + B22*0.1,
    IF(
        'Pre-Retirement_cal'!$V$10="Worst Scenario",
        B22 - B22*0.1,
        IF(
            'Pre-Retirement_cal'!$V$10="Neutral Scenario",
            B22,
            IF(
                'Pre-Retirement_cal'!$V$10="Random",
                B22 + (RAND()-0.1)*2*B22*0.05,
                B22
            )
        )
    )
)</f>
        <v>0.20903467574142937</v>
      </c>
      <c r="C15" s="83">
        <f ca="1">IF(
    'Pre-Retirement_cal'!$V$10="Best Scenario",
    C22 + C22*0.5,
    IF(
        'Pre-Retirement_cal'!$V$10="Worst Scenario",
        C22 - C22*0.5,
        IF(
            'Pre-Retirement_cal'!$V$10="Neutral Scenario",
            C22,
            IF(
                'Pre-Retirement_cal'!$V$10="Random",
                C22 + (RAND()-0.5)*2*C22*0.05,
                C22
            )
        )
    )
)%</f>
        <v>6.2096878143720934E-3</v>
      </c>
      <c r="D15" s="84"/>
      <c r="E15" s="84"/>
    </row>
    <row r="17" spans="1:5" x14ac:dyDescent="0.2">
      <c r="A17" t="s">
        <v>223</v>
      </c>
      <c r="B17" t="s">
        <v>23</v>
      </c>
      <c r="C17" t="s">
        <v>109</v>
      </c>
      <c r="D17" t="s">
        <v>224</v>
      </c>
      <c r="E17" t="s">
        <v>225</v>
      </c>
    </row>
    <row r="18" spans="1:5" x14ac:dyDescent="0.2">
      <c r="A18" s="6" t="s">
        <v>97</v>
      </c>
      <c r="B18" s="7">
        <v>3.7499999999999999E-2</v>
      </c>
      <c r="C18" s="7">
        <v>0.05</v>
      </c>
    </row>
    <row r="19" spans="1:5" x14ac:dyDescent="0.2">
      <c r="A19" s="6" t="s">
        <v>98</v>
      </c>
      <c r="B19" s="7">
        <v>6.5000000000000002E-2</v>
      </c>
      <c r="C19" s="7">
        <v>0.105</v>
      </c>
    </row>
    <row r="20" spans="1:5" x14ac:dyDescent="0.2">
      <c r="A20" s="6" t="s">
        <v>99</v>
      </c>
      <c r="B20" s="7">
        <v>0.10249999999999999</v>
      </c>
      <c r="C20" s="7">
        <v>0.20749999999999999</v>
      </c>
    </row>
    <row r="21" spans="1:5" x14ac:dyDescent="0.2">
      <c r="A21" s="6" t="s">
        <v>100</v>
      </c>
      <c r="B21" s="7">
        <v>0.15</v>
      </c>
      <c r="C21" s="7">
        <f>SQRT(D21^2+ E21^2)</f>
        <v>0.15132745950421556</v>
      </c>
      <c r="D21" s="3">
        <v>0.02</v>
      </c>
      <c r="E21" s="3">
        <v>0.15</v>
      </c>
    </row>
    <row r="22" spans="1:5" x14ac:dyDescent="0.2">
      <c r="A22" s="6" t="s">
        <v>101</v>
      </c>
      <c r="B22" s="7">
        <v>0.2</v>
      </c>
      <c r="C22" s="7">
        <v>0.6</v>
      </c>
    </row>
  </sheetData>
  <pageMargins left="0.7" right="0.7" top="0.75" bottom="0.75" header="0.3" footer="0.3"/>
  <pageSetup paperSize="9" orientation="portrait" horizontalDpi="0" verticalDpi="0"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72C20-13B5-43EA-9909-A1CF62E7B41B}">
  <dimension ref="A1:U29"/>
  <sheetViews>
    <sheetView showGridLines="0" topLeftCell="I17" zoomScale="200" workbookViewId="0">
      <selection activeCell="M24" sqref="M24"/>
    </sheetView>
  </sheetViews>
  <sheetFormatPr baseColWidth="10" defaultColWidth="8.83203125" defaultRowHeight="15" x14ac:dyDescent="0.2"/>
  <cols>
    <col min="1" max="1" width="22.5" bestFit="1" customWidth="1"/>
    <col min="2" max="2" width="14.5" customWidth="1"/>
    <col min="3" max="3" width="28.6640625" customWidth="1"/>
    <col min="4" max="5" width="12.33203125" customWidth="1"/>
    <col min="6" max="7" width="9" bestFit="1" customWidth="1"/>
    <col min="8" max="9" width="35.1640625" customWidth="1"/>
    <col min="10" max="10" width="3.33203125" customWidth="1"/>
    <col min="11" max="11" width="3.1640625" customWidth="1"/>
    <col min="12" max="12" width="48.5" bestFit="1" customWidth="1"/>
    <col min="13" max="13" width="13.83203125" bestFit="1" customWidth="1"/>
    <col min="14" max="14" width="99.83203125" customWidth="1"/>
    <col min="15" max="15" width="12.83203125" customWidth="1"/>
    <col min="16" max="16" width="27.83203125" bestFit="1" customWidth="1"/>
    <col min="17" max="17" width="14.33203125" bestFit="1" customWidth="1"/>
    <col min="18" max="18" width="48.83203125" bestFit="1" customWidth="1"/>
    <col min="19" max="19" width="14.5" bestFit="1" customWidth="1"/>
    <col min="20" max="21" width="30.1640625" customWidth="1"/>
    <col min="22" max="22" width="8.5" bestFit="1" customWidth="1"/>
    <col min="23" max="23" width="18" bestFit="1" customWidth="1"/>
    <col min="24" max="24" width="19.1640625" customWidth="1"/>
    <col min="25" max="25" width="49.5" customWidth="1"/>
  </cols>
  <sheetData>
    <row r="1" spans="1:21" x14ac:dyDescent="0.2">
      <c r="A1" t="s">
        <v>110</v>
      </c>
      <c r="B1" t="s">
        <v>14</v>
      </c>
      <c r="C1" t="s">
        <v>10</v>
      </c>
      <c r="D1" t="s">
        <v>23</v>
      </c>
      <c r="E1" t="s">
        <v>198</v>
      </c>
      <c r="F1" t="s">
        <v>111</v>
      </c>
      <c r="G1" t="s">
        <v>112</v>
      </c>
      <c r="H1" t="s">
        <v>199</v>
      </c>
      <c r="I1" t="s">
        <v>200</v>
      </c>
      <c r="L1" s="23" t="s">
        <v>113</v>
      </c>
      <c r="M1" s="23" t="s">
        <v>203</v>
      </c>
      <c r="N1" s="23" t="s">
        <v>202</v>
      </c>
      <c r="O1" s="23"/>
      <c r="P1" t="s">
        <v>114</v>
      </c>
      <c r="Q1" t="s">
        <v>203</v>
      </c>
      <c r="R1" t="s">
        <v>202</v>
      </c>
    </row>
    <row r="2" spans="1:21" ht="48" x14ac:dyDescent="0.2">
      <c r="A2" t="s">
        <v>64</v>
      </c>
      <c r="B2">
        <v>0.2</v>
      </c>
      <c r="C2">
        <v>0.25</v>
      </c>
      <c r="D2">
        <v>0.23</v>
      </c>
      <c r="E2" s="50">
        <v>0.01</v>
      </c>
      <c r="F2">
        <f t="shared" ref="F2" si="0">ROUND((((D2 - B2)/(C2 - B2))*(((((D2 - B2)/(C2 - B2)))*(1-((D2 - B2)/(C2 - B2))))/((E2/(C2 - B2))^2)-1)),0)</f>
        <v>3</v>
      </c>
      <c r="G2">
        <f t="shared" ref="G2" si="1">ROUND(((1-((D2 - B2)/(C2 - B2)))*(((((D2 - B2)/(C2 - B2)))*(1-((D2 - B2)/(C2 - B2))))/((E2/(C2 - B2))^2)-1)),0)</f>
        <v>2</v>
      </c>
      <c r="H2" s="28" t="str">
        <f ca="1">_xlfn.FORMULATEXT(Table5[[#This Row],[Alpha]])</f>
        <v>=ROUND((((D2 - B2)/(C2 - B2))*(((((D2 - B2)/(C2 - B2)))*(1-((D2 - B2)/(C2 - B2))))/((E2/(C2 - B2))^2)-1)),0)</v>
      </c>
      <c r="I2" s="28" t="str">
        <f ca="1">_xlfn.FORMULATEXT(Table5[[#This Row],[Beta]])</f>
        <v>=ROUND(((1-((D2 - B2)/(C2 - B2)))*(((((D2 - B2)/(C2 - B2)))*(1-((D2 - B2)/(C2 - B2))))/((E2/(C2 - B2))^2)-1)),0)</v>
      </c>
      <c r="L2" t="s">
        <v>115</v>
      </c>
      <c r="M2">
        <v>0.1</v>
      </c>
      <c r="N2" t="e">
        <f ca="1">_xlfn.FORMULATEXT(Table8[[#This Row],[Value]])</f>
        <v>#N/A</v>
      </c>
      <c r="P2" s="75" t="s">
        <v>116</v>
      </c>
      <c r="Q2" t="str">
        <f ca="1">IF('Pre-Retirement_cal'!Z3 = "Random", IF(RANDBETWEEN(0,1) =0, "No", "Yes"), IF('Pre-Retirement_cal'!Z3 = "Yes", "Yes", "No"))</f>
        <v>No</v>
      </c>
      <c r="R2" t="str">
        <f ca="1">_xlfn.FORMULATEXT(Table6[[#This Row],[Value]])</f>
        <v>=IF('Pre-Retirement_cal'!Z3 = "Random", IF(RANDBETWEEN(0,1) =0, "No", "Yes"), IF('Pre-Retirement_cal'!Z3 = "Yes", "Yes", "No"))</v>
      </c>
    </row>
    <row r="3" spans="1:21" ht="48" x14ac:dyDescent="0.2">
      <c r="A3" t="s">
        <v>117</v>
      </c>
      <c r="B3">
        <v>0.1</v>
      </c>
      <c r="C3">
        <v>0.15</v>
      </c>
      <c r="D3">
        <v>0.125</v>
      </c>
      <c r="E3" s="50">
        <v>8.8500000000000002E-3</v>
      </c>
      <c r="F3">
        <f t="shared" ref="F3:F8" si="2">ROUND((((D3 - B3)/(C3 - B3))*(((((D3 - B3)/(C3 - B3)))*(1-((D3 - B3)/(C3 - B3))))/((E3/(C3 - B3))^2)-1)),0)</f>
        <v>3</v>
      </c>
      <c r="G3">
        <f t="shared" ref="G3:G8" si="3">ROUND(((1-((D3 - B3)/(C3 - B3)))*(((((D3 - B3)/(C3 - B3)))*(1-((D3 - B3)/(C3 - B3))))/((E3/(C3 - B3))^2)-1)),0)</f>
        <v>3</v>
      </c>
      <c r="H3" s="28" t="str">
        <f ca="1">_xlfn.FORMULATEXT(Table5[[#This Row],[Alpha]])</f>
        <v>=ROUND((((D3 - B3)/(C3 - B3))*(((((D3 - B3)/(C3 - B3)))*(1-((D3 - B3)/(C3 - B3))))/((E3/(C3 - B3))^2)-1)),0)</v>
      </c>
      <c r="I3" s="28" t="str">
        <f ca="1">_xlfn.FORMULATEXT(Table5[[#This Row],[Beta]])</f>
        <v>=ROUND(((1-((D3 - B3)/(C3 - B3)))*(((((D3 - B3)/(C3 - B3)))*(1-((D3 - B3)/(C3 - B3))))/((E3/(C3 - B3))^2)-1)),0)</v>
      </c>
      <c r="L3" t="s">
        <v>118</v>
      </c>
      <c r="M3">
        <v>0.15</v>
      </c>
      <c r="N3" t="e">
        <f ca="1">_xlfn.FORMULATEXT(Table8[[#This Row],[Value]])</f>
        <v>#N/A</v>
      </c>
      <c r="P3" t="s">
        <v>119</v>
      </c>
      <c r="Q3">
        <f ca="1">RANDBETWEEN(0,5)</f>
        <v>5</v>
      </c>
      <c r="R3" t="str">
        <f ca="1">_xlfn.FORMULATEXT(Table6[[#This Row],[Value]])</f>
        <v>=RANDBETWEEN(0,5)</v>
      </c>
    </row>
    <row r="4" spans="1:21" ht="116.25" customHeight="1" x14ac:dyDescent="0.2">
      <c r="A4" t="s">
        <v>120</v>
      </c>
      <c r="B4">
        <v>0.05</v>
      </c>
      <c r="C4">
        <v>0.1</v>
      </c>
      <c r="D4">
        <v>0.08</v>
      </c>
      <c r="E4" s="50">
        <v>0.01</v>
      </c>
      <c r="F4">
        <f t="shared" si="2"/>
        <v>3</v>
      </c>
      <c r="G4">
        <f t="shared" si="3"/>
        <v>2</v>
      </c>
      <c r="H4" s="28" t="str">
        <f ca="1">_xlfn.FORMULATEXT(Table5[[#This Row],[Alpha]])</f>
        <v>=ROUND((((D4 - B4)/(C4 - B4))*(((((D4 - B4)/(C4 - B4)))*(1-((D4 - B4)/(C4 - B4))))/((E4/(C4 - B4))^2)-1)),0)</v>
      </c>
      <c r="I4" s="28" t="str">
        <f ca="1">_xlfn.FORMULATEXT(Table5[[#This Row],[Beta]])</f>
        <v>=ROUND(((1-((D4 - B4)/(C4 - B4)))*(((((D4 - B4)/(C4 - B4)))*(1-((D4 - B4)/(C4 - B4))))/((E4/(C4 - B4))^2)-1)),0)</v>
      </c>
      <c r="L4" s="75" t="s">
        <v>121</v>
      </c>
      <c r="M4" s="25">
        <f ca="1">IF(
    OR('Pre-Retirement_cal'!X6 = "Random", 'Pre-Retirement_cal'!X6 = "Yes"),
    IF(
        RAND() &lt; (Lifestyle_upgrade_every_5y_Mostlikely - Lifestyle_upgrade_every_5y_Min) / (Lifestyle_upgrade_every_5y_Max - Lifestyle_upgrade_every_5y_Min),
        Lifestyle_upgrade_every_5y_Min + SQRT(RAND() * (Lifestyle_upgrade_every_5y_Mostlikely - Lifestyle_upgrade_every_5y_Min) * (Lifestyle_upgrade_every_5y_Max - Lifestyle_upgrade_every_5y_Min)),
        Lifestyle_upgrade_every_5y_Max - SQRT((1 - RAND()) * (Lifestyle_upgrade_every_5y_Max - Lifestyle_upgrade_every_5y_Mostlikely) * (Lifestyle_upgrade_every_5y_Max - Lifestyle_upgrade_every_5y_Min))
    ),
    0
)</f>
        <v>8.6748700425844316E-2</v>
      </c>
      <c r="N4" s="28" t="str">
        <f ca="1">_xlfn.FORMULATEXT(Table8[[#This Row],[Value]])</f>
        <v>=IF(
    OR('Pre-Retirement_cal'!X6 = "Random", 'Pre-Retirement_cal'!X6 = "Yes"),
    IF(
        RAND() &lt; (Lifestyle_upgrade_every_5y_Mostlikely - Lifestyle_upgrade_every_5y_Min) / (Lifestyle_upgrade_every_5y_Max - Lifestyle_upgrade_every_5y_Min),
        Lifestyle_upgrade_every_5y_Min + SQRT(RAND() * (Lifestyle_upgrade_every_5y_Mostlikely - Lifestyle_upgrade_every_5y_Min) * (Lifestyle_upgrade_every_5y_Max - Lifestyle_upgrade_every_5y_Min)),
        Lifestyle_upgrade_every_5y_Max - SQRT((1 - RAND()) * (Lifestyle_upgrade_every_5y_Max - Lifestyle_upgrade_every_5y_Mostlikely) * (Lifestyle_upgrade_every_5y_Max - Lifestyle_upgrade_every_5y_Min))
    ),
    0
)</v>
      </c>
      <c r="P4" s="75" t="s">
        <v>122</v>
      </c>
      <c r="Q4" t="str">
        <f ca="1">IF(
    'Pre-Retirement_cal'!V4="Random",
    IF(Q2="No","No",IF(RANDBETWEEN(0,1)=0,"No","Yes")),
    IF('Pre-Retirement_cal'!V4="Yes","Yes","No")
)</f>
        <v>No</v>
      </c>
      <c r="R4" t="str">
        <f ca="1">_xlfn.FORMULATEXT(Table6[[#This Row],[Value]])</f>
        <v>=IF(
    'Pre-Retirement_cal'!V4="Random",
    IF(Q2="No","No",IF(RANDBETWEEN(0,1)=0,"No","Yes")),
    IF('Pre-Retirement_cal'!V4="Yes","Yes","No")
)</v>
      </c>
    </row>
    <row r="5" spans="1:21" ht="48" x14ac:dyDescent="0.2">
      <c r="A5" t="s">
        <v>123</v>
      </c>
      <c r="B5">
        <v>0.04</v>
      </c>
      <c r="C5">
        <v>0.06</v>
      </c>
      <c r="D5">
        <v>0.05</v>
      </c>
      <c r="E5" s="50">
        <v>2.8800000000000002E-3</v>
      </c>
      <c r="F5">
        <f t="shared" si="2"/>
        <v>6</v>
      </c>
      <c r="G5">
        <f t="shared" si="3"/>
        <v>6</v>
      </c>
      <c r="H5" s="28" t="str">
        <f ca="1">_xlfn.FORMULATEXT(Table5[[#This Row],[Alpha]])</f>
        <v>=ROUND((((D5 - B5)/(C5 - B5))*(((((D5 - B5)/(C5 - B5)))*(1-((D5 - B5)/(C5 - B5))))/((E5/(C5 - B5))^2)-1)),0)</v>
      </c>
      <c r="I5" s="28" t="str">
        <f ca="1">_xlfn.FORMULATEXT(Table5[[#This Row],[Beta]])</f>
        <v>=ROUND(((1-((D5 - B5)/(C5 - B5)))*(((((D5 - B5)/(C5 - B5)))*(1-((D5 - B5)/(C5 - B5))))/((E5/(C5 - B5))^2)-1)),0)</v>
      </c>
      <c r="L5" t="s">
        <v>124</v>
      </c>
      <c r="M5" s="3">
        <v>0.06</v>
      </c>
      <c r="N5" t="e">
        <f ca="1">_xlfn.FORMULATEXT(Table8[[#This Row],[Value]])</f>
        <v>#N/A</v>
      </c>
      <c r="P5" t="s">
        <v>125</v>
      </c>
      <c r="Q5">
        <f ca="1">RANDBETWEEN(Q3+1,Q3+5)</f>
        <v>7</v>
      </c>
      <c r="R5" t="str">
        <f ca="1">_xlfn.FORMULATEXT(Table6[[#This Row],[Value]])</f>
        <v>=RANDBETWEEN(Q3+1,Q3+5)</v>
      </c>
    </row>
    <row r="6" spans="1:21" ht="48" x14ac:dyDescent="0.2">
      <c r="A6" t="s">
        <v>126</v>
      </c>
      <c r="B6">
        <v>0.04</v>
      </c>
      <c r="C6">
        <v>0.06</v>
      </c>
      <c r="D6">
        <v>0.05</v>
      </c>
      <c r="E6" s="50">
        <v>2.8600000000000001E-3</v>
      </c>
      <c r="F6">
        <f t="shared" si="2"/>
        <v>6</v>
      </c>
      <c r="G6">
        <f t="shared" si="3"/>
        <v>6</v>
      </c>
      <c r="H6" s="28" t="str">
        <f ca="1">_xlfn.FORMULATEXT(Table5[[#This Row],[Alpha]])</f>
        <v>=ROUND((((D6 - B6)/(C6 - B6))*(((((D6 - B6)/(C6 - B6)))*(1-((D6 - B6)/(C6 - B6))))/((E6/(C6 - B6))^2)-1)),0)</v>
      </c>
      <c r="I6" s="28" t="str">
        <f ca="1">_xlfn.FORMULATEXT(Table5[[#This Row],[Beta]])</f>
        <v>=ROUND(((1-((D6 - B6)/(C6 - B6)))*(((((D6 - B6)/(C6 - B6)))*(1-((D6 - B6)/(C6 - B6))))/((E6/(C6 - B6))^2)-1)),0)</v>
      </c>
      <c r="L6" t="s">
        <v>127</v>
      </c>
      <c r="M6" s="3">
        <v>0.1</v>
      </c>
      <c r="N6" t="e">
        <f ca="1">_xlfn.FORMULATEXT(Table8[[#This Row],[Value]])</f>
        <v>#N/A</v>
      </c>
      <c r="P6" t="s">
        <v>128</v>
      </c>
      <c r="Q6">
        <f ca="1">Q5+18</f>
        <v>25</v>
      </c>
      <c r="R6" t="str">
        <f ca="1">_xlfn.FORMULATEXT(Table6[[#This Row],[Value]])</f>
        <v>=Q5+18</v>
      </c>
    </row>
    <row r="7" spans="1:21" ht="48" x14ac:dyDescent="0.2">
      <c r="A7" t="s">
        <v>129</v>
      </c>
      <c r="B7">
        <v>0.08</v>
      </c>
      <c r="C7">
        <v>0.12</v>
      </c>
      <c r="D7">
        <v>0.10299999999999999</v>
      </c>
      <c r="E7" s="50">
        <v>9.2999999999999992E-3</v>
      </c>
      <c r="F7">
        <f t="shared" si="2"/>
        <v>2</v>
      </c>
      <c r="G7">
        <f t="shared" si="3"/>
        <v>1</v>
      </c>
      <c r="H7" s="28" t="str">
        <f ca="1">_xlfn.FORMULATEXT(Table5[[#This Row],[Alpha]])</f>
        <v>=ROUND((((D7 - B7)/(C7 - B7))*(((((D7 - B7)/(C7 - B7)))*(1-((D7 - B7)/(C7 - B7))))/((E7/(C7 - B7))^2)-1)),0)</v>
      </c>
      <c r="I7" s="28" t="str">
        <f ca="1">_xlfn.FORMULATEXT(Table5[[#This Row],[Beta]])</f>
        <v>=ROUND(((1-((D7 - B7)/(C7 - B7)))*(((((D7 - B7)/(C7 - B7)))*(1-((D7 - B7)/(C7 - B7))))/((E7/(C7 - B7))^2)-1)),0)</v>
      </c>
      <c r="L7" t="s">
        <v>130</v>
      </c>
      <c r="M7" s="3">
        <v>0.08</v>
      </c>
      <c r="N7" t="e">
        <f ca="1">_xlfn.FORMULATEXT(Table8[[#This Row],[Value]])</f>
        <v>#N/A</v>
      </c>
      <c r="P7" t="s">
        <v>131</v>
      </c>
      <c r="Q7">
        <v>18</v>
      </c>
    </row>
    <row r="8" spans="1:21" ht="48" x14ac:dyDescent="0.2">
      <c r="A8" t="s">
        <v>132</v>
      </c>
      <c r="B8">
        <v>0.03</v>
      </c>
      <c r="C8">
        <v>7.0000000000000007E-2</v>
      </c>
      <c r="D8">
        <v>4.7E-2</v>
      </c>
      <c r="E8" s="50">
        <v>9.2999999999999992E-3</v>
      </c>
      <c r="F8">
        <f t="shared" si="2"/>
        <v>1</v>
      </c>
      <c r="G8">
        <f t="shared" si="3"/>
        <v>2</v>
      </c>
      <c r="H8" s="28" t="str">
        <f ca="1">_xlfn.FORMULATEXT(Table5[[#This Row],[Alpha]])</f>
        <v>=ROUND((((D8 - B8)/(C8 - B8))*(((((D8 - B8)/(C8 - B8)))*(1-((D8 - B8)/(C8 - B8))))/((E8/(C8 - B8))^2)-1)),0)</v>
      </c>
      <c r="I8" s="28" t="str">
        <f ca="1">_xlfn.FORMULATEXT(Table5[[#This Row],[Beta]])</f>
        <v>=ROUND(((1-((D8 - B8)/(C8 - B8)))*(((((D8 - B8)/(C8 - B8)))*(1-((D8 - B8)/(C8 - B8))))/((E8/(C8 - B8))^2)-1)),0)</v>
      </c>
      <c r="P8" t="s">
        <v>133</v>
      </c>
      <c r="Q8">
        <v>12500</v>
      </c>
    </row>
    <row r="9" spans="1:21" x14ac:dyDescent="0.2">
      <c r="P9" t="s">
        <v>134</v>
      </c>
      <c r="Q9" s="25">
        <f ca="1">IF(AND($Q$2 = "Yes",Q12="Yes"),RAND() * (0.03 - 0.02) + 0.02,0)</f>
        <v>0</v>
      </c>
      <c r="R9" t="str">
        <f ca="1">_xlfn.FORMULATEXT(Table6[[#This Row],[Value]])</f>
        <v>=IF(AND($Q$2 = "Yes",Q12="Yes"),RAND() * (0.03 - 0.02) + 0.02,0)</v>
      </c>
    </row>
    <row r="10" spans="1:21" x14ac:dyDescent="0.2">
      <c r="P10" t="s">
        <v>135</v>
      </c>
      <c r="Q10">
        <f ca="1">RANDBETWEEN(10,35)</f>
        <v>35</v>
      </c>
      <c r="R10" t="str">
        <f ca="1">_xlfn.FORMULATEXT(Table6[[#This Row],[Value]])</f>
        <v>=RANDBETWEEN(10,35)</v>
      </c>
    </row>
    <row r="11" spans="1:21" x14ac:dyDescent="0.2">
      <c r="P11" t="s">
        <v>136</v>
      </c>
      <c r="Q11">
        <f ca="1">IF(OR('Pre-Retirement_cal'!V6="Random", 'Pre-Retirement_cal'!V6="Yes"), RANDBETWEEN(20000,100000), 0)</f>
        <v>66265</v>
      </c>
      <c r="R11" t="str">
        <f ca="1">_xlfn.FORMULATEXT(Table6[[#This Row],[Value]])</f>
        <v>=IF(OR('Pre-Retirement_cal'!V6="Random", 'Pre-Retirement_cal'!V6="Yes"), RANDBETWEEN(20000,100000), 0)</v>
      </c>
    </row>
    <row r="12" spans="1:21" x14ac:dyDescent="0.2">
      <c r="P12" s="75" t="s">
        <v>207</v>
      </c>
      <c r="Q12" t="str">
        <f ca="1">IF('Pre-Retirement_cal'!V3 = "Random", IF(AND(RANDBETWEEN(0,1) = 0,Q2="No"), "No", "Yes"), IF('Pre-Retirement_cal'!V3 = "Yes", "Yes", "No"))</f>
        <v>Yes</v>
      </c>
      <c r="R12" t="str">
        <f ca="1">_xlfn.FORMULATEXT(Table6[[#This Row],[Value]])</f>
        <v>=IF('Pre-Retirement_cal'!V3 = "Random", IF(AND(RANDBETWEEN(0,1) = 0,Q2="No"), "No", "Yes"), IF('Pre-Retirement_cal'!V3 = "Yes", "Yes", "No"))</v>
      </c>
    </row>
    <row r="13" spans="1:21" x14ac:dyDescent="0.2">
      <c r="A13" s="23" t="s">
        <v>137</v>
      </c>
      <c r="B13" s="23" t="s">
        <v>203</v>
      </c>
      <c r="C13" s="23" t="s">
        <v>202</v>
      </c>
      <c r="D13" s="23"/>
      <c r="E13" s="23"/>
      <c r="L13" s="23" t="s">
        <v>138</v>
      </c>
      <c r="M13" s="23" t="s">
        <v>203</v>
      </c>
      <c r="N13" s="23" t="s">
        <v>201</v>
      </c>
      <c r="O13" s="23"/>
    </row>
    <row r="14" spans="1:21" ht="160" x14ac:dyDescent="0.2">
      <c r="A14" s="75" t="s">
        <v>139</v>
      </c>
      <c r="B14" t="str">
        <f ca="1">IF(
    'Pre-Retirement_cal'!V5 = "Random",
    IF(RANDBETWEEN(0,1)=0,"No","Yes"),
    IF('Pre-Retirement_cal'!V5="Yes","Yes","No")
)</f>
        <v>Yes</v>
      </c>
      <c r="C14" s="28" t="str">
        <f ca="1">_xlfn.FORMULATEXT(Table9[[#This Row],[Value]])</f>
        <v>=IF(
    'Pre-Retirement_cal'!V5 = "Random",
    IF(RANDBETWEEN(0,1)=0,"No","Yes"),
    IF('Pre-Retirement_cal'!V5="Yes","Yes","No")
)</v>
      </c>
      <c r="D14" s="28"/>
      <c r="E14" s="28"/>
      <c r="L14" t="s">
        <v>140</v>
      </c>
      <c r="M14">
        <f>'Pre-Retirement_cal'!$C$48+1</f>
        <v>66</v>
      </c>
      <c r="N14" t="str">
        <f ca="1">_xlfn.FORMULATEXT(Table7[[#This Row],[Value]])</f>
        <v>='Pre-Retirement_cal'!$C$48+1</v>
      </c>
      <c r="P14" s="22" t="s">
        <v>141</v>
      </c>
      <c r="Q14" s="22" t="s">
        <v>142</v>
      </c>
      <c r="R14" s="22" t="s">
        <v>143</v>
      </c>
      <c r="S14" s="22" t="s">
        <v>144</v>
      </c>
      <c r="T14" s="22" t="s">
        <v>145</v>
      </c>
      <c r="U14" s="22" t="s">
        <v>146</v>
      </c>
    </row>
    <row r="15" spans="1:21" ht="48" x14ac:dyDescent="0.2">
      <c r="A15" t="s">
        <v>147</v>
      </c>
      <c r="B15">
        <f ca="1">IF(RANDBETWEEN(1,10)&lt;=9, RANDBETWEEN(0,15), RANDBETWEEN(16,35))</f>
        <v>1</v>
      </c>
      <c r="C15" s="28" t="str">
        <f ca="1">_xlfn.FORMULATEXT(Table9[[#This Row],[Value]])</f>
        <v>=IF(RANDBETWEEN(1,10)&lt;=9, RANDBETWEEN(0,15), RANDBETWEEN(16,35))</v>
      </c>
      <c r="D15" s="28"/>
      <c r="E15" s="28"/>
      <c r="L15" t="s">
        <v>148</v>
      </c>
      <c r="M15" s="2">
        <f ca="1">'Pre-Retirement_cal'!$AX$48</f>
        <v>143809.59116451067</v>
      </c>
      <c r="N15" t="str">
        <f ca="1">_xlfn.FORMULATEXT(Table7[[#This Row],[Value]])</f>
        <v>='Pre-Retirement_cal'!$AX$48</v>
      </c>
      <c r="P15" s="21" t="s">
        <v>64</v>
      </c>
      <c r="Q15" s="5" t="s">
        <v>149</v>
      </c>
      <c r="R15" s="5" t="s">
        <v>150</v>
      </c>
      <c r="S15" s="5" t="s">
        <v>151</v>
      </c>
      <c r="T15" s="5" t="s">
        <v>152</v>
      </c>
      <c r="U15" s="5" t="s">
        <v>153</v>
      </c>
    </row>
    <row r="16" spans="1:21" ht="48" x14ac:dyDescent="0.2">
      <c r="A16" t="s">
        <v>154</v>
      </c>
      <c r="B16">
        <f ca="1">B15+B19</f>
        <v>21</v>
      </c>
      <c r="C16" s="28" t="str">
        <f ca="1">_xlfn.FORMULATEXT(Table9[[#This Row],[Value]])</f>
        <v>=B15+B19</v>
      </c>
      <c r="D16" s="28"/>
      <c r="E16" s="28"/>
      <c r="F16" s="24"/>
      <c r="L16" t="s">
        <v>155</v>
      </c>
      <c r="M16">
        <v>2.5000000000000001E-2</v>
      </c>
      <c r="N16" t="e">
        <f ca="1">_xlfn.FORMULATEXT(Table7[[#This Row],[Value]])</f>
        <v>#N/A</v>
      </c>
      <c r="P16" s="21" t="s">
        <v>65</v>
      </c>
      <c r="Q16" s="5" t="s">
        <v>156</v>
      </c>
      <c r="R16" s="5" t="s">
        <v>157</v>
      </c>
      <c r="S16" s="5" t="s">
        <v>158</v>
      </c>
      <c r="T16" s="5" t="s">
        <v>159</v>
      </c>
      <c r="U16" s="5" t="s">
        <v>160</v>
      </c>
    </row>
    <row r="17" spans="1:21" ht="144" x14ac:dyDescent="0.2">
      <c r="A17" t="s">
        <v>161</v>
      </c>
      <c r="B17" s="2">
        <f ca="1">VLOOKUP(B15,'Pre-Retirement_cal'!B12:I48,8,TRUE)</f>
        <v>57210.666619632058</v>
      </c>
      <c r="C17" s="28" t="str">
        <f ca="1">_xlfn.FORMULATEXT(Table9[[#This Row],[Value]])</f>
        <v>=VLOOKUP(B15,'Pre-Retirement_cal'!B12:I48,8,TRUE)</v>
      </c>
      <c r="D17" s="28"/>
      <c r="E17" s="28"/>
      <c r="F17" s="24"/>
      <c r="L17" t="s">
        <v>162</v>
      </c>
      <c r="M17" s="3">
        <f ca="1">IF(RAND()&lt;(Post_retirement_Lifestyle_Upgrade_every_5y_Mostlikely-Post_retirement_Lifestyle_Upgrade_every_5y_Min)/(Post_retirement_Lifestyle_Upgrade_every_5y_Max-Post_retirement_Lifestyle_Upgrade_every_5y_Min),Post_retirement_Lifestyle_Upgrade_every_5y_Min + SQRT(RAND() * (Post_retirement_Lifestyle_Upgrade_every_5y_Mostlikely -Post_retirement_Lifestyle_Upgrade_every_5y_Min) * (Post_retirement_Lifestyle_Upgrade_every_5y_Max - Post_retirement_Lifestyle_Upgrade_every_5y_Min)),Post_retirement_Lifestyle_Upgrade_every_5y_Max - SQRT((1-RAND())*(Post_retirement_Lifestyle_Upgrade_every_5y_Max -Post_retirement_Lifestyle_Upgrade_every_5y_Mostlikely)*(Post_retirement_Lifestyle_Upgrade_every_5y_Max-Post_retirement_Lifestyle_Upgrade_every_5y_Min)))</f>
        <v>7.6544488607716801E-2</v>
      </c>
      <c r="N17" s="28" t="str">
        <f ca="1">_xlfn.FORMULATEXT(Table7[[#This Row],[Value]])</f>
        <v>=IF(RAND()&lt;(Post_retirement_Lifestyle_Upgrade_every_5y_Mostlikely-Post_retirement_Lifestyle_Upgrade_every_5y_Min)/(Post_retirement_Lifestyle_Upgrade_every_5y_Max-Post_retirement_Lifestyle_Upgrade_every_5y_Min),Post_retirement_Lifestyle_Upgrade_every_5y_Min + SQRT(RAND() * (Post_retirement_Lifestyle_Upgrade_every_5y_Mostlikely -Post_retirement_Lifestyle_Upgrade_every_5y_Min) * (Post_retirement_Lifestyle_Upgrade_every_5y_Max - Post_retirement_Lifestyle_Upgrade_every_5y_Min)),Post_retirement_Lifestyle_Upgrade_every_5y_Max - SQRT((1-RAND())*(Post_retirement_Lifestyle_Upgrade_every_5y_Max -Post_retirement_Lifestyle_Upgrade_every_5y_Mostlikely)*(Post_retirement_Lifestyle_Upgrade_every_5y_Max-Post_retirement_Lifestyle_Upgrade_every_5y_Min)))</v>
      </c>
      <c r="O17" s="28"/>
      <c r="P17" s="21" t="s">
        <v>66</v>
      </c>
      <c r="Q17" s="5" t="s">
        <v>163</v>
      </c>
      <c r="R17" s="5" t="s">
        <v>150</v>
      </c>
      <c r="S17" s="5" t="s">
        <v>151</v>
      </c>
      <c r="T17" s="5" t="s">
        <v>164</v>
      </c>
      <c r="U17" s="5" t="s">
        <v>165</v>
      </c>
    </row>
    <row r="18" spans="1:21" ht="32" x14ac:dyDescent="0.2">
      <c r="A18" t="s">
        <v>166</v>
      </c>
      <c r="B18" s="24">
        <v>0.3</v>
      </c>
      <c r="C18" s="28" t="e">
        <f ca="1">_xlfn.FORMULATEXT(Table9[[#This Row],[Value]])</f>
        <v>#N/A</v>
      </c>
      <c r="D18" s="28"/>
      <c r="E18" s="28"/>
      <c r="L18" t="s">
        <v>167</v>
      </c>
      <c r="M18" s="3">
        <v>0.06</v>
      </c>
      <c r="N18" t="e">
        <f ca="1">_xlfn.FORMULATEXT(Table7[[#This Row],[Value]])</f>
        <v>#N/A</v>
      </c>
      <c r="P18" s="21" t="s">
        <v>67</v>
      </c>
      <c r="Q18" s="5" t="s">
        <v>168</v>
      </c>
      <c r="R18" s="5" t="s">
        <v>173</v>
      </c>
      <c r="S18" s="5" t="s">
        <v>158</v>
      </c>
      <c r="T18" s="5" t="s">
        <v>169</v>
      </c>
      <c r="U18" s="5" t="s">
        <v>170</v>
      </c>
    </row>
    <row r="19" spans="1:21" ht="32" x14ac:dyDescent="0.2">
      <c r="A19" t="s">
        <v>171</v>
      </c>
      <c r="B19">
        <v>20</v>
      </c>
      <c r="C19" s="28" t="e">
        <f ca="1">_xlfn.FORMULATEXT(Table9[[#This Row],[Value]])</f>
        <v>#N/A</v>
      </c>
      <c r="D19" s="28"/>
      <c r="E19" s="28"/>
      <c r="L19" t="s">
        <v>172</v>
      </c>
      <c r="M19" s="3">
        <v>0.1</v>
      </c>
      <c r="N19" t="e">
        <f ca="1">_xlfn.FORMULATEXT(Table7[[#This Row],[Value]])</f>
        <v>#N/A</v>
      </c>
      <c r="P19" s="21" t="s">
        <v>68</v>
      </c>
      <c r="Q19" s="5" t="s">
        <v>168</v>
      </c>
      <c r="R19" s="5" t="s">
        <v>173</v>
      </c>
      <c r="S19" s="5" t="s">
        <v>158</v>
      </c>
      <c r="T19" s="5" t="s">
        <v>174</v>
      </c>
      <c r="U19" s="5" t="s">
        <v>175</v>
      </c>
    </row>
    <row r="20" spans="1:21" ht="32" x14ac:dyDescent="0.2">
      <c r="A20" t="s">
        <v>176</v>
      </c>
      <c r="B20" s="3">
        <v>0.05</v>
      </c>
      <c r="C20" s="28" t="e">
        <f ca="1">_xlfn.FORMULATEXT(Table9[[#This Row],[Value]])</f>
        <v>#N/A</v>
      </c>
      <c r="D20" s="28"/>
      <c r="E20" s="28"/>
      <c r="L20" t="s">
        <v>177</v>
      </c>
      <c r="M20" s="3">
        <v>0.08</v>
      </c>
      <c r="N20" t="e">
        <f ca="1">_xlfn.FORMULATEXT(Table7[[#This Row],[Value]])</f>
        <v>#N/A</v>
      </c>
      <c r="P20" s="21" t="s">
        <v>69</v>
      </c>
      <c r="Q20" s="5" t="s">
        <v>178</v>
      </c>
      <c r="R20" s="5" t="s">
        <v>204</v>
      </c>
      <c r="S20" s="5" t="s">
        <v>151</v>
      </c>
      <c r="T20" s="5" t="s">
        <v>179</v>
      </c>
      <c r="U20" s="5" t="s">
        <v>180</v>
      </c>
    </row>
    <row r="21" spans="1:21" ht="32" x14ac:dyDescent="0.2">
      <c r="A21" t="s">
        <v>181</v>
      </c>
      <c r="B21" s="3">
        <v>0.2</v>
      </c>
      <c r="C21" s="28" t="e">
        <f ca="1">_xlfn.FORMULATEXT(Table9[[#This Row],[Value]])</f>
        <v>#N/A</v>
      </c>
      <c r="D21" s="28"/>
      <c r="E21" s="28"/>
      <c r="M21" s="3"/>
      <c r="N21" t="e">
        <f ca="1">_xlfn.FORMULATEXT(Table7[[#This Row],[Value]])</f>
        <v>#N/A</v>
      </c>
      <c r="P21" s="21" t="s">
        <v>182</v>
      </c>
      <c r="Q21" s="5" t="s">
        <v>183</v>
      </c>
      <c r="R21" s="5" t="s">
        <v>205</v>
      </c>
      <c r="S21" s="5" t="s">
        <v>184</v>
      </c>
      <c r="T21" s="5" t="s">
        <v>185</v>
      </c>
      <c r="U21" s="5" t="s">
        <v>186</v>
      </c>
    </row>
    <row r="22" spans="1:21" ht="32" x14ac:dyDescent="0.2">
      <c r="A22" t="s">
        <v>187</v>
      </c>
      <c r="B22" s="2">
        <f ca="1">B17*B18 * ((1+B20)^B19 -1)/(B20*(1+B20)^B19)</f>
        <v>213891.40837523571</v>
      </c>
      <c r="C22" s="28" t="str">
        <f ca="1">_xlfn.FORMULATEXT(Table9[[#This Row],[Value]])</f>
        <v>=B17*B18 * ((1+B20)^B19 -1)/(B20*(1+B20)^B19)</v>
      </c>
      <c r="D22" s="28"/>
      <c r="E22" s="28"/>
      <c r="L22" t="s">
        <v>188</v>
      </c>
      <c r="M22" s="48">
        <v>23000</v>
      </c>
      <c r="N22" t="e">
        <f ca="1">_xlfn.FORMULATEXT(Table7[[#This Row],[Value]])</f>
        <v>#N/A</v>
      </c>
    </row>
    <row r="23" spans="1:21" ht="16" x14ac:dyDescent="0.2">
      <c r="A23" t="s">
        <v>189</v>
      </c>
      <c r="B23" s="2">
        <f ca="1">B22 / (1-B21)</f>
        <v>267364.26046904462</v>
      </c>
      <c r="C23" s="28" t="str">
        <f ca="1">_xlfn.FORMULATEXT(Table9[[#This Row],[Value]])</f>
        <v>=B22 / (1-B21)</v>
      </c>
      <c r="D23" s="28"/>
      <c r="E23" s="28"/>
      <c r="L23" t="s">
        <v>190</v>
      </c>
      <c r="M23" s="48">
        <v>35</v>
      </c>
      <c r="N23" t="e">
        <f ca="1">_xlfn.FORMULATEXT(Table7[[#This Row],[Value]])</f>
        <v>#N/A</v>
      </c>
    </row>
    <row r="24" spans="1:21" ht="16" x14ac:dyDescent="0.2">
      <c r="A24" t="s">
        <v>191</v>
      </c>
      <c r="B24" s="2">
        <f ca="1">B23 * B21</f>
        <v>53472.852093808928</v>
      </c>
      <c r="C24" s="28" t="str">
        <f ca="1">_xlfn.FORMULATEXT(Table9[[#This Row],[Value]])</f>
        <v>=B23 * B21</v>
      </c>
      <c r="D24" s="28"/>
      <c r="E24" s="28"/>
      <c r="L24" t="s">
        <v>192</v>
      </c>
      <c r="M24" s="48">
        <f>$M$22*((1+$M$16)^$M$23)</f>
        <v>54583.719279523524</v>
      </c>
      <c r="N24" t="str">
        <f ca="1">_xlfn.FORMULATEXT(Table7[[#This Row],[Value]])</f>
        <v>=$M$22*((1+$M$16)^$M$23)</v>
      </c>
    </row>
    <row r="25" spans="1:21" ht="16" x14ac:dyDescent="0.2">
      <c r="A25" t="s">
        <v>193</v>
      </c>
      <c r="B25" s="2">
        <f ca="1">B17*B18</f>
        <v>17163.199985889616</v>
      </c>
      <c r="C25" s="28" t="str">
        <f ca="1">_xlfn.FORMULATEXT(Table9[[#This Row],[Value]])</f>
        <v>=B17*B18</v>
      </c>
      <c r="D25" s="28"/>
      <c r="E25" s="28"/>
      <c r="M25" s="3"/>
      <c r="N25" t="e">
        <f ca="1">_xlfn.FORMULATEXT(Table7[[#This Row],[Value]])</f>
        <v>#N/A</v>
      </c>
    </row>
    <row r="26" spans="1:21" x14ac:dyDescent="0.2">
      <c r="L26" t="s">
        <v>194</v>
      </c>
      <c r="M26" s="43">
        <f ca="1">'Pre-Retirement_cal'!BB48</f>
        <v>4804031.4031652864</v>
      </c>
      <c r="N26" t="str">
        <f ca="1">_xlfn.FORMULATEXT(Table7[[#This Row],[Value]])</f>
        <v>='Pre-Retirement_cal'!BB48</v>
      </c>
    </row>
    <row r="27" spans="1:21" x14ac:dyDescent="0.2">
      <c r="L27" t="s">
        <v>195</v>
      </c>
      <c r="M27" s="42">
        <f ca="1">IF(M29 = "Yes",0.0375,0)</f>
        <v>3.7499999999999999E-2</v>
      </c>
      <c r="N27" t="str">
        <f ca="1">_xlfn.FORMULATEXT(Table7[[#This Row],[Value]])</f>
        <v>=IF(M29 = "Yes",0.0375,0)</v>
      </c>
    </row>
    <row r="28" spans="1:21" x14ac:dyDescent="0.2">
      <c r="L28" t="s">
        <v>196</v>
      </c>
      <c r="M28" s="42">
        <f ca="1">IF(M29 = "Yes",0.05,0)</f>
        <v>0.05</v>
      </c>
      <c r="N28" t="str">
        <f ca="1">_xlfn.FORMULATEXT(Table7[[#This Row],[Value]])</f>
        <v>=IF(M29 = "Yes",0.05,0)</v>
      </c>
    </row>
    <row r="29" spans="1:21" x14ac:dyDescent="0.2">
      <c r="L29" s="75" t="s">
        <v>220</v>
      </c>
      <c r="M29" t="str">
        <f ca="1">IF('Pre-Retirement_cal'!Z4 = "Random", IF(RANDBETWEEN(0,1) = 1, "Yes", "No"), IF('Pre-Retirement_cal'!Z4 = "Yes", "Yes", "No"))</f>
        <v>Yes</v>
      </c>
      <c r="N29" t="str">
        <f ca="1">_xlfn.FORMULATEXT(Table7[[#This Row],[Value]])</f>
        <v>=IF('Pre-Retirement_cal'!Z4 = "Random", IF(RANDBETWEEN(0,1) = 1, "Yes", "No"), IF('Pre-Retirement_cal'!Z4 = "Yes", "Yes", "No"))</v>
      </c>
    </row>
  </sheetData>
  <phoneticPr fontId="4" type="noConversion"/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docMetadata/LabelInfo.xml><?xml version="1.0" encoding="utf-8"?>
<clbl:labelList xmlns:clbl="http://schemas.microsoft.com/office/2020/mipLabelMetadata">
  <clbl:label id="{d1b36e95-0d50-42e9-958f-b63fa906beaa}" enabled="0" method="" siteId="{d1b36e95-0d50-42e9-958f-b63fa906bea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7</vt:i4>
      </vt:variant>
    </vt:vector>
  </HeadingPairs>
  <TitlesOfParts>
    <vt:vector size="12" baseType="lpstr">
      <vt:lpstr>Pre-Retirement_cal</vt:lpstr>
      <vt:lpstr>Post-Retirement_Cal</vt:lpstr>
      <vt:lpstr>Tax rate cal</vt:lpstr>
      <vt:lpstr>Fund Allocation Strategy</vt:lpstr>
      <vt:lpstr>Lifestyle Strategy</vt:lpstr>
      <vt:lpstr>Lifestyle_upgrade_every_5y_Max</vt:lpstr>
      <vt:lpstr>Lifestyle_upgrade_every_5y_Min</vt:lpstr>
      <vt:lpstr>Lifestyle_upgrade_every_5y_Mostlikely</vt:lpstr>
      <vt:lpstr>Lifestyle_upgrade_every_5y_Triangular_Distribution</vt:lpstr>
      <vt:lpstr>Post_retirement_Lifestyle_Upgrade_every_5y_Max</vt:lpstr>
      <vt:lpstr>Post_retirement_Lifestyle_Upgrade_every_5y_Min</vt:lpstr>
      <vt:lpstr>Post_retirement_Lifestyle_Upgrade_every_5y_Mostlikely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Bharath Chandran Madhaiyan</dc:creator>
  <cp:keywords/>
  <dc:description/>
  <cp:lastModifiedBy>Bharath Chandran Madhaiyan</cp:lastModifiedBy>
  <cp:revision/>
  <dcterms:created xsi:type="dcterms:W3CDTF">2025-05-23T05:13:03Z</dcterms:created>
  <dcterms:modified xsi:type="dcterms:W3CDTF">2025-06-03T04:49:55Z</dcterms:modified>
  <cp:category/>
  <cp:contentStatus/>
</cp:coreProperties>
</file>